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nagri/Desktop/TRABAJOS 2025/ANUARIO PRODUCCION GANADERA Y AVICOLA 2024/DATA 2024/"/>
    </mc:Choice>
  </mc:AlternateContent>
  <xr:revisionPtr revIDLastSave="0" documentId="13_ncr:1_{781582F9-8256-4045-99E2-6A9641D92DB4}" xr6:coauthVersionLast="47" xr6:coauthVersionMax="47" xr10:uidLastSave="{00000000-0000-0000-0000-000000000000}"/>
  <bookViews>
    <workbookView xWindow="10400" yWindow="500" windowWidth="29320" windowHeight="23740" tabRatio="898" firstSheet="85" activeTab="90" xr2:uid="{00000000-000D-0000-FFFF-FFFF00000000}"/>
  </bookViews>
  <sheets>
    <sheet name="1. INDICADORES ECONÓMICOS" sheetId="160" r:id="rId1"/>
    <sheet name="C 1 - C 2 - C 3" sheetId="5" r:id="rId2"/>
    <sheet name="2. POBLACION Y ..." sheetId="161" r:id="rId3"/>
    <sheet name="C-4" sheetId="6" r:id="rId4"/>
    <sheet name="C 5" sheetId="7" r:id="rId5"/>
    <sheet name="C -6" sheetId="8" r:id="rId6"/>
    <sheet name="C 7" sheetId="9" r:id="rId7"/>
    <sheet name="C 8" sheetId="10" r:id="rId8"/>
    <sheet name="C 9" sheetId="11" r:id="rId9"/>
    <sheet name="C 10" sheetId="12" r:id="rId10"/>
    <sheet name="C 11" sheetId="13" r:id="rId11"/>
    <sheet name="C 12" sheetId="14" r:id="rId12"/>
    <sheet name="C 13" sheetId="15" r:id="rId13"/>
    <sheet name="C 14" sheetId="117" r:id="rId14"/>
    <sheet name="C 15" sheetId="118" r:id="rId15"/>
    <sheet name="C 16" sheetId="119" r:id="rId16"/>
    <sheet name="C 17" sheetId="120" r:id="rId17"/>
    <sheet name="C 18" sheetId="121" r:id="rId18"/>
    <sheet name="C 19" sheetId="122" r:id="rId19"/>
    <sheet name="C 20" sheetId="123" r:id="rId20"/>
    <sheet name="C 21" sheetId="124" r:id="rId21"/>
    <sheet name="C 22" sheetId="125" r:id="rId22"/>
    <sheet name="C 23" sheetId="126" r:id="rId23"/>
    <sheet name="C 24" sheetId="127" r:id="rId24"/>
    <sheet name="C 25" sheetId="128" r:id="rId25"/>
    <sheet name="C 26" sheetId="129" r:id="rId26"/>
    <sheet name="C 27" sheetId="130" r:id="rId27"/>
    <sheet name="C 28" sheetId="131" r:id="rId28"/>
    <sheet name="C 29" sheetId="132" r:id="rId29"/>
    <sheet name="C 30" sheetId="133" r:id="rId30"/>
    <sheet name="C 31" sheetId="134" r:id="rId31"/>
    <sheet name="C 32" sheetId="135" r:id="rId32"/>
    <sheet name="C 33" sheetId="136" r:id="rId33"/>
    <sheet name="C 34" sheetId="137" r:id="rId34"/>
    <sheet name="C 35" sheetId="138" r:id="rId35"/>
    <sheet name="C 36" sheetId="139" r:id="rId36"/>
    <sheet name="C 37" sheetId="140" r:id="rId37"/>
    <sheet name="C 38" sheetId="141" r:id="rId38"/>
    <sheet name="C 39" sheetId="142" r:id="rId39"/>
    <sheet name="C 40" sheetId="143" r:id="rId40"/>
    <sheet name="C 41" sheetId="144" r:id="rId41"/>
    <sheet name="C 42" sheetId="145" r:id="rId42"/>
    <sheet name="C 43" sheetId="146" r:id="rId43"/>
    <sheet name="C 44" sheetId="147" r:id="rId44"/>
    <sheet name="C 45" sheetId="148" r:id="rId45"/>
    <sheet name="C 46" sheetId="149" r:id="rId46"/>
    <sheet name="C 47" sheetId="150" r:id="rId47"/>
    <sheet name="C 48" sheetId="151" r:id="rId48"/>
    <sheet name="C 49" sheetId="152" r:id="rId49"/>
    <sheet name="C-50" sheetId="16" r:id="rId50"/>
    <sheet name="C-51" sheetId="17" r:id="rId51"/>
    <sheet name="C-52" sheetId="18" r:id="rId52"/>
    <sheet name="C-53" sheetId="19" r:id="rId53"/>
    <sheet name="C-54" sheetId="20" r:id="rId54"/>
    <sheet name="C-55" sheetId="21" r:id="rId55"/>
    <sheet name="C-56" sheetId="22" r:id="rId56"/>
    <sheet name="C-57" sheetId="23" r:id="rId57"/>
    <sheet name="C-58" sheetId="24" r:id="rId58"/>
    <sheet name="C-59" sheetId="25" r:id="rId59"/>
    <sheet name="C-60" sheetId="26" r:id="rId60"/>
    <sheet name="C-61" sheetId="27" r:id="rId61"/>
    <sheet name="C-62" sheetId="28" r:id="rId62"/>
    <sheet name="C-63" sheetId="29" r:id="rId63"/>
    <sheet name="C-64" sheetId="30" r:id="rId64"/>
    <sheet name="C-65" sheetId="31" r:id="rId65"/>
    <sheet name="C-66" sheetId="32" r:id="rId66"/>
    <sheet name="C-67" sheetId="33" r:id="rId67"/>
    <sheet name="C-68" sheetId="34" r:id="rId68"/>
    <sheet name="C-69" sheetId="35" r:id="rId69"/>
    <sheet name="C-70" sheetId="36" r:id="rId70"/>
    <sheet name="C-71" sheetId="37" r:id="rId71"/>
    <sheet name="C-72" sheetId="38" r:id="rId72"/>
    <sheet name="C-73" sheetId="39" r:id="rId73"/>
    <sheet name="C-74" sheetId="40" r:id="rId74"/>
    <sheet name="C-75" sheetId="41" r:id="rId75"/>
    <sheet name="C-76" sheetId="42" r:id="rId76"/>
    <sheet name="C-77" sheetId="43" r:id="rId77"/>
    <sheet name="C-78" sheetId="44" r:id="rId78"/>
    <sheet name="C-79" sheetId="45" r:id="rId79"/>
    <sheet name="C-80" sheetId="46" r:id="rId80"/>
    <sheet name="C-81" sheetId="47" r:id="rId81"/>
    <sheet name="C-82" sheetId="48" r:id="rId82"/>
    <sheet name="C-83" sheetId="49" r:id="rId83"/>
    <sheet name="C-84" sheetId="50" r:id="rId84"/>
    <sheet name="C-85" sheetId="51" r:id="rId85"/>
    <sheet name="3. BENEFICIO DE ..." sheetId="162" r:id="rId86"/>
    <sheet name="C 86-C87" sheetId="52" r:id="rId87"/>
    <sheet name="C-88" sheetId="53" r:id="rId88"/>
    <sheet name="C-89" sheetId="54" r:id="rId89"/>
    <sheet name="C 90" sheetId="55" r:id="rId90"/>
    <sheet name="C 91 - 99" sheetId="56" r:id="rId91"/>
    <sheet name="4. ABASTECIMIENTO Y ..." sheetId="163" r:id="rId92"/>
    <sheet name="C 100 - 101" sheetId="58" r:id="rId93"/>
    <sheet name="C 102 - 103" sheetId="59" r:id="rId94"/>
    <sheet name="C 104-105" sheetId="62" r:id="rId95"/>
    <sheet name="C 106 - 107" sheetId="116" r:id="rId96"/>
    <sheet name="C 108 - 109 " sheetId="66" r:id="rId97"/>
    <sheet name="5. PRECIOS AL..." sheetId="164" r:id="rId98"/>
    <sheet name="C 110 _ 111" sheetId="69" r:id="rId99"/>
    <sheet name="C-112" sheetId="73" r:id="rId100"/>
    <sheet name="C-113" sheetId="74" r:id="rId101"/>
    <sheet name="C-114" sheetId="75" r:id="rId102"/>
    <sheet name="C-115" sheetId="76" r:id="rId103"/>
    <sheet name="C-116" sheetId="77" r:id="rId104"/>
    <sheet name="C-117" sheetId="78" r:id="rId105"/>
    <sheet name="C-118" sheetId="79" r:id="rId106"/>
    <sheet name="C-119" sheetId="80" r:id="rId107"/>
    <sheet name="C-120" sheetId="81" r:id="rId108"/>
    <sheet name="C-121" sheetId="82" r:id="rId109"/>
    <sheet name="C_122" sheetId="83" r:id="rId110"/>
    <sheet name="C-123" sheetId="84" r:id="rId111"/>
    <sheet name="C-124" sheetId="85" r:id="rId112"/>
    <sheet name="6. ESTADÍSTICA AVÍCOLA" sheetId="165" r:id="rId113"/>
    <sheet name="C-125" sheetId="86" r:id="rId114"/>
    <sheet name="C 126" sheetId="111" r:id="rId115"/>
    <sheet name="C 127" sheetId="112" r:id="rId116"/>
    <sheet name="C-128" sheetId="153" r:id="rId117"/>
    <sheet name="C-129" sheetId="154" r:id="rId118"/>
    <sheet name="C-130" sheetId="155" r:id="rId119"/>
    <sheet name="C-131" sheetId="156" r:id="rId120"/>
    <sheet name="C-132" sheetId="157" r:id="rId121"/>
    <sheet name="C-133" sheetId="158" r:id="rId122"/>
    <sheet name="C-134" sheetId="167" r:id="rId123"/>
    <sheet name="C-135" sheetId="159" r:id="rId124"/>
    <sheet name="C 136" sheetId="113" r:id="rId125"/>
    <sheet name="C 137" sheetId="166" r:id="rId126"/>
  </sheets>
  <externalReferences>
    <externalReference r:id="rId127"/>
    <externalReference r:id="rId128"/>
    <externalReference r:id="rId129"/>
    <externalReference r:id="rId130"/>
  </externalReferences>
  <definedNames>
    <definedName name="_Regression_Int" localSheetId="92" hidden="1">1</definedName>
    <definedName name="_Regression_Int" localSheetId="93" hidden="1">1</definedName>
    <definedName name="_Regression_Int" localSheetId="94" hidden="1">1</definedName>
    <definedName name="_Regression_Int" localSheetId="95" hidden="1">1</definedName>
    <definedName name="_Regression_Int" localSheetId="96" hidden="1">1</definedName>
    <definedName name="_Regression_Int" localSheetId="4" hidden="1">1</definedName>
    <definedName name="_Regression_Int" localSheetId="89" hidden="1">1</definedName>
    <definedName name="_Regression_Int" localSheetId="87" hidden="1">1</definedName>
    <definedName name="_Regression_Int" localSheetId="88" hidden="1">1</definedName>
    <definedName name="\c">#REF!</definedName>
    <definedName name="\x" localSheetId="4">'C 5'!#REF!</definedName>
    <definedName name="\x">#REF!</definedName>
    <definedName name="A" localSheetId="4">'C 5'!$Y$21:$CW$21</definedName>
    <definedName name="A">#REF!</definedName>
    <definedName name="A_IMPRESION_IM" localSheetId="90">'C 91 - 99'!#REF!</definedName>
    <definedName name="A_IMPRESION_IM">#REF!</definedName>
    <definedName name="A_impresión_IM" localSheetId="92">'C 100 - 101'!$A$1:$K$60</definedName>
    <definedName name="A_impresión_IM" localSheetId="93">'C 102 - 103'!$A$1:$I$45</definedName>
    <definedName name="A_impresión_IM" localSheetId="94">'C 104-105'!$A$1:$K$59</definedName>
    <definedName name="A_impresión_IM" localSheetId="95">'C 106 - 107'!$A$1:$H$45</definedName>
    <definedName name="A_impresión_IM" localSheetId="96">'C 108 - 109 '!#REF!</definedName>
    <definedName name="A_IMPRESIÓN_IM" localSheetId="114">[1]CYPPOLLO!#REF!</definedName>
    <definedName name="A_IMPRESIÓN_IM" localSheetId="115">[1]CYPPOLLO!#REF!</definedName>
    <definedName name="A_impresión_IM" localSheetId="86">#REF!</definedName>
    <definedName name="A_impresión_IM" localSheetId="89">'C 90'!$A$1:$D$43</definedName>
    <definedName name="A_IMPRESIÓN_IM" localSheetId="90">'C 91 - 99'!$A$3:$DH$39</definedName>
    <definedName name="A_impresión_IM" localSheetId="3">#REF!</definedName>
    <definedName name="A_impresión_IM" localSheetId="87">'C-88'!$A$1:$D$43</definedName>
    <definedName name="A_impresión_IM" localSheetId="88">'C-89'!$A$1:$D$43</definedName>
    <definedName name="A_impresión_IM">#REF!</definedName>
    <definedName name="_xlnm.Print_Area" localSheetId="5">'C -6'!$A$1:$O$63</definedName>
    <definedName name="_xlnm.Print_Area" localSheetId="1">'C 1 - C 2 - C 3'!$A$2:$AB$78</definedName>
    <definedName name="_xlnm.Print_Area" localSheetId="9">'C 10'!$A$1:$F$39</definedName>
    <definedName name="_xlnm.Print_Area" localSheetId="92">'C 100 - 101'!$A$2:$L$58</definedName>
    <definedName name="_xlnm.Print_Area" localSheetId="93">'C 102 - 103'!$A$3:$I$46</definedName>
    <definedName name="_xlnm.Print_Area" localSheetId="94">'C 104-105'!$A$2:$L$56</definedName>
    <definedName name="_xlnm.Print_Area" localSheetId="95">'C 106 - 107'!$A$3:$I$46</definedName>
    <definedName name="_xlnm.Print_Area" localSheetId="96">'C 108 - 109 '!$A$3:$O$60</definedName>
    <definedName name="_xlnm.Print_Area" localSheetId="10">'C 11'!$A$2:$F$39</definedName>
    <definedName name="_xlnm.Print_Area" localSheetId="98">'C 110 _ 111'!$A$1:$M$50</definedName>
    <definedName name="_xlnm.Print_Area" localSheetId="11">'C 12'!$A$1:$F$39</definedName>
    <definedName name="_xlnm.Print_Area" localSheetId="114">'C 126'!$A$2:$N$42</definedName>
    <definedName name="_xlnm.Print_Area" localSheetId="115">'C 127'!$A$2:$N$42</definedName>
    <definedName name="_xlnm.Print_Area" localSheetId="12">'C 13'!$A$1:$O$33</definedName>
    <definedName name="_xlnm.Print_Area" localSheetId="124">'C 136'!$A$2:$O$47</definedName>
    <definedName name="_xlnm.Print_Area" localSheetId="125">'C 137'!$A$1:$G$86</definedName>
    <definedName name="_xlnm.Print_Area" localSheetId="13">'C 14'!$A$2:$V$34</definedName>
    <definedName name="_xlnm.Print_Area" localSheetId="14">'C 15'!$A$1:$V$34</definedName>
    <definedName name="_xlnm.Print_Area" localSheetId="15">'C 16'!$A$1:$V$34</definedName>
    <definedName name="_xlnm.Print_Area" localSheetId="16">'C 17'!$A$2:$V$34</definedName>
    <definedName name="_xlnm.Print_Area" localSheetId="17">'C 18'!$A$2:$V$34</definedName>
    <definedName name="_xlnm.Print_Area" localSheetId="18">'C 19'!$A$2:$V$34</definedName>
    <definedName name="_xlnm.Print_Area" localSheetId="19">'C 20'!$A$1:$V$34</definedName>
    <definedName name="_xlnm.Print_Area" localSheetId="20">'C 21'!$A$2:$V$34</definedName>
    <definedName name="_xlnm.Print_Area" localSheetId="21">'C 22'!$A$1:$V$34</definedName>
    <definedName name="_xlnm.Print_Area" localSheetId="22">'C 23'!$A$2:$V$34</definedName>
    <definedName name="_xlnm.Print_Area" localSheetId="23">'C 24'!$A$1:$V$34</definedName>
    <definedName name="_xlnm.Print_Area" localSheetId="24">'C 25'!$A$1:$V$34</definedName>
    <definedName name="_xlnm.Print_Area" localSheetId="25">'C 26'!$A$1:$V$34</definedName>
    <definedName name="_xlnm.Print_Area" localSheetId="26">'C 27'!$A$1:$V$34</definedName>
    <definedName name="_xlnm.Print_Area" localSheetId="27">'C 28'!$A$1:$V$34</definedName>
    <definedName name="_xlnm.Print_Area" localSheetId="28">'C 29'!$A$1:$V$34</definedName>
    <definedName name="_xlnm.Print_Area" localSheetId="29">'C 30'!$A$1:$V$34</definedName>
    <definedName name="_xlnm.Print_Area" localSheetId="30">'C 31'!$A$1:$V$34</definedName>
    <definedName name="_xlnm.Print_Area" localSheetId="31">'C 32'!$A$1:$V$34</definedName>
    <definedName name="_xlnm.Print_Area" localSheetId="32">'C 33'!$A$1:$V$34</definedName>
    <definedName name="_xlnm.Print_Area" localSheetId="33">'C 34'!$A$1:$V$34</definedName>
    <definedName name="_xlnm.Print_Area" localSheetId="34">'C 35'!$A$1:$V$34</definedName>
    <definedName name="_xlnm.Print_Area" localSheetId="35">'C 36'!$A$1:$V$34</definedName>
    <definedName name="_xlnm.Print_Area" localSheetId="36">'C 37'!$A$1:$V$34</definedName>
    <definedName name="_xlnm.Print_Area" localSheetId="37">'C 38'!$A$1:$V$34</definedName>
    <definedName name="_xlnm.Print_Area" localSheetId="38">'C 39'!$A$1:$V$34</definedName>
    <definedName name="_xlnm.Print_Area" localSheetId="39">'C 40'!$A$1:$V$34</definedName>
    <definedName name="_xlnm.Print_Area" localSheetId="40">'C 41'!$A$1:$V$34</definedName>
    <definedName name="_xlnm.Print_Area" localSheetId="41">'C 42'!$A$1:$V$34</definedName>
    <definedName name="_xlnm.Print_Area" localSheetId="42">'C 43'!$A$1:$V$34</definedName>
    <definedName name="_xlnm.Print_Area" localSheetId="43">'C 44'!$A$1:$V$34</definedName>
    <definedName name="_xlnm.Print_Area" localSheetId="44">'C 45'!$A$2:$V$34</definedName>
    <definedName name="_xlnm.Print_Area" localSheetId="45">'C 46'!$A$1:$V$34</definedName>
    <definedName name="_xlnm.Print_Area" localSheetId="46">'C 47'!$A$2:$V$34</definedName>
    <definedName name="_xlnm.Print_Area" localSheetId="47">'C 48'!$A$2:$V$34</definedName>
    <definedName name="_xlnm.Print_Area" localSheetId="48">'C 49'!$A$1:$V$34</definedName>
    <definedName name="_xlnm.Print_Area" localSheetId="4">'C 5'!$A$2:$AC$64</definedName>
    <definedName name="_xlnm.Print_Area" localSheetId="6">'C 7'!$A$2:$H$39</definedName>
    <definedName name="_xlnm.Print_Area" localSheetId="7">'C 8'!$A$2:$H$39</definedName>
    <definedName name="_xlnm.Print_Area" localSheetId="86">'C 86-C87'!$A$4:$O$48</definedName>
    <definedName name="_xlnm.Print_Area" localSheetId="8">'C 9'!$A$1:$H$39</definedName>
    <definedName name="_xlnm.Print_Area" localSheetId="89">'C 90'!$A$3:$G$40</definedName>
    <definedName name="_xlnm.Print_Area" localSheetId="90">'C 91 - 99'!$A$2:$DV$39</definedName>
    <definedName name="_xlnm.Print_Area" localSheetId="109">C_122!$A$1:$N$37</definedName>
    <definedName name="_xlnm.Print_Area" localSheetId="99">'C-112'!$A$1:$M$39</definedName>
    <definedName name="_xlnm.Print_Area" localSheetId="100">'C-113'!$A$1:$N$37</definedName>
    <definedName name="_xlnm.Print_Area" localSheetId="101">'C-114'!$A$1:$N$37</definedName>
    <definedName name="_xlnm.Print_Area" localSheetId="102">'C-115'!$A$1:$N$37</definedName>
    <definedName name="_xlnm.Print_Area" localSheetId="103">'C-116'!$A$1:$N$37</definedName>
    <definedName name="_xlnm.Print_Area" localSheetId="104">'C-117'!$A$1:$N$37</definedName>
    <definedName name="_xlnm.Print_Area" localSheetId="105">'C-118'!$A$1:$N$37</definedName>
    <definedName name="_xlnm.Print_Area" localSheetId="106">'C-119'!$A$1:$N$37</definedName>
    <definedName name="_xlnm.Print_Area" localSheetId="107">'C-120'!$A$1:$N$37</definedName>
    <definedName name="_xlnm.Print_Area" localSheetId="108">'C-121'!$A$1:$N$37</definedName>
    <definedName name="_xlnm.Print_Area" localSheetId="110">'C-123'!$A$1:$N$37</definedName>
    <definedName name="_xlnm.Print_Area" localSheetId="111">'C-124'!$A$1:$N$37</definedName>
    <definedName name="_xlnm.Print_Area" localSheetId="113">'C-125'!$A$2:$R$55</definedName>
    <definedName name="_xlnm.Print_Area" localSheetId="116">'C-128'!$A$2:$V$35</definedName>
    <definedName name="_xlnm.Print_Area" localSheetId="117">'C-129'!$A$2:$V$35</definedName>
    <definedName name="_xlnm.Print_Area" localSheetId="118">'C-130'!$A$2:$V$35</definedName>
    <definedName name="_xlnm.Print_Area" localSheetId="119">'C-131'!$A$2:$T$35</definedName>
    <definedName name="_xlnm.Print_Area" localSheetId="120">'C-132'!$A$2:$T$35</definedName>
    <definedName name="_xlnm.Print_Area" localSheetId="121">'C-133'!$A$2:$V$35</definedName>
    <definedName name="_xlnm.Print_Area" localSheetId="122">'C-134'!$A$2:$V$35</definedName>
    <definedName name="_xlnm.Print_Area" localSheetId="123">'C-135'!$A$2:$U$35</definedName>
    <definedName name="_xlnm.Print_Area" localSheetId="3">'C-4'!$A$2:$I$39</definedName>
    <definedName name="_xlnm.Print_Area" localSheetId="49">'C-50'!$A$4:$N$40</definedName>
    <definedName name="_xlnm.Print_Area" localSheetId="50">'C-51'!$A$4:$N$40</definedName>
    <definedName name="_xlnm.Print_Area" localSheetId="51">'C-52'!$A$4:$N$40</definedName>
    <definedName name="_xlnm.Print_Area" localSheetId="52">'C-53'!$A$4:$N$40</definedName>
    <definedName name="_xlnm.Print_Area" localSheetId="53">'C-54'!$A$4:$N$40</definedName>
    <definedName name="_xlnm.Print_Area" localSheetId="54">'C-55'!$A$4:$N$40</definedName>
    <definedName name="_xlnm.Print_Area" localSheetId="55">'C-56'!$A$4:$N$40</definedName>
    <definedName name="_xlnm.Print_Area" localSheetId="56">'C-57'!$A$4:$N$40</definedName>
    <definedName name="_xlnm.Print_Area" localSheetId="57">'C-58'!$A$4:$N$40</definedName>
    <definedName name="_xlnm.Print_Area" localSheetId="58">'C-59'!$A$1:$N$40</definedName>
    <definedName name="_xlnm.Print_Area" localSheetId="59">'C-60'!$A$4:$N$40</definedName>
    <definedName name="_xlnm.Print_Area" localSheetId="60">'C-61'!$A$4:$N$40</definedName>
    <definedName name="_xlnm.Print_Area" localSheetId="61">'C-62'!$A$4:$N$40</definedName>
    <definedName name="_xlnm.Print_Area" localSheetId="62">'C-63'!$A$4:$N$40</definedName>
    <definedName name="_xlnm.Print_Area" localSheetId="63">'C-64'!$A$4:$N$40</definedName>
    <definedName name="_xlnm.Print_Area" localSheetId="64">'C-65'!$A$4:$N$40</definedName>
    <definedName name="_xlnm.Print_Area" localSheetId="65">'C-66'!$A$4:$N$40</definedName>
    <definedName name="_xlnm.Print_Area" localSheetId="66">'C-67'!$A$1:$N$40</definedName>
    <definedName name="_xlnm.Print_Area" localSheetId="67">'C-68'!$A$4:$N$40</definedName>
    <definedName name="_xlnm.Print_Area" localSheetId="68">'C-69'!$A$4:$N$40</definedName>
    <definedName name="_xlnm.Print_Area" localSheetId="69">'C-70'!$A$4:$N$40</definedName>
    <definedName name="_xlnm.Print_Area" localSheetId="70">'C-71'!$A$4:$N$40</definedName>
    <definedName name="_xlnm.Print_Area" localSheetId="71">'C-72'!$A$4:$N$40</definedName>
    <definedName name="_xlnm.Print_Area" localSheetId="72">'C-73'!$A$4:$N$40</definedName>
    <definedName name="_xlnm.Print_Area" localSheetId="73">'C-74'!$A$4:$N$40</definedName>
    <definedName name="_xlnm.Print_Area" localSheetId="74">'C-75'!$A$4:$N$40</definedName>
    <definedName name="_xlnm.Print_Area" localSheetId="75">'C-76'!$A$4:$N$40</definedName>
    <definedName name="_xlnm.Print_Area" localSheetId="76">'C-77'!$A$4:$N$41</definedName>
    <definedName name="_xlnm.Print_Area" localSheetId="77">'C-78'!$A$4:$N$40</definedName>
    <definedName name="_xlnm.Print_Area" localSheetId="78">'C-79'!$A$4:$N$40</definedName>
    <definedName name="_xlnm.Print_Area" localSheetId="79">'C-80'!$A$4:$N$40</definedName>
    <definedName name="_xlnm.Print_Area" localSheetId="80">'C-81'!$A$4:$N$40</definedName>
    <definedName name="_xlnm.Print_Area" localSheetId="81">'C-82'!$A$4:$N$40</definedName>
    <definedName name="_xlnm.Print_Area" localSheetId="82">'C-83'!$A$4:$N$40</definedName>
    <definedName name="_xlnm.Print_Area" localSheetId="83">'C-84'!$A$4:$N$40</definedName>
    <definedName name="_xlnm.Print_Area" localSheetId="84">'C-85'!$A$4:$N$40</definedName>
    <definedName name="_xlnm.Print_Area" localSheetId="87">'C-88'!$A$3:$G$40</definedName>
    <definedName name="_xlnm.Print_Area" localSheetId="88">'C-89'!$A$3:$G$40</definedName>
    <definedName name="_xlnm.Print_Area">#REF!</definedName>
    <definedName name="_xlnm.Print_Titles" localSheetId="125">'C 137'!$1:$2</definedName>
  </definedNames>
  <calcPr calcId="191029"/>
  <webPublishing allowPng="1" targetScreenSize="1024x768" codePage="10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K19" i="56" l="1"/>
  <c r="BU31" i="56"/>
  <c r="BV31" i="56"/>
  <c r="BW31" i="56"/>
  <c r="BX31" i="56"/>
  <c r="BY31" i="56"/>
  <c r="BZ31" i="56"/>
  <c r="CA31" i="56"/>
  <c r="CB31" i="56"/>
  <c r="CC31" i="56"/>
  <c r="CD31" i="56"/>
  <c r="CE31" i="56"/>
  <c r="CF31" i="56"/>
  <c r="BF31" i="56"/>
  <c r="BT31" i="56" s="1"/>
  <c r="AR31" i="56"/>
  <c r="G32" i="53"/>
  <c r="G33" i="53"/>
  <c r="G34" i="53"/>
  <c r="D34" i="53"/>
  <c r="D35" i="53"/>
  <c r="W44" i="5" l="1"/>
  <c r="CF36" i="56" l="1"/>
  <c r="CE36" i="56"/>
  <c r="CD36" i="56"/>
  <c r="CC36" i="56"/>
  <c r="CB36" i="56"/>
  <c r="CA36" i="56"/>
  <c r="BZ36" i="56"/>
  <c r="BY36" i="56"/>
  <c r="BX36" i="56"/>
  <c r="BW36" i="56"/>
  <c r="BV36" i="56"/>
  <c r="AR36" i="56"/>
  <c r="BF36" i="56"/>
  <c r="P8" i="56"/>
  <c r="P9" i="56"/>
  <c r="P10" i="56"/>
  <c r="P11" i="56"/>
  <c r="P12" i="56"/>
  <c r="P13" i="56"/>
  <c r="P14" i="56"/>
  <c r="P15" i="56"/>
  <c r="P16" i="56"/>
  <c r="P17" i="56"/>
  <c r="P18" i="56"/>
  <c r="P19" i="56"/>
  <c r="P20" i="56"/>
  <c r="P21" i="56"/>
  <c r="P22" i="56"/>
  <c r="P23" i="56"/>
  <c r="P24" i="56"/>
  <c r="P25" i="56"/>
  <c r="P26" i="56"/>
  <c r="P27" i="56"/>
  <c r="P28" i="56"/>
  <c r="P29" i="56"/>
  <c r="P30" i="56"/>
  <c r="P31" i="56"/>
  <c r="P32" i="56"/>
  <c r="P33" i="56"/>
  <c r="P34" i="56"/>
  <c r="P35" i="56"/>
  <c r="G32" i="54"/>
  <c r="G37" i="54"/>
  <c r="D37" i="54"/>
  <c r="V6" i="154"/>
  <c r="V6" i="153"/>
  <c r="BT36" i="56" l="1"/>
  <c r="V6" i="155"/>
  <c r="U6" i="153"/>
  <c r="U6" i="154"/>
  <c r="U6" i="155"/>
  <c r="C45" i="8"/>
  <c r="C47" i="8" s="1"/>
  <c r="C46" i="8"/>
  <c r="C50" i="8"/>
  <c r="C49" i="8"/>
  <c r="C54" i="8"/>
  <c r="C53" i="8"/>
  <c r="C58" i="8"/>
  <c r="C57" i="8"/>
  <c r="C22" i="8"/>
  <c r="C24" i="8" s="1"/>
  <c r="D24" i="8"/>
  <c r="C18" i="8"/>
  <c r="C17" i="8"/>
  <c r="C13" i="8"/>
  <c r="C12" i="8"/>
  <c r="C27" i="8"/>
  <c r="C29" i="8" s="1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5" i="5"/>
  <c r="AA34" i="5"/>
  <c r="AA33" i="5"/>
  <c r="Z33" i="5"/>
  <c r="AA10" i="5"/>
  <c r="AA37" i="5" s="1"/>
  <c r="Z10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8" i="5"/>
  <c r="AB7" i="5"/>
  <c r="AB6" i="5"/>
  <c r="I36" i="6" l="1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C53" i="58" l="1"/>
  <c r="D54" i="58"/>
  <c r="D51" i="58"/>
  <c r="D50" i="58"/>
  <c r="D49" i="58"/>
  <c r="D48" i="58"/>
  <c r="D47" i="58"/>
  <c r="D46" i="58"/>
  <c r="D45" i="58"/>
  <c r="D44" i="58"/>
  <c r="D43" i="58"/>
  <c r="D42" i="58"/>
  <c r="D41" i="58"/>
  <c r="D40" i="58"/>
  <c r="D39" i="58"/>
  <c r="D38" i="58"/>
  <c r="D37" i="58"/>
  <c r="C37" i="58" s="1"/>
  <c r="E54" i="58"/>
  <c r="E50" i="58"/>
  <c r="E49" i="58"/>
  <c r="E48" i="58"/>
  <c r="E47" i="58"/>
  <c r="E46" i="58"/>
  <c r="E45" i="58"/>
  <c r="E44" i="58"/>
  <c r="E43" i="58"/>
  <c r="E42" i="58"/>
  <c r="E41" i="58"/>
  <c r="E40" i="58"/>
  <c r="E39" i="58"/>
  <c r="E38" i="58"/>
  <c r="E37" i="58"/>
  <c r="H36" i="6"/>
  <c r="G36" i="6"/>
  <c r="F36" i="6"/>
  <c r="H35" i="6"/>
  <c r="G35" i="6"/>
  <c r="F35" i="6"/>
  <c r="H34" i="6"/>
  <c r="G34" i="6"/>
  <c r="F34" i="6"/>
  <c r="H33" i="6"/>
  <c r="G33" i="6"/>
  <c r="F33" i="6"/>
  <c r="H32" i="6"/>
  <c r="G32" i="6"/>
  <c r="F32" i="6"/>
  <c r="H31" i="6"/>
  <c r="G31" i="6"/>
  <c r="F31" i="6"/>
  <c r="H30" i="6"/>
  <c r="G30" i="6"/>
  <c r="F30" i="6"/>
  <c r="H29" i="6"/>
  <c r="G29" i="6"/>
  <c r="F29" i="6"/>
  <c r="H28" i="6"/>
  <c r="G28" i="6"/>
  <c r="F28" i="6"/>
  <c r="H27" i="6"/>
  <c r="G27" i="6"/>
  <c r="F27" i="6"/>
  <c r="H26" i="6"/>
  <c r="G26" i="6"/>
  <c r="F26" i="6"/>
  <c r="H25" i="6"/>
  <c r="G25" i="6"/>
  <c r="F25" i="6"/>
  <c r="H24" i="6"/>
  <c r="G24" i="6"/>
  <c r="F24" i="6"/>
  <c r="H23" i="6"/>
  <c r="G23" i="6"/>
  <c r="F23" i="6"/>
  <c r="H22" i="6"/>
  <c r="G22" i="6"/>
  <c r="F22" i="6"/>
  <c r="H21" i="6"/>
  <c r="G21" i="6"/>
  <c r="F21" i="6"/>
  <c r="H20" i="6"/>
  <c r="G20" i="6"/>
  <c r="F20" i="6"/>
  <c r="H19" i="6"/>
  <c r="G19" i="6"/>
  <c r="F19" i="6"/>
  <c r="H18" i="6"/>
  <c r="G18" i="6"/>
  <c r="F18" i="6"/>
  <c r="H17" i="6"/>
  <c r="G17" i="6"/>
  <c r="F17" i="6"/>
  <c r="H16" i="6"/>
  <c r="G16" i="6"/>
  <c r="F16" i="6"/>
  <c r="H15" i="6"/>
  <c r="G15" i="6"/>
  <c r="F15" i="6"/>
  <c r="H14" i="6"/>
  <c r="G14" i="6"/>
  <c r="F14" i="6"/>
  <c r="H13" i="6"/>
  <c r="G13" i="6"/>
  <c r="F13" i="6"/>
  <c r="H12" i="6"/>
  <c r="G12" i="6"/>
  <c r="F12" i="6"/>
  <c r="H11" i="6"/>
  <c r="G11" i="6"/>
  <c r="F11" i="6"/>
  <c r="H10" i="6"/>
  <c r="G10" i="6"/>
  <c r="F10" i="6"/>
  <c r="H9" i="6"/>
  <c r="G9" i="6"/>
  <c r="F9" i="6"/>
  <c r="H8" i="6"/>
  <c r="G8" i="6"/>
  <c r="F8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B35" i="6"/>
  <c r="B34" i="6"/>
  <c r="B33" i="6"/>
  <c r="B32" i="6"/>
  <c r="B31" i="6"/>
  <c r="B30" i="6"/>
  <c r="B29" i="6"/>
  <c r="B28" i="6"/>
  <c r="B15" i="6"/>
  <c r="B14" i="6"/>
  <c r="B13" i="6"/>
  <c r="B36" i="6"/>
  <c r="B12" i="6"/>
  <c r="B27" i="6"/>
  <c r="B26" i="6"/>
  <c r="B25" i="6"/>
  <c r="B24" i="6"/>
  <c r="B23" i="6"/>
  <c r="B22" i="6"/>
  <c r="B21" i="6"/>
  <c r="B20" i="6"/>
  <c r="B19" i="6"/>
  <c r="B18" i="6"/>
  <c r="B17" i="6"/>
  <c r="B16" i="6"/>
  <c r="B11" i="6"/>
  <c r="B10" i="6"/>
  <c r="B9" i="6"/>
  <c r="B8" i="6"/>
  <c r="C8" i="8"/>
  <c r="C7" i="8"/>
  <c r="U6" i="158"/>
  <c r="S6" i="157"/>
  <c r="D6" i="167"/>
  <c r="C6" i="167"/>
  <c r="J54" i="58"/>
  <c r="J51" i="58"/>
  <c r="J50" i="58"/>
  <c r="J49" i="58"/>
  <c r="R17" i="86" l="1"/>
  <c r="Q17" i="86"/>
  <c r="B32" i="69"/>
  <c r="E32" i="69"/>
  <c r="H32" i="69"/>
  <c r="K32" i="69"/>
  <c r="C29" i="53"/>
  <c r="N45" i="52"/>
  <c r="N41" i="52"/>
  <c r="N37" i="52"/>
  <c r="N18" i="52"/>
  <c r="N14" i="52"/>
  <c r="N10" i="52"/>
  <c r="U6" i="151"/>
  <c r="U6" i="150"/>
  <c r="K52" i="62"/>
  <c r="I52" i="62"/>
  <c r="H52" i="62"/>
  <c r="G52" i="62"/>
  <c r="F52" i="62"/>
  <c r="E52" i="62"/>
  <c r="D52" i="62"/>
  <c r="J52" i="62" l="1"/>
  <c r="K54" i="58"/>
  <c r="I54" i="58"/>
  <c r="H54" i="58"/>
  <c r="G54" i="58"/>
  <c r="F54" i="58"/>
  <c r="U6" i="148"/>
  <c r="U6" i="147"/>
  <c r="U6" i="146"/>
  <c r="U6" i="144"/>
  <c r="U6" i="143"/>
  <c r="U6" i="141"/>
  <c r="U6" i="140"/>
  <c r="U6" i="139"/>
  <c r="U6" i="137"/>
  <c r="U6" i="136"/>
  <c r="U6" i="135"/>
  <c r="U6" i="133"/>
  <c r="U6" i="132"/>
  <c r="U6" i="130"/>
  <c r="U6" i="129"/>
  <c r="U6" i="128"/>
  <c r="U6" i="126"/>
  <c r="U6" i="125"/>
  <c r="U6" i="124"/>
  <c r="V6" i="124"/>
  <c r="U6" i="122"/>
  <c r="U6" i="121"/>
  <c r="U6" i="119"/>
  <c r="AB59" i="7"/>
  <c r="AB55" i="7"/>
  <c r="AB51" i="7"/>
  <c r="AB47" i="7"/>
  <c r="AB43" i="7"/>
  <c r="AB39" i="7"/>
  <c r="AB34" i="7"/>
  <c r="AB29" i="7"/>
  <c r="AB24" i="7"/>
  <c r="AB19" i="7"/>
  <c r="AB14" i="7"/>
  <c r="AB9" i="7"/>
  <c r="U6" i="118"/>
  <c r="U6" i="117"/>
  <c r="C51" i="62"/>
  <c r="B23" i="62"/>
  <c r="O56" i="66"/>
  <c r="N56" i="66"/>
  <c r="M56" i="66"/>
  <c r="L56" i="66"/>
  <c r="K56" i="66"/>
  <c r="H56" i="66"/>
  <c r="G56" i="66"/>
  <c r="F56" i="66"/>
  <c r="J26" i="66"/>
  <c r="J56" i="66" s="1"/>
  <c r="E26" i="66"/>
  <c r="D68" i="166"/>
  <c r="D67" i="166"/>
  <c r="D66" i="166"/>
  <c r="D65" i="166"/>
  <c r="D64" i="166"/>
  <c r="D63" i="166"/>
  <c r="D62" i="166"/>
  <c r="D61" i="166"/>
  <c r="D60" i="166"/>
  <c r="D59" i="166"/>
  <c r="D58" i="166"/>
  <c r="D57" i="166"/>
  <c r="G56" i="166"/>
  <c r="F56" i="166"/>
  <c r="E56" i="166"/>
  <c r="C56" i="166"/>
  <c r="D56" i="166" s="1"/>
  <c r="B56" i="166"/>
  <c r="C54" i="58" l="1"/>
  <c r="E56" i="66"/>
  <c r="C26" i="66"/>
  <c r="C56" i="66" s="1"/>
  <c r="O45" i="52"/>
  <c r="M45" i="52"/>
  <c r="L45" i="52"/>
  <c r="K45" i="52"/>
  <c r="J45" i="52"/>
  <c r="I45" i="52"/>
  <c r="H45" i="52"/>
  <c r="G45" i="52"/>
  <c r="F45" i="52"/>
  <c r="E45" i="52"/>
  <c r="D45" i="52"/>
  <c r="C45" i="52"/>
  <c r="O41" i="52"/>
  <c r="M41" i="52"/>
  <c r="L41" i="52"/>
  <c r="K41" i="52"/>
  <c r="J41" i="52"/>
  <c r="I41" i="52"/>
  <c r="H41" i="52"/>
  <c r="G41" i="52"/>
  <c r="F41" i="52"/>
  <c r="E41" i="52"/>
  <c r="D41" i="52"/>
  <c r="C41" i="52"/>
  <c r="O37" i="52"/>
  <c r="M37" i="52"/>
  <c r="L37" i="52"/>
  <c r="K37" i="52"/>
  <c r="J37" i="52"/>
  <c r="I37" i="52"/>
  <c r="H37" i="52"/>
  <c r="G37" i="52"/>
  <c r="F37" i="52"/>
  <c r="E37" i="52"/>
  <c r="D37" i="52"/>
  <c r="C37" i="52"/>
  <c r="O18" i="52"/>
  <c r="M18" i="52"/>
  <c r="L18" i="52"/>
  <c r="K18" i="52"/>
  <c r="J18" i="52"/>
  <c r="I18" i="52"/>
  <c r="H18" i="52"/>
  <c r="G18" i="52"/>
  <c r="F18" i="52"/>
  <c r="E18" i="52"/>
  <c r="D18" i="52"/>
  <c r="C18" i="52"/>
  <c r="O14" i="52"/>
  <c r="M14" i="52"/>
  <c r="L14" i="52"/>
  <c r="K14" i="52"/>
  <c r="J14" i="52"/>
  <c r="I14" i="52"/>
  <c r="H14" i="52"/>
  <c r="G14" i="52"/>
  <c r="F14" i="52"/>
  <c r="E14" i="52"/>
  <c r="D14" i="52"/>
  <c r="C14" i="52"/>
  <c r="O10" i="52"/>
  <c r="M10" i="52"/>
  <c r="L10" i="52"/>
  <c r="K10" i="52"/>
  <c r="J10" i="52"/>
  <c r="I10" i="52"/>
  <c r="H10" i="52"/>
  <c r="G10" i="52"/>
  <c r="F10" i="52"/>
  <c r="E10" i="52"/>
  <c r="D10" i="52"/>
  <c r="C10" i="52"/>
  <c r="P17" i="86" l="1"/>
  <c r="O17" i="86"/>
  <c r="N17" i="86"/>
  <c r="M17" i="86"/>
  <c r="L17" i="86"/>
  <c r="K17" i="86"/>
  <c r="J17" i="86"/>
  <c r="I17" i="86"/>
  <c r="H17" i="86"/>
  <c r="G17" i="86"/>
  <c r="AB6" i="56"/>
  <c r="AA6" i="56"/>
  <c r="X6" i="56"/>
  <c r="V6" i="56"/>
  <c r="U6" i="56"/>
  <c r="T6" i="56"/>
  <c r="S6" i="56"/>
  <c r="R6" i="56"/>
  <c r="Q6" i="56"/>
  <c r="Z6" i="56"/>
  <c r="Y6" i="56"/>
  <c r="W6" i="56"/>
  <c r="G35" i="53"/>
  <c r="D33" i="53"/>
  <c r="G31" i="53"/>
  <c r="D31" i="53"/>
  <c r="G30" i="53"/>
  <c r="D30" i="53"/>
  <c r="G29" i="53"/>
  <c r="D29" i="53"/>
  <c r="G28" i="53"/>
  <c r="D28" i="53"/>
  <c r="G27" i="53"/>
  <c r="D27" i="53"/>
  <c r="G26" i="53"/>
  <c r="D26" i="53"/>
  <c r="G25" i="53"/>
  <c r="D25" i="53"/>
  <c r="G24" i="53"/>
  <c r="D24" i="53"/>
  <c r="G23" i="53"/>
  <c r="D23" i="53"/>
  <c r="G22" i="53"/>
  <c r="D22" i="53"/>
  <c r="G21" i="53"/>
  <c r="D21" i="53"/>
  <c r="G20" i="53"/>
  <c r="D20" i="53"/>
  <c r="G19" i="53"/>
  <c r="D19" i="53"/>
  <c r="G18" i="53"/>
  <c r="D18" i="53"/>
  <c r="G17" i="53"/>
  <c r="D17" i="53"/>
  <c r="G16" i="53"/>
  <c r="D16" i="53"/>
  <c r="G15" i="53"/>
  <c r="D15" i="53"/>
  <c r="G14" i="53"/>
  <c r="D14" i="53"/>
  <c r="G13" i="53"/>
  <c r="D13" i="53"/>
  <c r="G12" i="53"/>
  <c r="D12" i="53"/>
  <c r="G11" i="53"/>
  <c r="D11" i="53"/>
  <c r="G10" i="53"/>
  <c r="D10" i="53"/>
  <c r="G9" i="53"/>
  <c r="D9" i="53"/>
  <c r="E7" i="53"/>
  <c r="C7" i="53"/>
  <c r="B7" i="53"/>
  <c r="D7" i="53" l="1"/>
  <c r="P6" i="56"/>
  <c r="F7" i="53"/>
  <c r="G7" i="53" s="1"/>
  <c r="DK20" i="56" l="1"/>
  <c r="F7" i="54"/>
  <c r="E7" i="54"/>
  <c r="G7" i="54" l="1"/>
  <c r="C52" i="62" l="1"/>
  <c r="C49" i="62"/>
  <c r="C50" i="62"/>
  <c r="F52" i="58" l="1"/>
  <c r="C51" i="58"/>
  <c r="C50" i="58"/>
  <c r="C49" i="58"/>
  <c r="C48" i="58"/>
  <c r="C47" i="58"/>
  <c r="C46" i="58"/>
  <c r="C45" i="58"/>
  <c r="C44" i="58"/>
  <c r="C43" i="58"/>
  <c r="C42" i="58"/>
  <c r="C41" i="58"/>
  <c r="C40" i="58"/>
  <c r="C39" i="58"/>
  <c r="C38" i="58"/>
  <c r="B21" i="50"/>
  <c r="B18" i="50"/>
  <c r="B17" i="50"/>
  <c r="B15" i="50"/>
  <c r="B14" i="50"/>
  <c r="B13" i="50"/>
  <c r="B12" i="50"/>
  <c r="B10" i="50"/>
  <c r="B33" i="50"/>
  <c r="B32" i="50"/>
  <c r="B31" i="50"/>
  <c r="B30" i="50"/>
  <c r="B29" i="50"/>
  <c r="B28" i="50"/>
  <c r="B27" i="50"/>
  <c r="B26" i="50"/>
  <c r="B25" i="50"/>
  <c r="B24" i="50"/>
  <c r="B23" i="50"/>
  <c r="B22" i="50"/>
  <c r="B19" i="50"/>
  <c r="N8" i="50"/>
  <c r="M8" i="50"/>
  <c r="L8" i="50"/>
  <c r="K8" i="50"/>
  <c r="J8" i="50"/>
  <c r="I8" i="50"/>
  <c r="H8" i="50"/>
  <c r="G8" i="50"/>
  <c r="F8" i="50"/>
  <c r="E8" i="50"/>
  <c r="D8" i="50"/>
  <c r="C8" i="50"/>
  <c r="V6" i="140"/>
  <c r="N47" i="8"/>
  <c r="L47" i="8"/>
  <c r="I47" i="8"/>
  <c r="G47" i="8"/>
  <c r="E47" i="8"/>
  <c r="O47" i="8"/>
  <c r="M47" i="8"/>
  <c r="K47" i="8"/>
  <c r="J47" i="8"/>
  <c r="H47" i="8"/>
  <c r="F47" i="8"/>
  <c r="D47" i="8"/>
  <c r="O9" i="8"/>
  <c r="N9" i="8"/>
  <c r="M9" i="8"/>
  <c r="L9" i="8"/>
  <c r="K9" i="8"/>
  <c r="J9" i="8"/>
  <c r="I9" i="8"/>
  <c r="H9" i="8"/>
  <c r="G9" i="8"/>
  <c r="F9" i="8"/>
  <c r="E9" i="8"/>
  <c r="D9" i="8"/>
  <c r="C9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O24" i="8"/>
  <c r="N24" i="8"/>
  <c r="M24" i="8"/>
  <c r="L24" i="8"/>
  <c r="K24" i="8"/>
  <c r="J24" i="8"/>
  <c r="I24" i="8"/>
  <c r="H24" i="8"/>
  <c r="G24" i="8"/>
  <c r="F24" i="8"/>
  <c r="E24" i="8"/>
  <c r="O29" i="8"/>
  <c r="N29" i="8"/>
  <c r="M29" i="8"/>
  <c r="L29" i="8"/>
  <c r="K29" i="8"/>
  <c r="J29" i="8"/>
  <c r="I29" i="8"/>
  <c r="H29" i="8"/>
  <c r="G29" i="8"/>
  <c r="F29" i="8"/>
  <c r="E29" i="8"/>
  <c r="D29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O55" i="8"/>
  <c r="N55" i="8"/>
  <c r="M55" i="8"/>
  <c r="L55" i="8"/>
  <c r="J55" i="8"/>
  <c r="I55" i="8"/>
  <c r="H55" i="8"/>
  <c r="G55" i="8"/>
  <c r="F55" i="8"/>
  <c r="E55" i="8"/>
  <c r="D55" i="8"/>
  <c r="C55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AC59" i="7"/>
  <c r="AC55" i="7"/>
  <c r="AC51" i="7"/>
  <c r="AC47" i="7"/>
  <c r="AA43" i="7"/>
  <c r="AC43" i="7"/>
  <c r="AC39" i="7"/>
  <c r="AC34" i="7"/>
  <c r="AC29" i="7"/>
  <c r="AA24" i="7"/>
  <c r="AC24" i="7"/>
  <c r="AA19" i="7"/>
  <c r="AC19" i="7"/>
  <c r="AA14" i="7"/>
  <c r="AC14" i="7"/>
  <c r="AC9" i="7"/>
  <c r="C52" i="58" l="1"/>
  <c r="B8" i="50"/>
  <c r="D16" i="166"/>
  <c r="D15" i="166"/>
  <c r="D14" i="166"/>
  <c r="D13" i="166"/>
  <c r="D12" i="166"/>
  <c r="D11" i="166"/>
  <c r="D10" i="166"/>
  <c r="D9" i="166"/>
  <c r="D8" i="166"/>
  <c r="D7" i="166"/>
  <c r="D6" i="166"/>
  <c r="D5" i="166"/>
  <c r="G4" i="166"/>
  <c r="F4" i="166"/>
  <c r="E4" i="166"/>
  <c r="C4" i="166"/>
  <c r="B4" i="166"/>
  <c r="G30" i="166"/>
  <c r="F30" i="166"/>
  <c r="E30" i="166"/>
  <c r="C30" i="166"/>
  <c r="B30" i="166"/>
  <c r="G69" i="166"/>
  <c r="F69" i="166"/>
  <c r="E69" i="166"/>
  <c r="C69" i="166"/>
  <c r="B69" i="166"/>
  <c r="G43" i="166"/>
  <c r="F43" i="166"/>
  <c r="E43" i="166"/>
  <c r="C43" i="166"/>
  <c r="B43" i="166"/>
  <c r="G17" i="166"/>
  <c r="F17" i="166"/>
  <c r="E17" i="166"/>
  <c r="C17" i="166"/>
  <c r="B17" i="166"/>
  <c r="O36" i="113"/>
  <c r="O40" i="113"/>
  <c r="N40" i="113"/>
  <c r="M40" i="113"/>
  <c r="L40" i="113"/>
  <c r="K40" i="113"/>
  <c r="J40" i="113"/>
  <c r="I40" i="113"/>
  <c r="H40" i="113"/>
  <c r="G40" i="113"/>
  <c r="F40" i="113"/>
  <c r="E40" i="113"/>
  <c r="D40" i="113"/>
  <c r="O44" i="113"/>
  <c r="N44" i="113"/>
  <c r="M44" i="113"/>
  <c r="L44" i="113"/>
  <c r="K44" i="113"/>
  <c r="J44" i="113"/>
  <c r="I44" i="113"/>
  <c r="H44" i="113"/>
  <c r="G44" i="113"/>
  <c r="F44" i="113"/>
  <c r="E44" i="113"/>
  <c r="D44" i="113"/>
  <c r="O28" i="113"/>
  <c r="N28" i="113"/>
  <c r="M28" i="113"/>
  <c r="L28" i="113"/>
  <c r="K28" i="113"/>
  <c r="J28" i="113"/>
  <c r="I28" i="113"/>
  <c r="H28" i="113"/>
  <c r="G28" i="113"/>
  <c r="F28" i="113"/>
  <c r="E28" i="113"/>
  <c r="D28" i="113"/>
  <c r="O16" i="113"/>
  <c r="N16" i="113"/>
  <c r="M16" i="113"/>
  <c r="L16" i="113"/>
  <c r="K16" i="113"/>
  <c r="J16" i="113"/>
  <c r="I16" i="113"/>
  <c r="H16" i="113"/>
  <c r="G16" i="113"/>
  <c r="F16" i="113"/>
  <c r="E16" i="113"/>
  <c r="D16" i="113"/>
  <c r="O12" i="113"/>
  <c r="M12" i="113"/>
  <c r="L12" i="113"/>
  <c r="K12" i="113"/>
  <c r="H12" i="113"/>
  <c r="E12" i="113"/>
  <c r="D12" i="113"/>
  <c r="O8" i="113"/>
  <c r="N8" i="113"/>
  <c r="M8" i="113"/>
  <c r="L8" i="113"/>
  <c r="K8" i="113"/>
  <c r="J8" i="113"/>
  <c r="I8" i="113"/>
  <c r="H8" i="113"/>
  <c r="G8" i="113"/>
  <c r="F8" i="113"/>
  <c r="E8" i="113"/>
  <c r="D8" i="113"/>
  <c r="D81" i="166"/>
  <c r="D80" i="166"/>
  <c r="D79" i="166"/>
  <c r="D78" i="166"/>
  <c r="D77" i="166"/>
  <c r="D76" i="166"/>
  <c r="D75" i="166"/>
  <c r="D74" i="166"/>
  <c r="D73" i="166"/>
  <c r="D72" i="166"/>
  <c r="D71" i="166"/>
  <c r="D70" i="166"/>
  <c r="D31" i="166"/>
  <c r="D29" i="166"/>
  <c r="D28" i="166"/>
  <c r="D27" i="166"/>
  <c r="D26" i="166"/>
  <c r="D25" i="166"/>
  <c r="D24" i="166"/>
  <c r="D23" i="166"/>
  <c r="D22" i="166"/>
  <c r="D21" i="166"/>
  <c r="D20" i="166"/>
  <c r="D19" i="166"/>
  <c r="D18" i="166"/>
  <c r="D4" i="166" l="1"/>
  <c r="D30" i="166"/>
  <c r="D17" i="166"/>
  <c r="D69" i="166"/>
  <c r="D43" i="166"/>
  <c r="O57" i="66"/>
  <c r="N57" i="66"/>
  <c r="M57" i="66"/>
  <c r="L57" i="66"/>
  <c r="K57" i="66"/>
  <c r="H57" i="66"/>
  <c r="G57" i="66"/>
  <c r="F57" i="66"/>
  <c r="C25" i="66"/>
  <c r="C55" i="66" s="1"/>
  <c r="E27" i="66"/>
  <c r="E57" i="66" s="1"/>
  <c r="J27" i="66"/>
  <c r="J57" i="66" s="1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Z39" i="5"/>
  <c r="Y33" i="5"/>
  <c r="Y35" i="5"/>
  <c r="Y34" i="5"/>
  <c r="Z37" i="5" l="1"/>
  <c r="AB10" i="5"/>
  <c r="C27" i="66"/>
  <c r="C57" i="66" s="1"/>
  <c r="B6" i="6"/>
  <c r="T6" i="158"/>
  <c r="R6" i="157"/>
  <c r="T6" i="155"/>
  <c r="T6" i="154"/>
  <c r="T6" i="153"/>
  <c r="B24" i="62"/>
  <c r="D37" i="55"/>
  <c r="T6" i="151"/>
  <c r="T6" i="150"/>
  <c r="T6" i="148"/>
  <c r="T6" i="147"/>
  <c r="T6" i="146"/>
  <c r="T6" i="144"/>
  <c r="T6" i="143"/>
  <c r="T6" i="141"/>
  <c r="T6" i="139"/>
  <c r="T6" i="137"/>
  <c r="T6" i="136"/>
  <c r="T6" i="135"/>
  <c r="T6" i="133"/>
  <c r="T6" i="132"/>
  <c r="T6" i="130"/>
  <c r="T6" i="129"/>
  <c r="T6" i="128"/>
  <c r="T6" i="126"/>
  <c r="T6" i="125"/>
  <c r="T6" i="124"/>
  <c r="T6" i="122"/>
  <c r="T6" i="121"/>
  <c r="T6" i="119"/>
  <c r="T6" i="118"/>
  <c r="T6" i="117"/>
  <c r="Y10" i="5"/>
  <c r="Y37" i="5" s="1"/>
  <c r="CI6" i="56"/>
  <c r="Z50" i="5" l="1"/>
  <c r="Z49" i="5"/>
  <c r="Z48" i="5"/>
  <c r="Z47" i="5"/>
  <c r="Z46" i="5"/>
  <c r="Z45" i="5"/>
  <c r="Z44" i="5"/>
  <c r="Z43" i="5"/>
  <c r="Z42" i="5"/>
  <c r="Z41" i="5"/>
  <c r="Z40" i="5"/>
  <c r="Z38" i="5"/>
  <c r="Z35" i="5"/>
  <c r="Z34" i="5"/>
  <c r="X50" i="5"/>
  <c r="X49" i="5"/>
  <c r="X48" i="5"/>
  <c r="X47" i="5"/>
  <c r="X46" i="5"/>
  <c r="X45" i="5"/>
  <c r="X44" i="5"/>
  <c r="X43" i="5"/>
  <c r="X42" i="5"/>
  <c r="X41" i="5"/>
  <c r="X40" i="5"/>
  <c r="X38" i="5"/>
  <c r="X35" i="5"/>
  <c r="X34" i="5"/>
  <c r="X33" i="5"/>
  <c r="X10" i="5"/>
  <c r="X37" i="5" s="1"/>
  <c r="B22" i="62" l="1"/>
  <c r="S6" i="158" l="1"/>
  <c r="Q6" i="157"/>
  <c r="S6" i="155"/>
  <c r="S6" i="154"/>
  <c r="S6" i="153"/>
  <c r="B31" i="59"/>
  <c r="C31" i="59"/>
  <c r="D31" i="59"/>
  <c r="E31" i="59"/>
  <c r="F31" i="59"/>
  <c r="G31" i="59"/>
  <c r="H31" i="59"/>
  <c r="I31" i="59"/>
  <c r="S6" i="151" l="1"/>
  <c r="S6" i="150"/>
  <c r="S6" i="148"/>
  <c r="S6" i="147"/>
  <c r="S6" i="146"/>
  <c r="S6" i="144"/>
  <c r="S6" i="143"/>
  <c r="S6" i="141"/>
  <c r="S6" i="139"/>
  <c r="S6" i="137"/>
  <c r="S6" i="136"/>
  <c r="S6" i="135"/>
  <c r="S6" i="133"/>
  <c r="S6" i="132"/>
  <c r="S6" i="130"/>
  <c r="S6" i="129"/>
  <c r="S6" i="128"/>
  <c r="S6" i="126"/>
  <c r="S6" i="125"/>
  <c r="S6" i="124"/>
  <c r="S6" i="122"/>
  <c r="S6" i="121"/>
  <c r="S6" i="119"/>
  <c r="S6" i="118"/>
  <c r="S6" i="117"/>
  <c r="N8" i="47" l="1"/>
  <c r="M8" i="47"/>
  <c r="L8" i="47"/>
  <c r="K8" i="47"/>
  <c r="J8" i="47"/>
  <c r="I8" i="47"/>
  <c r="H8" i="47"/>
  <c r="G8" i="47"/>
  <c r="F8" i="47"/>
  <c r="E8" i="47"/>
  <c r="D8" i="47"/>
  <c r="C8" i="47"/>
  <c r="N8" i="44"/>
  <c r="M8" i="44"/>
  <c r="L8" i="44"/>
  <c r="K8" i="44"/>
  <c r="J8" i="44"/>
  <c r="I8" i="44"/>
  <c r="H8" i="44"/>
  <c r="G8" i="44"/>
  <c r="F8" i="44"/>
  <c r="E8" i="44"/>
  <c r="D8" i="44"/>
  <c r="C8" i="44"/>
  <c r="D8" i="43"/>
  <c r="N8" i="43"/>
  <c r="M8" i="43"/>
  <c r="L8" i="43"/>
  <c r="K8" i="43"/>
  <c r="J8" i="43"/>
  <c r="I8" i="43"/>
  <c r="H8" i="43"/>
  <c r="G8" i="43"/>
  <c r="F8" i="43"/>
  <c r="E8" i="43"/>
  <c r="C8" i="43"/>
  <c r="B8" i="44" l="1"/>
  <c r="V6" i="146"/>
  <c r="V6" i="139"/>
  <c r="R6" i="153" l="1"/>
  <c r="Q6" i="153"/>
  <c r="P6" i="153"/>
  <c r="O6" i="153"/>
  <c r="I8" i="69" l="1"/>
  <c r="F8" i="69"/>
  <c r="E8" i="69"/>
  <c r="C8" i="69"/>
  <c r="B8" i="69"/>
  <c r="H8" i="69" l="1"/>
  <c r="J49" i="66" l="1"/>
  <c r="J48" i="66"/>
  <c r="J47" i="66"/>
  <c r="J46" i="66"/>
  <c r="J45" i="66"/>
  <c r="J44" i="66"/>
  <c r="J43" i="66"/>
  <c r="J42" i="66"/>
  <c r="J40" i="66"/>
  <c r="E49" i="66"/>
  <c r="E48" i="66"/>
  <c r="E47" i="66"/>
  <c r="E46" i="66"/>
  <c r="E45" i="66"/>
  <c r="E44" i="66"/>
  <c r="E43" i="66"/>
  <c r="E42" i="66"/>
  <c r="E41" i="66"/>
  <c r="C41" i="66" s="1"/>
  <c r="E40" i="66"/>
  <c r="J19" i="66"/>
  <c r="J18" i="66"/>
  <c r="J17" i="66"/>
  <c r="J16" i="66"/>
  <c r="J15" i="66"/>
  <c r="J14" i="66"/>
  <c r="J13" i="66"/>
  <c r="J12" i="66"/>
  <c r="J11" i="66"/>
  <c r="J10" i="66"/>
  <c r="E19" i="66"/>
  <c r="E18" i="66"/>
  <c r="E17" i="66"/>
  <c r="E16" i="66"/>
  <c r="E15" i="66"/>
  <c r="E14" i="66"/>
  <c r="E13" i="66"/>
  <c r="E12" i="66"/>
  <c r="E11" i="66"/>
  <c r="E10" i="66"/>
  <c r="C47" i="66" l="1"/>
  <c r="C46" i="66"/>
  <c r="C10" i="66"/>
  <c r="C11" i="66"/>
  <c r="C40" i="66"/>
  <c r="C15" i="66"/>
  <c r="C17" i="66"/>
  <c r="C12" i="66"/>
  <c r="C18" i="66"/>
  <c r="C13" i="66"/>
  <c r="C19" i="66"/>
  <c r="C43" i="66"/>
  <c r="C44" i="66"/>
  <c r="C42" i="66"/>
  <c r="C49" i="66"/>
  <c r="C48" i="66"/>
  <c r="C14" i="66"/>
  <c r="C45" i="66"/>
  <c r="C16" i="66"/>
  <c r="I32" i="69"/>
  <c r="R6" i="154"/>
  <c r="R6" i="155"/>
  <c r="P6" i="157"/>
  <c r="R6" i="158"/>
  <c r="B20" i="62" l="1"/>
  <c r="R6" i="151"/>
  <c r="R6" i="150"/>
  <c r="R6" i="148"/>
  <c r="R6" i="147"/>
  <c r="R6" i="144"/>
  <c r="R6" i="143"/>
  <c r="R6" i="141"/>
  <c r="R6" i="137"/>
  <c r="R6" i="136"/>
  <c r="R6" i="135"/>
  <c r="R6" i="133"/>
  <c r="R6" i="132"/>
  <c r="V6" i="130"/>
  <c r="V6" i="129" l="1"/>
  <c r="V6" i="128"/>
  <c r="V6" i="126"/>
  <c r="V6" i="125"/>
  <c r="V6" i="122"/>
  <c r="V6" i="121"/>
  <c r="V6" i="119"/>
  <c r="V6" i="118"/>
  <c r="V6" i="117"/>
  <c r="V6" i="158" l="1"/>
  <c r="O6" i="157"/>
  <c r="T6" i="157"/>
  <c r="Q6" i="155"/>
  <c r="Q6" i="154"/>
  <c r="B8" i="47" l="1"/>
  <c r="B27" i="47"/>
  <c r="B22" i="47" l="1"/>
  <c r="B26" i="47"/>
  <c r="B19" i="47"/>
  <c r="B19" i="46"/>
  <c r="B23" i="46"/>
  <c r="B27" i="46"/>
  <c r="B33" i="46"/>
  <c r="J8" i="46"/>
  <c r="N8" i="46"/>
  <c r="B28" i="46"/>
  <c r="B23" i="47"/>
  <c r="B28" i="47"/>
  <c r="B25" i="46"/>
  <c r="B29" i="46"/>
  <c r="B24" i="47"/>
  <c r="B33" i="47"/>
  <c r="B22" i="46"/>
  <c r="B26" i="46"/>
  <c r="B32" i="46"/>
  <c r="F8" i="46"/>
  <c r="B31" i="46"/>
  <c r="B25" i="47"/>
  <c r="B31" i="47"/>
  <c r="B24" i="46"/>
  <c r="B30" i="47"/>
  <c r="B32" i="47"/>
  <c r="G8" i="46"/>
  <c r="K8" i="46"/>
  <c r="D8" i="46"/>
  <c r="H8" i="46"/>
  <c r="L8" i="46"/>
  <c r="E8" i="46"/>
  <c r="I8" i="46"/>
  <c r="M8" i="46"/>
  <c r="B30" i="46"/>
  <c r="B29" i="47"/>
  <c r="M8" i="49"/>
  <c r="L8" i="49"/>
  <c r="K8" i="49"/>
  <c r="J8" i="49"/>
  <c r="E8" i="49"/>
  <c r="D8" i="49"/>
  <c r="C8" i="49"/>
  <c r="H8" i="49" l="1"/>
  <c r="N8" i="49"/>
  <c r="G8" i="49"/>
  <c r="I8" i="49"/>
  <c r="F8" i="49"/>
  <c r="C8" i="46"/>
  <c r="B8" i="46" s="1"/>
  <c r="Y59" i="7"/>
  <c r="Y55" i="7"/>
  <c r="Y51" i="7"/>
  <c r="Y47" i="7"/>
  <c r="Y43" i="7"/>
  <c r="Y39" i="7"/>
  <c r="Y34" i="7"/>
  <c r="Y29" i="7"/>
  <c r="Y24" i="7"/>
  <c r="Y19" i="7"/>
  <c r="Y14" i="7"/>
  <c r="Y9" i="7"/>
  <c r="B8" i="49" l="1"/>
  <c r="G37" i="55" l="1"/>
  <c r="F32" i="69" l="1"/>
  <c r="K8" i="69"/>
  <c r="B19" i="62" l="1"/>
  <c r="Q6" i="151"/>
  <c r="Q6" i="150" l="1"/>
  <c r="Q6" i="148"/>
  <c r="Q6" i="147"/>
  <c r="Q6" i="144"/>
  <c r="Q6" i="143"/>
  <c r="Q6" i="141"/>
  <c r="Q6" i="137" l="1"/>
  <c r="Q6" i="136"/>
  <c r="Q6" i="135"/>
  <c r="Q6" i="133"/>
  <c r="Q6" i="132"/>
  <c r="Q6" i="130"/>
  <c r="Q6" i="129"/>
  <c r="Q6" i="128"/>
  <c r="Q6" i="126"/>
  <c r="Q6" i="125"/>
  <c r="Q6" i="124" l="1"/>
  <c r="Q6" i="122"/>
  <c r="Q6" i="121"/>
  <c r="Q6" i="119"/>
  <c r="Q6" i="118"/>
  <c r="Q6" i="117"/>
  <c r="W50" i="5"/>
  <c r="W49" i="5"/>
  <c r="W48" i="5"/>
  <c r="W47" i="5"/>
  <c r="W46" i="5"/>
  <c r="W45" i="5"/>
  <c r="W43" i="5"/>
  <c r="W42" i="5"/>
  <c r="W41" i="5"/>
  <c r="W40" i="5"/>
  <c r="W38" i="5"/>
  <c r="W35" i="5"/>
  <c r="W34" i="5"/>
  <c r="W33" i="5"/>
  <c r="W10" i="5"/>
  <c r="W37" i="5" l="1"/>
  <c r="I8" i="59" l="1"/>
  <c r="H8" i="59"/>
  <c r="BZ31" i="116" l="1"/>
  <c r="BY31" i="116"/>
  <c r="BW31" i="116"/>
  <c r="BV31" i="116"/>
  <c r="BU31" i="116"/>
  <c r="BT31" i="116"/>
  <c r="BS31" i="116"/>
  <c r="BR31" i="116"/>
  <c r="I31" i="116"/>
  <c r="H31" i="116"/>
  <c r="G31" i="116"/>
  <c r="F31" i="116"/>
  <c r="E31" i="116"/>
  <c r="D31" i="116"/>
  <c r="C31" i="116"/>
  <c r="B31" i="116"/>
  <c r="BZ8" i="116"/>
  <c r="BY8" i="116"/>
  <c r="BW8" i="116"/>
  <c r="BV8" i="116"/>
  <c r="BU8" i="116"/>
  <c r="BT8" i="116"/>
  <c r="BS8" i="116"/>
  <c r="BR8" i="116"/>
  <c r="I8" i="116"/>
  <c r="H8" i="116"/>
  <c r="G8" i="116"/>
  <c r="F8" i="116"/>
  <c r="E8" i="116"/>
  <c r="D8" i="116"/>
  <c r="C8" i="116"/>
  <c r="B8" i="116"/>
  <c r="B21" i="62"/>
  <c r="B18" i="62"/>
  <c r="B17" i="62"/>
  <c r="B16" i="62"/>
  <c r="B15" i="62"/>
  <c r="B14" i="62"/>
  <c r="B13" i="62"/>
  <c r="B12" i="62"/>
  <c r="B11" i="62"/>
  <c r="B10" i="62"/>
  <c r="B9" i="62"/>
  <c r="B8" i="62"/>
  <c r="B7" i="62"/>
  <c r="BX31" i="59"/>
  <c r="BW31" i="59"/>
  <c r="BU31" i="59"/>
  <c r="BT31" i="59"/>
  <c r="BS31" i="59"/>
  <c r="BR31" i="59"/>
  <c r="BQ31" i="59"/>
  <c r="BP31" i="59"/>
  <c r="BX8" i="59"/>
  <c r="BW8" i="59"/>
  <c r="BU8" i="59"/>
  <c r="BT8" i="59"/>
  <c r="BS8" i="59"/>
  <c r="BR8" i="59"/>
  <c r="BQ8" i="59"/>
  <c r="BP8" i="59"/>
  <c r="G8" i="59"/>
  <c r="F8" i="59"/>
  <c r="E8" i="59"/>
  <c r="D8" i="59"/>
  <c r="C8" i="59"/>
  <c r="B8" i="59"/>
  <c r="V6" i="151" l="1"/>
  <c r="V6" i="150"/>
  <c r="V6" i="148"/>
  <c r="V6" i="147"/>
  <c r="V6" i="144"/>
  <c r="V6" i="143"/>
  <c r="V6" i="141"/>
  <c r="U10" i="5"/>
  <c r="U37" i="5" s="1"/>
  <c r="T10" i="5"/>
  <c r="T37" i="5" s="1"/>
  <c r="S10" i="5"/>
  <c r="S37" i="5" s="1"/>
  <c r="R10" i="5"/>
  <c r="R37" i="5" s="1"/>
  <c r="Q10" i="5"/>
  <c r="Q37" i="5" s="1"/>
  <c r="P10" i="5"/>
  <c r="P37" i="5" s="1"/>
  <c r="O10" i="5"/>
  <c r="O37" i="5" s="1"/>
  <c r="N10" i="5"/>
  <c r="N37" i="5" s="1"/>
  <c r="M10" i="5"/>
  <c r="M37" i="5" s="1"/>
  <c r="L10" i="5"/>
  <c r="L37" i="5" s="1"/>
  <c r="K10" i="5"/>
  <c r="J10" i="5"/>
  <c r="J37" i="5" s="1"/>
  <c r="V10" i="5"/>
  <c r="B29" i="43"/>
  <c r="V50" i="5"/>
  <c r="V49" i="5"/>
  <c r="V48" i="5"/>
  <c r="V47" i="5"/>
  <c r="V46" i="5"/>
  <c r="V45" i="5"/>
  <c r="V44" i="5"/>
  <c r="V43" i="5"/>
  <c r="V42" i="5"/>
  <c r="V41" i="5"/>
  <c r="V40" i="5"/>
  <c r="V38" i="5"/>
  <c r="V35" i="5"/>
  <c r="V34" i="5"/>
  <c r="V33" i="5"/>
  <c r="C12" i="15"/>
  <c r="C10" i="15"/>
  <c r="C9" i="15"/>
  <c r="C8" i="15"/>
  <c r="C25" i="112"/>
  <c r="D25" i="112"/>
  <c r="E25" i="112"/>
  <c r="F25" i="112"/>
  <c r="G25" i="112"/>
  <c r="H25" i="112"/>
  <c r="I25" i="112"/>
  <c r="J25" i="112"/>
  <c r="K25" i="112"/>
  <c r="L25" i="112"/>
  <c r="M25" i="112"/>
  <c r="N25" i="112"/>
  <c r="C16" i="112"/>
  <c r="D16" i="112"/>
  <c r="E16" i="112"/>
  <c r="F16" i="112"/>
  <c r="G16" i="112"/>
  <c r="H16" i="112"/>
  <c r="I16" i="112"/>
  <c r="J16" i="112"/>
  <c r="K16" i="112"/>
  <c r="L16" i="112"/>
  <c r="M16" i="112"/>
  <c r="N16" i="112"/>
  <c r="X34" i="7"/>
  <c r="X29" i="7"/>
  <c r="X24" i="7"/>
  <c r="X19" i="7"/>
  <c r="X14" i="7"/>
  <c r="X9" i="7"/>
  <c r="W9" i="7"/>
  <c r="V9" i="7"/>
  <c r="U9" i="7"/>
  <c r="R9" i="7"/>
  <c r="Q9" i="7"/>
  <c r="P9" i="7"/>
  <c r="O9" i="7"/>
  <c r="N9" i="7"/>
  <c r="M9" i="7"/>
  <c r="L9" i="7"/>
  <c r="K9" i="7"/>
  <c r="J9" i="7"/>
  <c r="C6" i="6"/>
  <c r="P6" i="137"/>
  <c r="P6" i="136"/>
  <c r="P6" i="135"/>
  <c r="P6" i="133"/>
  <c r="P6" i="132"/>
  <c r="P6" i="130"/>
  <c r="P6" i="129"/>
  <c r="P6" i="128"/>
  <c r="P6" i="126"/>
  <c r="P6" i="125"/>
  <c r="P6" i="124"/>
  <c r="P6" i="122"/>
  <c r="P6" i="121"/>
  <c r="P6" i="119"/>
  <c r="P6" i="118"/>
  <c r="P6" i="117"/>
  <c r="X47" i="7"/>
  <c r="W59" i="7"/>
  <c r="W55" i="7"/>
  <c r="W51" i="7"/>
  <c r="W47" i="7"/>
  <c r="W43" i="7"/>
  <c r="W39" i="7"/>
  <c r="W34" i="7"/>
  <c r="W29" i="7"/>
  <c r="W24" i="7"/>
  <c r="W19" i="7"/>
  <c r="W14" i="7"/>
  <c r="P39" i="5"/>
  <c r="O39" i="5"/>
  <c r="N39" i="5"/>
  <c r="M39" i="5"/>
  <c r="L39" i="5"/>
  <c r="K39" i="5"/>
  <c r="J39" i="5"/>
  <c r="D6" i="6"/>
  <c r="B10" i="49"/>
  <c r="B33" i="49"/>
  <c r="B32" i="49"/>
  <c r="B31" i="49"/>
  <c r="B30" i="49"/>
  <c r="B29" i="49"/>
  <c r="B28" i="49"/>
  <c r="B27" i="49"/>
  <c r="B26" i="49"/>
  <c r="B25" i="49"/>
  <c r="B24" i="49"/>
  <c r="B23" i="49"/>
  <c r="B22" i="49"/>
  <c r="B21" i="49"/>
  <c r="B20" i="49"/>
  <c r="B19" i="49"/>
  <c r="B18" i="49"/>
  <c r="B17" i="49"/>
  <c r="B16" i="49"/>
  <c r="B15" i="49"/>
  <c r="B14" i="49"/>
  <c r="B13" i="49"/>
  <c r="B12" i="49"/>
  <c r="U50" i="5"/>
  <c r="U49" i="5"/>
  <c r="U48" i="5"/>
  <c r="U47" i="5"/>
  <c r="U46" i="5"/>
  <c r="U45" i="5"/>
  <c r="U44" i="5"/>
  <c r="U43" i="5"/>
  <c r="U42" i="5"/>
  <c r="U41" i="5"/>
  <c r="U40" i="5"/>
  <c r="U38" i="5"/>
  <c r="U35" i="5"/>
  <c r="U34" i="5"/>
  <c r="U33" i="5"/>
  <c r="B31" i="44"/>
  <c r="B30" i="44"/>
  <c r="B33" i="44"/>
  <c r="B32" i="44"/>
  <c r="B28" i="44"/>
  <c r="B27" i="44"/>
  <c r="B26" i="44"/>
  <c r="B25" i="44"/>
  <c r="B24" i="44"/>
  <c r="B23" i="44"/>
  <c r="B22" i="44"/>
  <c r="B21" i="44"/>
  <c r="B19" i="44"/>
  <c r="B12" i="44"/>
  <c r="B10" i="44"/>
  <c r="B31" i="43"/>
  <c r="B30" i="43"/>
  <c r="B10" i="43"/>
  <c r="B8" i="43"/>
  <c r="B33" i="43"/>
  <c r="B32" i="43"/>
  <c r="B28" i="43"/>
  <c r="B27" i="43"/>
  <c r="B26" i="43"/>
  <c r="B25" i="43"/>
  <c r="B24" i="43"/>
  <c r="B23" i="43"/>
  <c r="B22" i="43"/>
  <c r="B21" i="43"/>
  <c r="B19" i="43"/>
  <c r="B12" i="43"/>
  <c r="V6" i="135"/>
  <c r="V6" i="133"/>
  <c r="R6" i="128"/>
  <c r="R6" i="117"/>
  <c r="V6" i="137"/>
  <c r="V6" i="136"/>
  <c r="R6" i="130"/>
  <c r="R6" i="129"/>
  <c r="R6" i="126"/>
  <c r="R6" i="125"/>
  <c r="R6" i="122"/>
  <c r="R6" i="121"/>
  <c r="R6" i="119"/>
  <c r="R6" i="118"/>
  <c r="N6" i="118"/>
  <c r="O6" i="118"/>
  <c r="C6" i="13"/>
  <c r="C6" i="12"/>
  <c r="E6" i="12"/>
  <c r="C32" i="69"/>
  <c r="L32" i="69"/>
  <c r="DH6" i="56"/>
  <c r="DG6" i="56"/>
  <c r="DF6" i="56"/>
  <c r="DE6" i="56"/>
  <c r="DD6" i="56"/>
  <c r="DC6" i="56"/>
  <c r="DB6" i="56"/>
  <c r="DA6" i="56"/>
  <c r="CZ6" i="56"/>
  <c r="CY6" i="56"/>
  <c r="CX6" i="56"/>
  <c r="CW6" i="56"/>
  <c r="DK6" i="56" s="1"/>
  <c r="CT6" i="56"/>
  <c r="CS6" i="56"/>
  <c r="CR6" i="56"/>
  <c r="DT6" i="56" s="1"/>
  <c r="CQ6" i="56"/>
  <c r="CP6" i="56"/>
  <c r="CO6" i="56"/>
  <c r="CN6" i="56"/>
  <c r="CM6" i="56"/>
  <c r="CL6" i="56"/>
  <c r="CK6" i="56"/>
  <c r="CJ6" i="56"/>
  <c r="BR6" i="56"/>
  <c r="BQ6" i="56"/>
  <c r="BP6" i="56"/>
  <c r="BO6" i="56"/>
  <c r="BN6" i="56"/>
  <c r="BM6" i="56"/>
  <c r="BL6" i="56"/>
  <c r="BK6" i="56"/>
  <c r="BJ6" i="56"/>
  <c r="BI6" i="56"/>
  <c r="BH6" i="56"/>
  <c r="BG6" i="56"/>
  <c r="BD6" i="56"/>
  <c r="BC6" i="56"/>
  <c r="BB6" i="56"/>
  <c r="BA6" i="56"/>
  <c r="AZ6" i="56"/>
  <c r="AY6" i="56"/>
  <c r="AX6" i="56"/>
  <c r="AW6" i="56"/>
  <c r="AV6" i="56"/>
  <c r="AU6" i="56"/>
  <c r="AT6" i="56"/>
  <c r="BV6" i="56" s="1"/>
  <c r="AS6" i="56"/>
  <c r="N6" i="56"/>
  <c r="M6" i="56"/>
  <c r="L6" i="56"/>
  <c r="K6" i="56"/>
  <c r="J6" i="56"/>
  <c r="I6" i="56"/>
  <c r="H6" i="56"/>
  <c r="G6" i="56"/>
  <c r="F6" i="56"/>
  <c r="E6" i="56"/>
  <c r="AG6" i="56" s="1"/>
  <c r="D6" i="56"/>
  <c r="C6" i="56"/>
  <c r="V59" i="7"/>
  <c r="V55" i="7"/>
  <c r="V51" i="7"/>
  <c r="V47" i="7"/>
  <c r="V43" i="7"/>
  <c r="V39" i="7"/>
  <c r="V34" i="7"/>
  <c r="V29" i="7"/>
  <c r="V24" i="7"/>
  <c r="V19" i="7"/>
  <c r="V14" i="7"/>
  <c r="O6" i="117"/>
  <c r="O6" i="119"/>
  <c r="O6" i="121"/>
  <c r="O6" i="122"/>
  <c r="O6" i="124"/>
  <c r="O6" i="125"/>
  <c r="O6" i="126"/>
  <c r="O6" i="128"/>
  <c r="O6" i="129"/>
  <c r="O6" i="130"/>
  <c r="O6" i="132"/>
  <c r="O6" i="133"/>
  <c r="O6" i="135"/>
  <c r="O6" i="136"/>
  <c r="O6" i="137"/>
  <c r="N25" i="111"/>
  <c r="M25" i="111"/>
  <c r="L25" i="111"/>
  <c r="K25" i="111"/>
  <c r="J25" i="111"/>
  <c r="I25" i="111"/>
  <c r="H25" i="111"/>
  <c r="G25" i="111"/>
  <c r="F25" i="111"/>
  <c r="E25" i="111"/>
  <c r="D25" i="111"/>
  <c r="D6" i="158"/>
  <c r="C6" i="158"/>
  <c r="D6" i="155"/>
  <c r="C6" i="155"/>
  <c r="D6" i="154"/>
  <c r="C6" i="154"/>
  <c r="D6" i="153"/>
  <c r="C6" i="153"/>
  <c r="D6" i="151"/>
  <c r="C6" i="151"/>
  <c r="D6" i="150"/>
  <c r="C6" i="150"/>
  <c r="D6" i="148"/>
  <c r="C6" i="148"/>
  <c r="D6" i="147"/>
  <c r="C6" i="147"/>
  <c r="D6" i="146"/>
  <c r="C6" i="146"/>
  <c r="D6" i="144"/>
  <c r="C6" i="144"/>
  <c r="D6" i="143"/>
  <c r="C6" i="143"/>
  <c r="D6" i="141"/>
  <c r="C6" i="141"/>
  <c r="D6" i="140"/>
  <c r="C6" i="140"/>
  <c r="D6" i="139"/>
  <c r="C6" i="139"/>
  <c r="N6" i="137"/>
  <c r="M6" i="137"/>
  <c r="L6" i="137"/>
  <c r="K6" i="137"/>
  <c r="J6" i="137"/>
  <c r="I6" i="137"/>
  <c r="H6" i="137"/>
  <c r="G6" i="137"/>
  <c r="F6" i="137"/>
  <c r="E6" i="137"/>
  <c r="D6" i="137"/>
  <c r="C6" i="137"/>
  <c r="N6" i="136"/>
  <c r="M6" i="136"/>
  <c r="L6" i="136"/>
  <c r="K6" i="136"/>
  <c r="J6" i="136"/>
  <c r="I6" i="136"/>
  <c r="H6" i="136"/>
  <c r="G6" i="136"/>
  <c r="F6" i="136"/>
  <c r="E6" i="136"/>
  <c r="D6" i="136"/>
  <c r="C6" i="136"/>
  <c r="N6" i="135"/>
  <c r="M6" i="135"/>
  <c r="L6" i="135"/>
  <c r="K6" i="135"/>
  <c r="J6" i="135"/>
  <c r="I6" i="135"/>
  <c r="H6" i="135"/>
  <c r="G6" i="135"/>
  <c r="F6" i="135"/>
  <c r="E6" i="135"/>
  <c r="D6" i="135"/>
  <c r="C6" i="135"/>
  <c r="N6" i="133"/>
  <c r="M6" i="133"/>
  <c r="L6" i="133"/>
  <c r="K6" i="133"/>
  <c r="J6" i="133"/>
  <c r="I6" i="133"/>
  <c r="H6" i="133"/>
  <c r="G6" i="133"/>
  <c r="F6" i="133"/>
  <c r="E6" i="133"/>
  <c r="D6" i="133"/>
  <c r="C6" i="133"/>
  <c r="V6" i="132"/>
  <c r="N6" i="132"/>
  <c r="M6" i="132"/>
  <c r="L6" i="132"/>
  <c r="K6" i="132"/>
  <c r="J6" i="132"/>
  <c r="I6" i="132"/>
  <c r="H6" i="132"/>
  <c r="G6" i="132"/>
  <c r="F6" i="132"/>
  <c r="E6" i="132"/>
  <c r="D6" i="132"/>
  <c r="C6" i="132"/>
  <c r="N6" i="130"/>
  <c r="M6" i="130"/>
  <c r="L6" i="130"/>
  <c r="K6" i="130"/>
  <c r="J6" i="130"/>
  <c r="I6" i="130"/>
  <c r="H6" i="130"/>
  <c r="G6" i="130"/>
  <c r="F6" i="130"/>
  <c r="E6" i="130"/>
  <c r="D6" i="130"/>
  <c r="C6" i="130"/>
  <c r="N6" i="129"/>
  <c r="M6" i="129"/>
  <c r="L6" i="129"/>
  <c r="K6" i="129"/>
  <c r="J6" i="129"/>
  <c r="I6" i="129"/>
  <c r="H6" i="129"/>
  <c r="G6" i="129"/>
  <c r="F6" i="129"/>
  <c r="E6" i="129"/>
  <c r="D6" i="129"/>
  <c r="C6" i="129"/>
  <c r="N6" i="128"/>
  <c r="M6" i="128"/>
  <c r="L6" i="128"/>
  <c r="K6" i="128"/>
  <c r="J6" i="128"/>
  <c r="I6" i="128"/>
  <c r="H6" i="128"/>
  <c r="G6" i="128"/>
  <c r="F6" i="128"/>
  <c r="E6" i="128"/>
  <c r="D6" i="128"/>
  <c r="C6" i="128"/>
  <c r="N6" i="126"/>
  <c r="M6" i="126"/>
  <c r="L6" i="126"/>
  <c r="K6" i="126"/>
  <c r="J6" i="126"/>
  <c r="I6" i="126"/>
  <c r="H6" i="126"/>
  <c r="G6" i="126"/>
  <c r="F6" i="126"/>
  <c r="E6" i="126"/>
  <c r="D6" i="126"/>
  <c r="C6" i="126"/>
  <c r="N6" i="125"/>
  <c r="M6" i="125"/>
  <c r="L6" i="125"/>
  <c r="K6" i="125"/>
  <c r="J6" i="125"/>
  <c r="I6" i="125"/>
  <c r="H6" i="125"/>
  <c r="G6" i="125"/>
  <c r="F6" i="125"/>
  <c r="E6" i="125"/>
  <c r="D6" i="125"/>
  <c r="C6" i="125"/>
  <c r="R6" i="124"/>
  <c r="N6" i="124"/>
  <c r="M6" i="124"/>
  <c r="L6" i="124"/>
  <c r="K6" i="124"/>
  <c r="J6" i="124"/>
  <c r="I6" i="124"/>
  <c r="H6" i="124"/>
  <c r="G6" i="124"/>
  <c r="F6" i="124"/>
  <c r="E6" i="124"/>
  <c r="D6" i="124"/>
  <c r="C6" i="124"/>
  <c r="N6" i="122"/>
  <c r="M6" i="122"/>
  <c r="L6" i="122"/>
  <c r="K6" i="122"/>
  <c r="J6" i="122"/>
  <c r="I6" i="122"/>
  <c r="H6" i="122"/>
  <c r="G6" i="122"/>
  <c r="F6" i="122"/>
  <c r="E6" i="122"/>
  <c r="D6" i="122"/>
  <c r="C6" i="122"/>
  <c r="N6" i="121"/>
  <c r="M6" i="121"/>
  <c r="L6" i="121"/>
  <c r="K6" i="121"/>
  <c r="J6" i="121"/>
  <c r="I6" i="121"/>
  <c r="H6" i="121"/>
  <c r="G6" i="121"/>
  <c r="F6" i="121"/>
  <c r="E6" i="121"/>
  <c r="D6" i="121"/>
  <c r="C6" i="121"/>
  <c r="N6" i="119"/>
  <c r="M6" i="119"/>
  <c r="L6" i="119"/>
  <c r="K6" i="119"/>
  <c r="J6" i="119"/>
  <c r="I6" i="119"/>
  <c r="H6" i="119"/>
  <c r="G6" i="119"/>
  <c r="F6" i="119"/>
  <c r="E6" i="119"/>
  <c r="D6" i="119"/>
  <c r="C6" i="119"/>
  <c r="M6" i="118"/>
  <c r="L6" i="118"/>
  <c r="K6" i="118"/>
  <c r="J6" i="118"/>
  <c r="I6" i="118"/>
  <c r="H6" i="118"/>
  <c r="G6" i="118"/>
  <c r="F6" i="118"/>
  <c r="E6" i="118"/>
  <c r="D6" i="118"/>
  <c r="C6" i="118"/>
  <c r="N6" i="117"/>
  <c r="M6" i="117"/>
  <c r="L6" i="117"/>
  <c r="K6" i="117"/>
  <c r="J6" i="117"/>
  <c r="I6" i="117"/>
  <c r="H6" i="117"/>
  <c r="G6" i="117"/>
  <c r="F6" i="117"/>
  <c r="E6" i="117"/>
  <c r="D6" i="117"/>
  <c r="C6" i="117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50" i="5"/>
  <c r="C49" i="5"/>
  <c r="C48" i="5"/>
  <c r="C47" i="5"/>
  <c r="C46" i="5"/>
  <c r="C45" i="5"/>
  <c r="C44" i="5"/>
  <c r="C43" i="5"/>
  <c r="C42" i="5"/>
  <c r="C41" i="5"/>
  <c r="C40" i="5"/>
  <c r="C38" i="5"/>
  <c r="C35" i="5"/>
  <c r="C34" i="5"/>
  <c r="C33" i="5"/>
  <c r="C43" i="113"/>
  <c r="C42" i="113"/>
  <c r="C39" i="113"/>
  <c r="C38" i="113"/>
  <c r="C35" i="113"/>
  <c r="C34" i="113"/>
  <c r="C31" i="113"/>
  <c r="C30" i="113"/>
  <c r="C27" i="113"/>
  <c r="C26" i="113"/>
  <c r="C23" i="113"/>
  <c r="C22" i="113"/>
  <c r="C19" i="113"/>
  <c r="C18" i="113"/>
  <c r="C15" i="113"/>
  <c r="C14" i="113"/>
  <c r="C11" i="113"/>
  <c r="C10" i="113"/>
  <c r="C7" i="113"/>
  <c r="C6" i="113"/>
  <c r="B38" i="112"/>
  <c r="B37" i="112"/>
  <c r="B36" i="112"/>
  <c r="B35" i="112"/>
  <c r="N34" i="112"/>
  <c r="M34" i="112"/>
  <c r="L34" i="112"/>
  <c r="K34" i="112"/>
  <c r="J34" i="112"/>
  <c r="I34" i="112"/>
  <c r="H34" i="112"/>
  <c r="G34" i="112"/>
  <c r="F34" i="112"/>
  <c r="E34" i="112"/>
  <c r="D34" i="112"/>
  <c r="C34" i="112"/>
  <c r="B32" i="112"/>
  <c r="B31" i="112"/>
  <c r="B30" i="112"/>
  <c r="B29" i="112"/>
  <c r="B28" i="112"/>
  <c r="B27" i="112"/>
  <c r="B26" i="112"/>
  <c r="B23" i="112"/>
  <c r="B22" i="112"/>
  <c r="B21" i="112"/>
  <c r="B20" i="112"/>
  <c r="B19" i="112"/>
  <c r="B18" i="112"/>
  <c r="B17" i="112"/>
  <c r="B14" i="112"/>
  <c r="B13" i="112"/>
  <c r="B12" i="112"/>
  <c r="B11" i="112"/>
  <c r="B10" i="112"/>
  <c r="B9" i="112"/>
  <c r="N8" i="112"/>
  <c r="M8" i="112"/>
  <c r="L8" i="112"/>
  <c r="K8" i="112"/>
  <c r="J8" i="112"/>
  <c r="I8" i="112"/>
  <c r="H8" i="112"/>
  <c r="G8" i="112"/>
  <c r="F8" i="112"/>
  <c r="E8" i="112"/>
  <c r="D8" i="112"/>
  <c r="C8" i="112"/>
  <c r="B38" i="111"/>
  <c r="B37" i="111"/>
  <c r="B36" i="111"/>
  <c r="B35" i="111"/>
  <c r="N34" i="111"/>
  <c r="M34" i="111"/>
  <c r="L34" i="111"/>
  <c r="K34" i="111"/>
  <c r="J34" i="111"/>
  <c r="I34" i="111"/>
  <c r="H34" i="111"/>
  <c r="G34" i="111"/>
  <c r="F34" i="111"/>
  <c r="E34" i="111"/>
  <c r="D34" i="111"/>
  <c r="C34" i="111"/>
  <c r="B32" i="111"/>
  <c r="B31" i="111"/>
  <c r="B30" i="111"/>
  <c r="B29" i="111"/>
  <c r="B28" i="111"/>
  <c r="B27" i="111"/>
  <c r="B26" i="111"/>
  <c r="C25" i="111"/>
  <c r="B23" i="111"/>
  <c r="B22" i="111"/>
  <c r="B21" i="111"/>
  <c r="B20" i="111"/>
  <c r="F16" i="111"/>
  <c r="K16" i="111"/>
  <c r="J16" i="111"/>
  <c r="I16" i="111"/>
  <c r="G16" i="111"/>
  <c r="B18" i="111"/>
  <c r="B17" i="111"/>
  <c r="N16" i="111"/>
  <c r="M16" i="111"/>
  <c r="L16" i="111"/>
  <c r="E16" i="111"/>
  <c r="D16" i="111"/>
  <c r="C16" i="111"/>
  <c r="B14" i="111"/>
  <c r="B13" i="111"/>
  <c r="B12" i="111"/>
  <c r="B11" i="111"/>
  <c r="B10" i="111"/>
  <c r="B9" i="111"/>
  <c r="N8" i="111"/>
  <c r="M8" i="111"/>
  <c r="L8" i="111"/>
  <c r="K8" i="111"/>
  <c r="J8" i="111"/>
  <c r="I8" i="111"/>
  <c r="H8" i="111"/>
  <c r="G8" i="111"/>
  <c r="F8" i="111"/>
  <c r="E8" i="111"/>
  <c r="D8" i="111"/>
  <c r="C8" i="111"/>
  <c r="L8" i="69"/>
  <c r="DV36" i="56"/>
  <c r="DU36" i="56"/>
  <c r="DT36" i="56"/>
  <c r="DS36" i="56"/>
  <c r="DR36" i="56"/>
  <c r="DQ36" i="56"/>
  <c r="DP36" i="56"/>
  <c r="DO36" i="56"/>
  <c r="DN36" i="56"/>
  <c r="DM36" i="56"/>
  <c r="DL36" i="56"/>
  <c r="DK36" i="56"/>
  <c r="CV36" i="56"/>
  <c r="CH36" i="56"/>
  <c r="DV35" i="56"/>
  <c r="DU35" i="56"/>
  <c r="DT35" i="56"/>
  <c r="DS35" i="56"/>
  <c r="DR35" i="56"/>
  <c r="DQ35" i="56"/>
  <c r="DP35" i="56"/>
  <c r="DO35" i="56"/>
  <c r="DN35" i="56"/>
  <c r="DM35" i="56"/>
  <c r="DL35" i="56"/>
  <c r="DK35" i="56"/>
  <c r="CV35" i="56"/>
  <c r="CH35" i="56"/>
  <c r="CF35" i="56"/>
  <c r="CE35" i="56"/>
  <c r="CD35" i="56"/>
  <c r="CC35" i="56"/>
  <c r="CB35" i="56"/>
  <c r="CA35" i="56"/>
  <c r="BZ35" i="56"/>
  <c r="BY35" i="56"/>
  <c r="BX35" i="56"/>
  <c r="BW35" i="56"/>
  <c r="BV35" i="56"/>
  <c r="BU35" i="56"/>
  <c r="BF35" i="56"/>
  <c r="AR35" i="56"/>
  <c r="B35" i="56"/>
  <c r="DV34" i="56"/>
  <c r="DU34" i="56"/>
  <c r="DT34" i="56"/>
  <c r="DS34" i="56"/>
  <c r="DR34" i="56"/>
  <c r="DQ34" i="56"/>
  <c r="DP34" i="56"/>
  <c r="DO34" i="56"/>
  <c r="DN34" i="56"/>
  <c r="DM34" i="56"/>
  <c r="DL34" i="56"/>
  <c r="DK34" i="56"/>
  <c r="CV34" i="56"/>
  <c r="CH34" i="56"/>
  <c r="CF34" i="56"/>
  <c r="CE34" i="56"/>
  <c r="CD34" i="56"/>
  <c r="CC34" i="56"/>
  <c r="CB34" i="56"/>
  <c r="CA34" i="56"/>
  <c r="BZ34" i="56"/>
  <c r="BY34" i="56"/>
  <c r="BX34" i="56"/>
  <c r="BW34" i="56"/>
  <c r="BV34" i="56"/>
  <c r="BU34" i="56"/>
  <c r="BF34" i="56"/>
  <c r="AR34" i="56"/>
  <c r="AP34" i="56"/>
  <c r="AO34" i="56"/>
  <c r="AN34" i="56"/>
  <c r="AM34" i="56"/>
  <c r="AL34" i="56"/>
  <c r="AK34" i="56"/>
  <c r="AJ34" i="56"/>
  <c r="AI34" i="56"/>
  <c r="AH34" i="56"/>
  <c r="AG34" i="56"/>
  <c r="AF34" i="56"/>
  <c r="AE34" i="56"/>
  <c r="B34" i="56"/>
  <c r="DV33" i="56"/>
  <c r="DU33" i="56"/>
  <c r="DT33" i="56"/>
  <c r="DS33" i="56"/>
  <c r="DR33" i="56"/>
  <c r="DQ33" i="56"/>
  <c r="DP33" i="56"/>
  <c r="DO33" i="56"/>
  <c r="DN33" i="56"/>
  <c r="DM33" i="56"/>
  <c r="DL33" i="56"/>
  <c r="DK33" i="56"/>
  <c r="CV33" i="56"/>
  <c r="CH33" i="56"/>
  <c r="CF33" i="56"/>
  <c r="CE33" i="56"/>
  <c r="CD33" i="56"/>
  <c r="CC33" i="56"/>
  <c r="CB33" i="56"/>
  <c r="CA33" i="56"/>
  <c r="BZ33" i="56"/>
  <c r="BY33" i="56"/>
  <c r="BX33" i="56"/>
  <c r="BW33" i="56"/>
  <c r="BV33" i="56"/>
  <c r="BU33" i="56"/>
  <c r="BF33" i="56"/>
  <c r="AR33" i="56"/>
  <c r="AP33" i="56"/>
  <c r="AO33" i="56"/>
  <c r="AN33" i="56"/>
  <c r="AM33" i="56"/>
  <c r="AL33" i="56"/>
  <c r="AK33" i="56"/>
  <c r="AJ33" i="56"/>
  <c r="AI33" i="56"/>
  <c r="AH33" i="56"/>
  <c r="AG33" i="56"/>
  <c r="AF33" i="56"/>
  <c r="AE33" i="56"/>
  <c r="B33" i="56"/>
  <c r="DV32" i="56"/>
  <c r="DU32" i="56"/>
  <c r="DT32" i="56"/>
  <c r="DS32" i="56"/>
  <c r="DR32" i="56"/>
  <c r="DQ32" i="56"/>
  <c r="DP32" i="56"/>
  <c r="DO32" i="56"/>
  <c r="DN32" i="56"/>
  <c r="DM32" i="56"/>
  <c r="DL32" i="56"/>
  <c r="DK32" i="56"/>
  <c r="CV32" i="56"/>
  <c r="CH32" i="56"/>
  <c r="CF32" i="56"/>
  <c r="CE32" i="56"/>
  <c r="CD32" i="56"/>
  <c r="CC32" i="56"/>
  <c r="CB32" i="56"/>
  <c r="CA32" i="56"/>
  <c r="BZ32" i="56"/>
  <c r="BY32" i="56"/>
  <c r="BX32" i="56"/>
  <c r="BW32" i="56"/>
  <c r="BV32" i="56"/>
  <c r="BU32" i="56"/>
  <c r="BF32" i="56"/>
  <c r="AR32" i="56"/>
  <c r="AP32" i="56"/>
  <c r="AO32" i="56"/>
  <c r="AN32" i="56"/>
  <c r="AM32" i="56"/>
  <c r="AL32" i="56"/>
  <c r="AK32" i="56"/>
  <c r="AJ32" i="56"/>
  <c r="AI32" i="56"/>
  <c r="AH32" i="56"/>
  <c r="AG32" i="56"/>
  <c r="AF32" i="56"/>
  <c r="AE32" i="56"/>
  <c r="B32" i="56"/>
  <c r="DV31" i="56"/>
  <c r="DU31" i="56"/>
  <c r="DT31" i="56"/>
  <c r="DS31" i="56"/>
  <c r="DR31" i="56"/>
  <c r="DQ31" i="56"/>
  <c r="DP31" i="56"/>
  <c r="DO31" i="56"/>
  <c r="DN31" i="56"/>
  <c r="DM31" i="56"/>
  <c r="DL31" i="56"/>
  <c r="DK31" i="56"/>
  <c r="CV31" i="56"/>
  <c r="CH31" i="56"/>
  <c r="AP31" i="56"/>
  <c r="AO31" i="56"/>
  <c r="AN31" i="56"/>
  <c r="AM31" i="56"/>
  <c r="AL31" i="56"/>
  <c r="AK31" i="56"/>
  <c r="AJ31" i="56"/>
  <c r="AI31" i="56"/>
  <c r="AH31" i="56"/>
  <c r="AG31" i="56"/>
  <c r="AF31" i="56"/>
  <c r="AE31" i="56"/>
  <c r="B31" i="56"/>
  <c r="DV30" i="56"/>
  <c r="DU30" i="56"/>
  <c r="DT30" i="56"/>
  <c r="DS30" i="56"/>
  <c r="DR30" i="56"/>
  <c r="DQ30" i="56"/>
  <c r="DP30" i="56"/>
  <c r="DO30" i="56"/>
  <c r="DN30" i="56"/>
  <c r="DM30" i="56"/>
  <c r="DL30" i="56"/>
  <c r="DK30" i="56"/>
  <c r="CV30" i="56"/>
  <c r="CH30" i="56"/>
  <c r="CF30" i="56"/>
  <c r="CE30" i="56"/>
  <c r="CD30" i="56"/>
  <c r="CC30" i="56"/>
  <c r="CB30" i="56"/>
  <c r="CA30" i="56"/>
  <c r="BZ30" i="56"/>
  <c r="BY30" i="56"/>
  <c r="BX30" i="56"/>
  <c r="BW30" i="56"/>
  <c r="BV30" i="56"/>
  <c r="BU30" i="56"/>
  <c r="BF30" i="56"/>
  <c r="AR30" i="56"/>
  <c r="AP30" i="56"/>
  <c r="AO30" i="56"/>
  <c r="AN30" i="56"/>
  <c r="AM30" i="56"/>
  <c r="AL30" i="56"/>
  <c r="AK30" i="56"/>
  <c r="AJ30" i="56"/>
  <c r="AI30" i="56"/>
  <c r="AH30" i="56"/>
  <c r="AG30" i="56"/>
  <c r="AF30" i="56"/>
  <c r="AE30" i="56"/>
  <c r="B30" i="56"/>
  <c r="DV29" i="56"/>
  <c r="DU29" i="56"/>
  <c r="DT29" i="56"/>
  <c r="DS29" i="56"/>
  <c r="DR29" i="56"/>
  <c r="DQ29" i="56"/>
  <c r="DP29" i="56"/>
  <c r="DO29" i="56"/>
  <c r="DN29" i="56"/>
  <c r="DM29" i="56"/>
  <c r="DL29" i="56"/>
  <c r="DK29" i="56"/>
  <c r="CV29" i="56"/>
  <c r="CH29" i="56"/>
  <c r="CF29" i="56"/>
  <c r="CE29" i="56"/>
  <c r="CD29" i="56"/>
  <c r="CC29" i="56"/>
  <c r="CB29" i="56"/>
  <c r="CA29" i="56"/>
  <c r="BZ29" i="56"/>
  <c r="BY29" i="56"/>
  <c r="BX29" i="56"/>
  <c r="BW29" i="56"/>
  <c r="BV29" i="56"/>
  <c r="BU29" i="56"/>
  <c r="BF29" i="56"/>
  <c r="AR29" i="56"/>
  <c r="AP29" i="56"/>
  <c r="AO29" i="56"/>
  <c r="AN29" i="56"/>
  <c r="AM29" i="56"/>
  <c r="AL29" i="56"/>
  <c r="AK29" i="56"/>
  <c r="AJ29" i="56"/>
  <c r="AI29" i="56"/>
  <c r="AH29" i="56"/>
  <c r="AG29" i="56"/>
  <c r="AF29" i="56"/>
  <c r="AE29" i="56"/>
  <c r="B29" i="56"/>
  <c r="DV28" i="56"/>
  <c r="DU28" i="56"/>
  <c r="DT28" i="56"/>
  <c r="DS28" i="56"/>
  <c r="DR28" i="56"/>
  <c r="DQ28" i="56"/>
  <c r="DP28" i="56"/>
  <c r="DO28" i="56"/>
  <c r="DN28" i="56"/>
  <c r="DM28" i="56"/>
  <c r="DL28" i="56"/>
  <c r="DK28" i="56"/>
  <c r="CV28" i="56"/>
  <c r="CH28" i="56"/>
  <c r="CF28" i="56"/>
  <c r="CE28" i="56"/>
  <c r="CD28" i="56"/>
  <c r="CC28" i="56"/>
  <c r="CB28" i="56"/>
  <c r="CA28" i="56"/>
  <c r="BZ28" i="56"/>
  <c r="BY28" i="56"/>
  <c r="BX28" i="56"/>
  <c r="BW28" i="56"/>
  <c r="BV28" i="56"/>
  <c r="BU28" i="56"/>
  <c r="BF28" i="56"/>
  <c r="AR28" i="56"/>
  <c r="AP28" i="56"/>
  <c r="AO28" i="56"/>
  <c r="AN28" i="56"/>
  <c r="AM28" i="56"/>
  <c r="AL28" i="56"/>
  <c r="AK28" i="56"/>
  <c r="AJ28" i="56"/>
  <c r="AI28" i="56"/>
  <c r="AH28" i="56"/>
  <c r="AG28" i="56"/>
  <c r="AF28" i="56"/>
  <c r="AE28" i="56"/>
  <c r="B28" i="56"/>
  <c r="DV27" i="56"/>
  <c r="DU27" i="56"/>
  <c r="DT27" i="56"/>
  <c r="DS27" i="56"/>
  <c r="DR27" i="56"/>
  <c r="DQ27" i="56"/>
  <c r="DP27" i="56"/>
  <c r="DO27" i="56"/>
  <c r="DN27" i="56"/>
  <c r="DM27" i="56"/>
  <c r="DL27" i="56"/>
  <c r="DK27" i="56"/>
  <c r="CV27" i="56"/>
  <c r="CH27" i="56"/>
  <c r="CF27" i="56"/>
  <c r="CE27" i="56"/>
  <c r="CD27" i="56"/>
  <c r="CC27" i="56"/>
  <c r="CB27" i="56"/>
  <c r="CA27" i="56"/>
  <c r="BZ27" i="56"/>
  <c r="BY27" i="56"/>
  <c r="BX27" i="56"/>
  <c r="BW27" i="56"/>
  <c r="BV27" i="56"/>
  <c r="BU27" i="56"/>
  <c r="BF27" i="56"/>
  <c r="AR27" i="56"/>
  <c r="AP27" i="56"/>
  <c r="AO27" i="56"/>
  <c r="AN27" i="56"/>
  <c r="AM27" i="56"/>
  <c r="AL27" i="56"/>
  <c r="AK27" i="56"/>
  <c r="AJ27" i="56"/>
  <c r="AI27" i="56"/>
  <c r="AH27" i="56"/>
  <c r="AG27" i="56"/>
  <c r="AF27" i="56"/>
  <c r="AE27" i="56"/>
  <c r="B27" i="56"/>
  <c r="DV26" i="56"/>
  <c r="DU26" i="56"/>
  <c r="DT26" i="56"/>
  <c r="DS26" i="56"/>
  <c r="DR26" i="56"/>
  <c r="DQ26" i="56"/>
  <c r="DP26" i="56"/>
  <c r="DO26" i="56"/>
  <c r="DN26" i="56"/>
  <c r="DM26" i="56"/>
  <c r="DL26" i="56"/>
  <c r="DK26" i="56"/>
  <c r="CV26" i="56"/>
  <c r="CH26" i="56"/>
  <c r="CF26" i="56"/>
  <c r="CE26" i="56"/>
  <c r="CD26" i="56"/>
  <c r="CC26" i="56"/>
  <c r="CB26" i="56"/>
  <c r="CA26" i="56"/>
  <c r="BZ26" i="56"/>
  <c r="BY26" i="56"/>
  <c r="BX26" i="56"/>
  <c r="BW26" i="56"/>
  <c r="BV26" i="56"/>
  <c r="BU26" i="56"/>
  <c r="BF26" i="56"/>
  <c r="AR26" i="56"/>
  <c r="AP26" i="56"/>
  <c r="AO26" i="56"/>
  <c r="AN26" i="56"/>
  <c r="AM26" i="56"/>
  <c r="AL26" i="56"/>
  <c r="AK26" i="56"/>
  <c r="AJ26" i="56"/>
  <c r="AI26" i="56"/>
  <c r="AH26" i="56"/>
  <c r="AG26" i="56"/>
  <c r="AF26" i="56"/>
  <c r="AE26" i="56"/>
  <c r="B26" i="56"/>
  <c r="DV25" i="56"/>
  <c r="DU25" i="56"/>
  <c r="DT25" i="56"/>
  <c r="DS25" i="56"/>
  <c r="DR25" i="56"/>
  <c r="DQ25" i="56"/>
  <c r="DP25" i="56"/>
  <c r="DO25" i="56"/>
  <c r="DN25" i="56"/>
  <c r="DM25" i="56"/>
  <c r="DL25" i="56"/>
  <c r="DK25" i="56"/>
  <c r="CV25" i="56"/>
  <c r="CH25" i="56"/>
  <c r="CF25" i="56"/>
  <c r="CE25" i="56"/>
  <c r="CD25" i="56"/>
  <c r="CC25" i="56"/>
  <c r="CB25" i="56"/>
  <c r="CA25" i="56"/>
  <c r="BZ25" i="56"/>
  <c r="BY25" i="56"/>
  <c r="BX25" i="56"/>
  <c r="BW25" i="56"/>
  <c r="BV25" i="56"/>
  <c r="BU25" i="56"/>
  <c r="BF25" i="56"/>
  <c r="AR25" i="56"/>
  <c r="AP25" i="56"/>
  <c r="AO25" i="56"/>
  <c r="AN25" i="56"/>
  <c r="AM25" i="56"/>
  <c r="AL25" i="56"/>
  <c r="AK25" i="56"/>
  <c r="AJ25" i="56"/>
  <c r="AI25" i="56"/>
  <c r="AH25" i="56"/>
  <c r="AG25" i="56"/>
  <c r="AF25" i="56"/>
  <c r="AE25" i="56"/>
  <c r="B25" i="56"/>
  <c r="DV24" i="56"/>
  <c r="DU24" i="56"/>
  <c r="DT24" i="56"/>
  <c r="DS24" i="56"/>
  <c r="DR24" i="56"/>
  <c r="DQ24" i="56"/>
  <c r="DP24" i="56"/>
  <c r="DO24" i="56"/>
  <c r="DN24" i="56"/>
  <c r="DM24" i="56"/>
  <c r="DL24" i="56"/>
  <c r="DK24" i="56"/>
  <c r="CV24" i="56"/>
  <c r="CH24" i="56"/>
  <c r="CF24" i="56"/>
  <c r="CE24" i="56"/>
  <c r="CD24" i="56"/>
  <c r="CC24" i="56"/>
  <c r="CB24" i="56"/>
  <c r="CA24" i="56"/>
  <c r="BZ24" i="56"/>
  <c r="BY24" i="56"/>
  <c r="BX24" i="56"/>
  <c r="BW24" i="56"/>
  <c r="BV24" i="56"/>
  <c r="BU24" i="56"/>
  <c r="BF24" i="56"/>
  <c r="AR24" i="56"/>
  <c r="AP24" i="56"/>
  <c r="AO24" i="56"/>
  <c r="AN24" i="56"/>
  <c r="AM24" i="56"/>
  <c r="AL24" i="56"/>
  <c r="AK24" i="56"/>
  <c r="AJ24" i="56"/>
  <c r="AI24" i="56"/>
  <c r="AH24" i="56"/>
  <c r="AG24" i="56"/>
  <c r="AF24" i="56"/>
  <c r="AE24" i="56"/>
  <c r="B24" i="56"/>
  <c r="DV23" i="56"/>
  <c r="DU23" i="56"/>
  <c r="DT23" i="56"/>
  <c r="DS23" i="56"/>
  <c r="DR23" i="56"/>
  <c r="DQ23" i="56"/>
  <c r="DP23" i="56"/>
  <c r="DO23" i="56"/>
  <c r="DN23" i="56"/>
  <c r="DM23" i="56"/>
  <c r="DL23" i="56"/>
  <c r="DK23" i="56"/>
  <c r="CV23" i="56"/>
  <c r="CH23" i="56"/>
  <c r="CF23" i="56"/>
  <c r="CE23" i="56"/>
  <c r="CD23" i="56"/>
  <c r="CC23" i="56"/>
  <c r="CB23" i="56"/>
  <c r="CA23" i="56"/>
  <c r="BZ23" i="56"/>
  <c r="BY23" i="56"/>
  <c r="BX23" i="56"/>
  <c r="BW23" i="56"/>
  <c r="BV23" i="56"/>
  <c r="BU23" i="56"/>
  <c r="BF23" i="56"/>
  <c r="AR23" i="56"/>
  <c r="AP23" i="56"/>
  <c r="AO23" i="56"/>
  <c r="AN23" i="56"/>
  <c r="AM23" i="56"/>
  <c r="AL23" i="56"/>
  <c r="AK23" i="56"/>
  <c r="AJ23" i="56"/>
  <c r="AI23" i="56"/>
  <c r="AH23" i="56"/>
  <c r="AG23" i="56"/>
  <c r="AF23" i="56"/>
  <c r="AE23" i="56"/>
  <c r="B23" i="56"/>
  <c r="DV22" i="56"/>
  <c r="DU22" i="56"/>
  <c r="DT22" i="56"/>
  <c r="DS22" i="56"/>
  <c r="DR22" i="56"/>
  <c r="DQ22" i="56"/>
  <c r="DP22" i="56"/>
  <c r="DO22" i="56"/>
  <c r="DN22" i="56"/>
  <c r="DM22" i="56"/>
  <c r="DL22" i="56"/>
  <c r="DK22" i="56"/>
  <c r="CV22" i="56"/>
  <c r="CH22" i="56"/>
  <c r="CF22" i="56"/>
  <c r="CE22" i="56"/>
  <c r="CD22" i="56"/>
  <c r="CC22" i="56"/>
  <c r="CB22" i="56"/>
  <c r="CA22" i="56"/>
  <c r="BZ22" i="56"/>
  <c r="BY22" i="56"/>
  <c r="BX22" i="56"/>
  <c r="BW22" i="56"/>
  <c r="BV22" i="56"/>
  <c r="BU22" i="56"/>
  <c r="BF22" i="56"/>
  <c r="AR22" i="56"/>
  <c r="AP22" i="56"/>
  <c r="AO22" i="56"/>
  <c r="AN22" i="56"/>
  <c r="AM22" i="56"/>
  <c r="AL22" i="56"/>
  <c r="AK22" i="56"/>
  <c r="AJ22" i="56"/>
  <c r="AI22" i="56"/>
  <c r="AH22" i="56"/>
  <c r="AG22" i="56"/>
  <c r="AF22" i="56"/>
  <c r="AE22" i="56"/>
  <c r="B22" i="56"/>
  <c r="DV21" i="56"/>
  <c r="DU21" i="56"/>
  <c r="DT21" i="56"/>
  <c r="DS21" i="56"/>
  <c r="DR21" i="56"/>
  <c r="DQ21" i="56"/>
  <c r="DP21" i="56"/>
  <c r="DO21" i="56"/>
  <c r="DN21" i="56"/>
  <c r="DM21" i="56"/>
  <c r="DL21" i="56"/>
  <c r="DK21" i="56"/>
  <c r="CV21" i="56"/>
  <c r="CH21" i="56"/>
  <c r="CF21" i="56"/>
  <c r="CE21" i="56"/>
  <c r="CD21" i="56"/>
  <c r="CC21" i="56"/>
  <c r="CB21" i="56"/>
  <c r="CA21" i="56"/>
  <c r="BZ21" i="56"/>
  <c r="BY21" i="56"/>
  <c r="BX21" i="56"/>
  <c r="BW21" i="56"/>
  <c r="BV21" i="56"/>
  <c r="BU21" i="56"/>
  <c r="BF21" i="56"/>
  <c r="AR21" i="56"/>
  <c r="AP21" i="56"/>
  <c r="AO21" i="56"/>
  <c r="AN21" i="56"/>
  <c r="AM21" i="56"/>
  <c r="AL21" i="56"/>
  <c r="AK21" i="56"/>
  <c r="AJ21" i="56"/>
  <c r="AI21" i="56"/>
  <c r="AH21" i="56"/>
  <c r="AG21" i="56"/>
  <c r="AF21" i="56"/>
  <c r="AE21" i="56"/>
  <c r="B21" i="56"/>
  <c r="DV20" i="56"/>
  <c r="DU20" i="56"/>
  <c r="DT20" i="56"/>
  <c r="DS20" i="56"/>
  <c r="DR20" i="56"/>
  <c r="DQ20" i="56"/>
  <c r="DP20" i="56"/>
  <c r="DO20" i="56"/>
  <c r="DN20" i="56"/>
  <c r="DM20" i="56"/>
  <c r="DL20" i="56"/>
  <c r="CV20" i="56"/>
  <c r="CH20" i="56"/>
  <c r="CF20" i="56"/>
  <c r="CE20" i="56"/>
  <c r="CD20" i="56"/>
  <c r="CC20" i="56"/>
  <c r="CB20" i="56"/>
  <c r="CA20" i="56"/>
  <c r="BZ20" i="56"/>
  <c r="BY20" i="56"/>
  <c r="BX20" i="56"/>
  <c r="BW20" i="56"/>
  <c r="BV20" i="56"/>
  <c r="BU20" i="56"/>
  <c r="BF20" i="56"/>
  <c r="AR20" i="56"/>
  <c r="AP20" i="56"/>
  <c r="AO20" i="56"/>
  <c r="AN20" i="56"/>
  <c r="AM20" i="56"/>
  <c r="AL20" i="56"/>
  <c r="AK20" i="56"/>
  <c r="AJ20" i="56"/>
  <c r="AI20" i="56"/>
  <c r="AH20" i="56"/>
  <c r="AG20" i="56"/>
  <c r="AF20" i="56"/>
  <c r="AE20" i="56"/>
  <c r="B20" i="56"/>
  <c r="DV19" i="56"/>
  <c r="DU19" i="56"/>
  <c r="DT19" i="56"/>
  <c r="DS19" i="56"/>
  <c r="DR19" i="56"/>
  <c r="DQ19" i="56"/>
  <c r="DP19" i="56"/>
  <c r="DO19" i="56"/>
  <c r="DN19" i="56"/>
  <c r="DM19" i="56"/>
  <c r="DL19" i="56"/>
  <c r="CV19" i="56"/>
  <c r="CH19" i="56"/>
  <c r="CF19" i="56"/>
  <c r="CE19" i="56"/>
  <c r="CD19" i="56"/>
  <c r="CC19" i="56"/>
  <c r="CB19" i="56"/>
  <c r="CA19" i="56"/>
  <c r="BZ19" i="56"/>
  <c r="BY19" i="56"/>
  <c r="BX19" i="56"/>
  <c r="BW19" i="56"/>
  <c r="BV19" i="56"/>
  <c r="BU19" i="56"/>
  <c r="BF19" i="56"/>
  <c r="AR19" i="56"/>
  <c r="AP19" i="56"/>
  <c r="AO19" i="56"/>
  <c r="AN19" i="56"/>
  <c r="AM19" i="56"/>
  <c r="AL19" i="56"/>
  <c r="AK19" i="56"/>
  <c r="AJ19" i="56"/>
  <c r="AI19" i="56"/>
  <c r="AH19" i="56"/>
  <c r="AG19" i="56"/>
  <c r="AF19" i="56"/>
  <c r="AE19" i="56"/>
  <c r="B19" i="56"/>
  <c r="DV18" i="56"/>
  <c r="DU18" i="56"/>
  <c r="DT18" i="56"/>
  <c r="DS18" i="56"/>
  <c r="DR18" i="56"/>
  <c r="DQ18" i="56"/>
  <c r="DP18" i="56"/>
  <c r="DO18" i="56"/>
  <c r="DN18" i="56"/>
  <c r="DM18" i="56"/>
  <c r="DL18" i="56"/>
  <c r="DK18" i="56"/>
  <c r="CV18" i="56"/>
  <c r="CH18" i="56"/>
  <c r="CF18" i="56"/>
  <c r="CE18" i="56"/>
  <c r="CD18" i="56"/>
  <c r="CC18" i="56"/>
  <c r="CB18" i="56"/>
  <c r="CA18" i="56"/>
  <c r="BZ18" i="56"/>
  <c r="BY18" i="56"/>
  <c r="BX18" i="56"/>
  <c r="BW18" i="56"/>
  <c r="BV18" i="56"/>
  <c r="BU18" i="56"/>
  <c r="BF18" i="56"/>
  <c r="AR18" i="56"/>
  <c r="AP18" i="56"/>
  <c r="AO18" i="56"/>
  <c r="AN18" i="56"/>
  <c r="AM18" i="56"/>
  <c r="AL18" i="56"/>
  <c r="AK18" i="56"/>
  <c r="AJ18" i="56"/>
  <c r="AI18" i="56"/>
  <c r="AH18" i="56"/>
  <c r="AG18" i="56"/>
  <c r="AF18" i="56"/>
  <c r="AE18" i="56"/>
  <c r="B18" i="56"/>
  <c r="DV17" i="56"/>
  <c r="DU17" i="56"/>
  <c r="DT17" i="56"/>
  <c r="DS17" i="56"/>
  <c r="DR17" i="56"/>
  <c r="DQ17" i="56"/>
  <c r="DP17" i="56"/>
  <c r="DO17" i="56"/>
  <c r="DN17" i="56"/>
  <c r="DM17" i="56"/>
  <c r="DL17" i="56"/>
  <c r="DK17" i="56"/>
  <c r="CV17" i="56"/>
  <c r="CH17" i="56"/>
  <c r="CF17" i="56"/>
  <c r="CE17" i="56"/>
  <c r="CD17" i="56"/>
  <c r="CC17" i="56"/>
  <c r="CB17" i="56"/>
  <c r="CA17" i="56"/>
  <c r="BZ17" i="56"/>
  <c r="BY17" i="56"/>
  <c r="BX17" i="56"/>
  <c r="BW17" i="56"/>
  <c r="BV17" i="56"/>
  <c r="BU17" i="56"/>
  <c r="BF17" i="56"/>
  <c r="AR17" i="56"/>
  <c r="AP17" i="56"/>
  <c r="AO17" i="56"/>
  <c r="AN17" i="56"/>
  <c r="AM17" i="56"/>
  <c r="AL17" i="56"/>
  <c r="AK17" i="56"/>
  <c r="AJ17" i="56"/>
  <c r="AI17" i="56"/>
  <c r="AH17" i="56"/>
  <c r="AG17" i="56"/>
  <c r="AF17" i="56"/>
  <c r="AE17" i="56"/>
  <c r="B17" i="56"/>
  <c r="DV16" i="56"/>
  <c r="DU16" i="56"/>
  <c r="DT16" i="56"/>
  <c r="DS16" i="56"/>
  <c r="DR16" i="56"/>
  <c r="DQ16" i="56"/>
  <c r="DP16" i="56"/>
  <c r="DO16" i="56"/>
  <c r="DN16" i="56"/>
  <c r="DM16" i="56"/>
  <c r="DL16" i="56"/>
  <c r="DK16" i="56"/>
  <c r="CV16" i="56"/>
  <c r="CH16" i="56"/>
  <c r="CF16" i="56"/>
  <c r="CE16" i="56"/>
  <c r="CD16" i="56"/>
  <c r="CC16" i="56"/>
  <c r="CB16" i="56"/>
  <c r="CA16" i="56"/>
  <c r="BZ16" i="56"/>
  <c r="BY16" i="56"/>
  <c r="BX16" i="56"/>
  <c r="BW16" i="56"/>
  <c r="BV16" i="56"/>
  <c r="BU16" i="56"/>
  <c r="BF16" i="56"/>
  <c r="AR16" i="56"/>
  <c r="AP16" i="56"/>
  <c r="AO16" i="56"/>
  <c r="AN16" i="56"/>
  <c r="AM16" i="56"/>
  <c r="AL16" i="56"/>
  <c r="AK16" i="56"/>
  <c r="AJ16" i="56"/>
  <c r="AI16" i="56"/>
  <c r="AH16" i="56"/>
  <c r="AG16" i="56"/>
  <c r="AF16" i="56"/>
  <c r="AE16" i="56"/>
  <c r="B16" i="56"/>
  <c r="DV15" i="56"/>
  <c r="DU15" i="56"/>
  <c r="DT15" i="56"/>
  <c r="DS15" i="56"/>
  <c r="DR15" i="56"/>
  <c r="DQ15" i="56"/>
  <c r="DP15" i="56"/>
  <c r="DO15" i="56"/>
  <c r="DN15" i="56"/>
  <c r="DM15" i="56"/>
  <c r="DL15" i="56"/>
  <c r="DK15" i="56"/>
  <c r="CV15" i="56"/>
  <c r="CH15" i="56"/>
  <c r="CF15" i="56"/>
  <c r="CE15" i="56"/>
  <c r="CD15" i="56"/>
  <c r="CC15" i="56"/>
  <c r="CB15" i="56"/>
  <c r="CA15" i="56"/>
  <c r="BZ15" i="56"/>
  <c r="BY15" i="56"/>
  <c r="BX15" i="56"/>
  <c r="BW15" i="56"/>
  <c r="BV15" i="56"/>
  <c r="BU15" i="56"/>
  <c r="BF15" i="56"/>
  <c r="AR15" i="56"/>
  <c r="AP15" i="56"/>
  <c r="AO15" i="56"/>
  <c r="AN15" i="56"/>
  <c r="AM15" i="56"/>
  <c r="AL15" i="56"/>
  <c r="AK15" i="56"/>
  <c r="AJ15" i="56"/>
  <c r="AI15" i="56"/>
  <c r="AH15" i="56"/>
  <c r="AG15" i="56"/>
  <c r="AF15" i="56"/>
  <c r="AE15" i="56"/>
  <c r="B15" i="56"/>
  <c r="DV14" i="56"/>
  <c r="DU14" i="56"/>
  <c r="DT14" i="56"/>
  <c r="DS14" i="56"/>
  <c r="DR14" i="56"/>
  <c r="DQ14" i="56"/>
  <c r="DP14" i="56"/>
  <c r="DO14" i="56"/>
  <c r="DN14" i="56"/>
  <c r="DM14" i="56"/>
  <c r="DL14" i="56"/>
  <c r="DK14" i="56"/>
  <c r="CV14" i="56"/>
  <c r="CH14" i="56"/>
  <c r="CF14" i="56"/>
  <c r="CE14" i="56"/>
  <c r="CD14" i="56"/>
  <c r="CC14" i="56"/>
  <c r="CB14" i="56"/>
  <c r="CA14" i="56"/>
  <c r="BZ14" i="56"/>
  <c r="BY14" i="56"/>
  <c r="BX14" i="56"/>
  <c r="BW14" i="56"/>
  <c r="BV14" i="56"/>
  <c r="BU14" i="56"/>
  <c r="BF14" i="56"/>
  <c r="AR14" i="56"/>
  <c r="AP14" i="56"/>
  <c r="AO14" i="56"/>
  <c r="AN14" i="56"/>
  <c r="AM14" i="56"/>
  <c r="AL14" i="56"/>
  <c r="AK14" i="56"/>
  <c r="AJ14" i="56"/>
  <c r="AI14" i="56"/>
  <c r="AH14" i="56"/>
  <c r="AG14" i="56"/>
  <c r="AF14" i="56"/>
  <c r="AE14" i="56"/>
  <c r="B14" i="56"/>
  <c r="DV13" i="56"/>
  <c r="DU13" i="56"/>
  <c r="DT13" i="56"/>
  <c r="DS13" i="56"/>
  <c r="DR13" i="56"/>
  <c r="DQ13" i="56"/>
  <c r="DP13" i="56"/>
  <c r="DO13" i="56"/>
  <c r="DN13" i="56"/>
  <c r="DM13" i="56"/>
  <c r="DL13" i="56"/>
  <c r="DK13" i="56"/>
  <c r="CV13" i="56"/>
  <c r="CH13" i="56"/>
  <c r="CF13" i="56"/>
  <c r="CE13" i="56"/>
  <c r="CD13" i="56"/>
  <c r="CC13" i="56"/>
  <c r="CB13" i="56"/>
  <c r="CA13" i="56"/>
  <c r="BZ13" i="56"/>
  <c r="BY13" i="56"/>
  <c r="BX13" i="56"/>
  <c r="BW13" i="56"/>
  <c r="BV13" i="56"/>
  <c r="BU13" i="56"/>
  <c r="BF13" i="56"/>
  <c r="AR13" i="56"/>
  <c r="AP13" i="56"/>
  <c r="AO13" i="56"/>
  <c r="AN13" i="56"/>
  <c r="AM13" i="56"/>
  <c r="AL13" i="56"/>
  <c r="AK13" i="56"/>
  <c r="AJ13" i="56"/>
  <c r="AI13" i="56"/>
  <c r="AH13" i="56"/>
  <c r="AG13" i="56"/>
  <c r="AF13" i="56"/>
  <c r="AE13" i="56"/>
  <c r="B13" i="56"/>
  <c r="DV12" i="56"/>
  <c r="DU12" i="56"/>
  <c r="DT12" i="56"/>
  <c r="DS12" i="56"/>
  <c r="DR12" i="56"/>
  <c r="DQ12" i="56"/>
  <c r="DP12" i="56"/>
  <c r="DO12" i="56"/>
  <c r="DN12" i="56"/>
  <c r="DM12" i="56"/>
  <c r="DL12" i="56"/>
  <c r="DK12" i="56"/>
  <c r="CV12" i="56"/>
  <c r="CH12" i="56"/>
  <c r="CF12" i="56"/>
  <c r="CE12" i="56"/>
  <c r="CD12" i="56"/>
  <c r="CC12" i="56"/>
  <c r="CB12" i="56"/>
  <c r="CA12" i="56"/>
  <c r="BZ12" i="56"/>
  <c r="BY12" i="56"/>
  <c r="BX12" i="56"/>
  <c r="BW12" i="56"/>
  <c r="BV12" i="56"/>
  <c r="BU12" i="56"/>
  <c r="BF12" i="56"/>
  <c r="AR12" i="56"/>
  <c r="AP12" i="56"/>
  <c r="AO12" i="56"/>
  <c r="AN12" i="56"/>
  <c r="AM12" i="56"/>
  <c r="AL12" i="56"/>
  <c r="AK12" i="56"/>
  <c r="AJ12" i="56"/>
  <c r="AI12" i="56"/>
  <c r="AH12" i="56"/>
  <c r="AG12" i="56"/>
  <c r="AF12" i="56"/>
  <c r="AE12" i="56"/>
  <c r="B12" i="56"/>
  <c r="DV11" i="56"/>
  <c r="DU11" i="56"/>
  <c r="DT11" i="56"/>
  <c r="DS11" i="56"/>
  <c r="DR11" i="56"/>
  <c r="DQ11" i="56"/>
  <c r="DP11" i="56"/>
  <c r="DO11" i="56"/>
  <c r="DN11" i="56"/>
  <c r="DM11" i="56"/>
  <c r="DL11" i="56"/>
  <c r="DK11" i="56"/>
  <c r="CV11" i="56"/>
  <c r="CH11" i="56"/>
  <c r="CF11" i="56"/>
  <c r="CE11" i="56"/>
  <c r="CD11" i="56"/>
  <c r="CC11" i="56"/>
  <c r="CB11" i="56"/>
  <c r="CA11" i="56"/>
  <c r="BZ11" i="56"/>
  <c r="BY11" i="56"/>
  <c r="BX11" i="56"/>
  <c r="BW11" i="56"/>
  <c r="BV11" i="56"/>
  <c r="BU11" i="56"/>
  <c r="BF11" i="56"/>
  <c r="AR11" i="56"/>
  <c r="AP11" i="56"/>
  <c r="AO11" i="56"/>
  <c r="AN11" i="56"/>
  <c r="AM11" i="56"/>
  <c r="AL11" i="56"/>
  <c r="AK11" i="56"/>
  <c r="AJ11" i="56"/>
  <c r="AI11" i="56"/>
  <c r="AH11" i="56"/>
  <c r="AG11" i="56"/>
  <c r="AF11" i="56"/>
  <c r="AE11" i="56"/>
  <c r="B11" i="56"/>
  <c r="DV10" i="56"/>
  <c r="DU10" i="56"/>
  <c r="DT10" i="56"/>
  <c r="DS10" i="56"/>
  <c r="DR10" i="56"/>
  <c r="DQ10" i="56"/>
  <c r="DP10" i="56"/>
  <c r="DO10" i="56"/>
  <c r="DN10" i="56"/>
  <c r="DM10" i="56"/>
  <c r="DL10" i="56"/>
  <c r="DK10" i="56"/>
  <c r="CV10" i="56"/>
  <c r="CH10" i="56"/>
  <c r="CF10" i="56"/>
  <c r="CE10" i="56"/>
  <c r="CD10" i="56"/>
  <c r="CC10" i="56"/>
  <c r="CB10" i="56"/>
  <c r="CA10" i="56"/>
  <c r="BZ10" i="56"/>
  <c r="BY10" i="56"/>
  <c r="BX10" i="56"/>
  <c r="BW10" i="56"/>
  <c r="BV10" i="56"/>
  <c r="BU10" i="56"/>
  <c r="BF10" i="56"/>
  <c r="AR10" i="56"/>
  <c r="AP10" i="56"/>
  <c r="AO10" i="56"/>
  <c r="AN10" i="56"/>
  <c r="AM10" i="56"/>
  <c r="AL10" i="56"/>
  <c r="AK10" i="56"/>
  <c r="AJ10" i="56"/>
  <c r="AI10" i="56"/>
  <c r="AH10" i="56"/>
  <c r="AG10" i="56"/>
  <c r="AF10" i="56"/>
  <c r="AE10" i="56"/>
  <c r="B10" i="56"/>
  <c r="DV9" i="56"/>
  <c r="DU9" i="56"/>
  <c r="DT9" i="56"/>
  <c r="DS9" i="56"/>
  <c r="DR9" i="56"/>
  <c r="DQ9" i="56"/>
  <c r="DP9" i="56"/>
  <c r="DO9" i="56"/>
  <c r="DN9" i="56"/>
  <c r="DM9" i="56"/>
  <c r="DL9" i="56"/>
  <c r="DK9" i="56"/>
  <c r="CV9" i="56"/>
  <c r="CH9" i="56"/>
  <c r="CF9" i="56"/>
  <c r="CE9" i="56"/>
  <c r="CD9" i="56"/>
  <c r="CC9" i="56"/>
  <c r="CB9" i="56"/>
  <c r="CA9" i="56"/>
  <c r="BZ9" i="56"/>
  <c r="BY9" i="56"/>
  <c r="BX9" i="56"/>
  <c r="BW9" i="56"/>
  <c r="BV9" i="56"/>
  <c r="BU9" i="56"/>
  <c r="BF9" i="56"/>
  <c r="AR9" i="56"/>
  <c r="AP9" i="56"/>
  <c r="AO9" i="56"/>
  <c r="AN9" i="56"/>
  <c r="AM9" i="56"/>
  <c r="AL9" i="56"/>
  <c r="AK9" i="56"/>
  <c r="AJ9" i="56"/>
  <c r="AI9" i="56"/>
  <c r="AH9" i="56"/>
  <c r="AG9" i="56"/>
  <c r="AF9" i="56"/>
  <c r="AE9" i="56"/>
  <c r="B9" i="56"/>
  <c r="DV8" i="56"/>
  <c r="DU8" i="56"/>
  <c r="DT8" i="56"/>
  <c r="DS8" i="56"/>
  <c r="DR8" i="56"/>
  <c r="DQ8" i="56"/>
  <c r="DP8" i="56"/>
  <c r="DO8" i="56"/>
  <c r="DN8" i="56"/>
  <c r="DM8" i="56"/>
  <c r="DL8" i="56"/>
  <c r="DK8" i="56"/>
  <c r="CV8" i="56"/>
  <c r="CH8" i="56"/>
  <c r="CF8" i="56"/>
  <c r="CE8" i="56"/>
  <c r="CD8" i="56"/>
  <c r="CC8" i="56"/>
  <c r="CB8" i="56"/>
  <c r="CA8" i="56"/>
  <c r="BZ8" i="56"/>
  <c r="BY8" i="56"/>
  <c r="BX8" i="56"/>
  <c r="BW8" i="56"/>
  <c r="BV8" i="56"/>
  <c r="BU8" i="56"/>
  <c r="BF8" i="56"/>
  <c r="AR8" i="56"/>
  <c r="AP8" i="56"/>
  <c r="AO8" i="56"/>
  <c r="AN8" i="56"/>
  <c r="AM8" i="56"/>
  <c r="AL8" i="56"/>
  <c r="AK8" i="56"/>
  <c r="AJ8" i="56"/>
  <c r="AI8" i="56"/>
  <c r="AH8" i="56"/>
  <c r="AG8" i="56"/>
  <c r="AF8" i="56"/>
  <c r="AE8" i="56"/>
  <c r="B8" i="56"/>
  <c r="G36" i="55"/>
  <c r="D36" i="55"/>
  <c r="G35" i="55"/>
  <c r="D35" i="55"/>
  <c r="G34" i="55"/>
  <c r="D34" i="55"/>
  <c r="G33" i="55"/>
  <c r="D33" i="55"/>
  <c r="G32" i="55"/>
  <c r="D32" i="55"/>
  <c r="G31" i="55"/>
  <c r="D31" i="55"/>
  <c r="G30" i="55"/>
  <c r="D30" i="55"/>
  <c r="G29" i="55"/>
  <c r="D29" i="55"/>
  <c r="G28" i="55"/>
  <c r="D28" i="55"/>
  <c r="G27" i="55"/>
  <c r="D27" i="55"/>
  <c r="G26" i="55"/>
  <c r="D26" i="55"/>
  <c r="G25" i="55"/>
  <c r="D25" i="55"/>
  <c r="G24" i="55"/>
  <c r="D24" i="55"/>
  <c r="G23" i="55"/>
  <c r="D23" i="55"/>
  <c r="G22" i="55"/>
  <c r="D22" i="55"/>
  <c r="G21" i="55"/>
  <c r="D21" i="55"/>
  <c r="G20" i="55"/>
  <c r="D20" i="55"/>
  <c r="G19" i="55"/>
  <c r="D19" i="55"/>
  <c r="G18" i="55"/>
  <c r="D18" i="55"/>
  <c r="G17" i="55"/>
  <c r="D17" i="55"/>
  <c r="G16" i="55"/>
  <c r="D16" i="55"/>
  <c r="G15" i="55"/>
  <c r="D15" i="55"/>
  <c r="G14" i="55"/>
  <c r="D14" i="55"/>
  <c r="G13" i="55"/>
  <c r="D13" i="55"/>
  <c r="G12" i="55"/>
  <c r="D12" i="55"/>
  <c r="G11" i="55"/>
  <c r="D11" i="55"/>
  <c r="G10" i="55"/>
  <c r="D10" i="55"/>
  <c r="G9" i="55"/>
  <c r="D9" i="55"/>
  <c r="F7" i="55"/>
  <c r="E7" i="55"/>
  <c r="C7" i="55"/>
  <c r="B7" i="55"/>
  <c r="G36" i="54"/>
  <c r="D36" i="54"/>
  <c r="G35" i="54"/>
  <c r="D35" i="54"/>
  <c r="G34" i="54"/>
  <c r="D34" i="54"/>
  <c r="G33" i="54"/>
  <c r="D33" i="54"/>
  <c r="G31" i="54"/>
  <c r="D31" i="54"/>
  <c r="G30" i="54"/>
  <c r="D30" i="54"/>
  <c r="G29" i="54"/>
  <c r="D29" i="54"/>
  <c r="G28" i="54"/>
  <c r="D28" i="54"/>
  <c r="G27" i="54"/>
  <c r="D27" i="54"/>
  <c r="G26" i="54"/>
  <c r="D26" i="54"/>
  <c r="G25" i="54"/>
  <c r="D25" i="54"/>
  <c r="G24" i="54"/>
  <c r="D24" i="54"/>
  <c r="G23" i="54"/>
  <c r="D23" i="54"/>
  <c r="G22" i="54"/>
  <c r="D22" i="54"/>
  <c r="G21" i="54"/>
  <c r="D21" i="54"/>
  <c r="G20" i="54"/>
  <c r="D20" i="54"/>
  <c r="G19" i="54"/>
  <c r="D19" i="54"/>
  <c r="G18" i="54"/>
  <c r="D18" i="54"/>
  <c r="G17" i="54"/>
  <c r="D17" i="54"/>
  <c r="G16" i="54"/>
  <c r="D16" i="54"/>
  <c r="G15" i="54"/>
  <c r="D15" i="54"/>
  <c r="G14" i="54"/>
  <c r="D14" i="54"/>
  <c r="G13" i="54"/>
  <c r="D13" i="54"/>
  <c r="G12" i="54"/>
  <c r="D12" i="54"/>
  <c r="G11" i="54"/>
  <c r="D11" i="54"/>
  <c r="G10" i="54"/>
  <c r="D10" i="54"/>
  <c r="G9" i="54"/>
  <c r="D9" i="54"/>
  <c r="C7" i="54"/>
  <c r="B7" i="54"/>
  <c r="B28" i="40"/>
  <c r="B10" i="40"/>
  <c r="B18" i="38"/>
  <c r="B15" i="38"/>
  <c r="B11" i="38"/>
  <c r="B10" i="38"/>
  <c r="B15" i="35"/>
  <c r="B21" i="32"/>
  <c r="L8" i="32"/>
  <c r="H8" i="32"/>
  <c r="B32" i="29"/>
  <c r="H8" i="29"/>
  <c r="E8" i="29"/>
  <c r="K8" i="28"/>
  <c r="E8" i="28"/>
  <c r="K8" i="26"/>
  <c r="E8" i="26"/>
  <c r="D8" i="26"/>
  <c r="B33" i="25"/>
  <c r="B32" i="25"/>
  <c r="B26" i="25"/>
  <c r="B17" i="25"/>
  <c r="K8" i="25"/>
  <c r="J8" i="25"/>
  <c r="B19" i="23"/>
  <c r="B13" i="23"/>
  <c r="K8" i="23"/>
  <c r="J8" i="23"/>
  <c r="F8" i="23"/>
  <c r="D8" i="23"/>
  <c r="B12" i="22"/>
  <c r="E8" i="22"/>
  <c r="K8" i="20"/>
  <c r="F8" i="20"/>
  <c r="K8" i="19"/>
  <c r="H8" i="19"/>
  <c r="I8" i="17"/>
  <c r="D8" i="16"/>
  <c r="C30" i="15"/>
  <c r="C28" i="15"/>
  <c r="C26" i="15"/>
  <c r="C24" i="15"/>
  <c r="C22" i="15"/>
  <c r="C14" i="15"/>
  <c r="C13" i="15"/>
  <c r="X59" i="7"/>
  <c r="U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X55" i="7"/>
  <c r="U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X51" i="7"/>
  <c r="U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U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X43" i="7"/>
  <c r="U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X39" i="7"/>
  <c r="U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U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U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U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U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U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I9" i="7"/>
  <c r="H9" i="7"/>
  <c r="G9" i="7"/>
  <c r="F9" i="7"/>
  <c r="E9" i="7"/>
  <c r="D9" i="7"/>
  <c r="C9" i="7"/>
  <c r="K37" i="5"/>
  <c r="I10" i="5"/>
  <c r="I37" i="5" s="1"/>
  <c r="H10" i="5"/>
  <c r="H37" i="5" s="1"/>
  <c r="G10" i="5"/>
  <c r="G37" i="5" s="1"/>
  <c r="F10" i="5"/>
  <c r="F37" i="5" s="1"/>
  <c r="E10" i="5"/>
  <c r="E37" i="5" s="1"/>
  <c r="D10" i="5"/>
  <c r="D37" i="5" s="1"/>
  <c r="C10" i="5"/>
  <c r="C37" i="5" s="1"/>
  <c r="H16" i="111"/>
  <c r="B19" i="111"/>
  <c r="B30" i="37"/>
  <c r="B19" i="40"/>
  <c r="B15" i="37"/>
  <c r="B31" i="37"/>
  <c r="B12" i="38"/>
  <c r="B36" i="38"/>
  <c r="B29" i="35"/>
  <c r="E8" i="40"/>
  <c r="B16" i="38"/>
  <c r="B29" i="37"/>
  <c r="B22" i="40"/>
  <c r="B11" i="40"/>
  <c r="B27" i="37"/>
  <c r="G8" i="37"/>
  <c r="D8" i="35"/>
  <c r="C8" i="28"/>
  <c r="N8" i="32"/>
  <c r="B22" i="37"/>
  <c r="B21" i="37"/>
  <c r="B36" i="40"/>
  <c r="B34" i="41"/>
  <c r="B22" i="38"/>
  <c r="B27" i="34"/>
  <c r="B20" i="37"/>
  <c r="B24" i="40"/>
  <c r="B36" i="31"/>
  <c r="BT26" i="56"/>
  <c r="B28" i="35"/>
  <c r="B29" i="41"/>
  <c r="M8" i="26"/>
  <c r="I8" i="26"/>
  <c r="B21" i="40"/>
  <c r="B12" i="41"/>
  <c r="B13" i="40"/>
  <c r="B24" i="38"/>
  <c r="B9" i="41"/>
  <c r="B19" i="35"/>
  <c r="B14" i="35"/>
  <c r="B16" i="35"/>
  <c r="J8" i="35"/>
  <c r="B14" i="38"/>
  <c r="L8" i="35"/>
  <c r="B37" i="38"/>
  <c r="B33" i="41"/>
  <c r="B32" i="38"/>
  <c r="C8" i="37"/>
  <c r="B28" i="37"/>
  <c r="B12" i="40"/>
  <c r="C8" i="25"/>
  <c r="B31" i="41"/>
  <c r="B23" i="38"/>
  <c r="N8" i="26"/>
  <c r="B17" i="38"/>
  <c r="B35" i="41"/>
  <c r="B19" i="37"/>
  <c r="B25" i="31"/>
  <c r="B20" i="38"/>
  <c r="M8" i="28"/>
  <c r="C8" i="31"/>
  <c r="B17" i="41"/>
  <c r="M8" i="40"/>
  <c r="B16" i="32"/>
  <c r="N8" i="28"/>
  <c r="B27" i="31"/>
  <c r="B37" i="40"/>
  <c r="C8" i="40"/>
  <c r="B32" i="41"/>
  <c r="J8" i="40"/>
  <c r="E8" i="32"/>
  <c r="H8" i="25"/>
  <c r="B25" i="26"/>
  <c r="C8" i="20"/>
  <c r="M8" i="23"/>
  <c r="G8" i="23"/>
  <c r="N8" i="23"/>
  <c r="N8" i="25"/>
  <c r="B17" i="31"/>
  <c r="F8" i="31"/>
  <c r="N8" i="31"/>
  <c r="E8" i="38"/>
  <c r="B18" i="20"/>
  <c r="D8" i="38"/>
  <c r="J8" i="26"/>
  <c r="B14" i="40"/>
  <c r="B37" i="41"/>
  <c r="I8" i="28"/>
  <c r="B30" i="28"/>
  <c r="B12" i="32"/>
  <c r="G8" i="32"/>
  <c r="B22" i="32"/>
  <c r="B24" i="35"/>
  <c r="H8" i="35"/>
  <c r="B25" i="35"/>
  <c r="M8" i="29"/>
  <c r="B19" i="32"/>
  <c r="B9" i="31"/>
  <c r="B23" i="29"/>
  <c r="I8" i="23"/>
  <c r="B16" i="41"/>
  <c r="B23" i="41"/>
  <c r="B36" i="41"/>
  <c r="D8" i="32"/>
  <c r="F8" i="25"/>
  <c r="B18" i="29"/>
  <c r="I8" i="29"/>
  <c r="B36" i="23"/>
  <c r="B19" i="38"/>
  <c r="C8" i="26"/>
  <c r="B34" i="38"/>
  <c r="G8" i="41"/>
  <c r="K8" i="41"/>
  <c r="B15" i="41"/>
  <c r="B22" i="41"/>
  <c r="B33" i="29"/>
  <c r="M8" i="32"/>
  <c r="B24" i="41"/>
  <c r="B27" i="29"/>
  <c r="N8" i="40"/>
  <c r="H8" i="23"/>
  <c r="M8" i="25"/>
  <c r="B25" i="40"/>
  <c r="B23" i="23"/>
  <c r="F8" i="41"/>
  <c r="B9" i="40"/>
  <c r="N8" i="22"/>
  <c r="B30" i="41"/>
  <c r="H8" i="20"/>
  <c r="J8" i="20"/>
  <c r="C8" i="23"/>
  <c r="B21" i="23"/>
  <c r="E8" i="35"/>
  <c r="N8" i="38"/>
  <c r="B21" i="38"/>
  <c r="B29" i="38"/>
  <c r="G8" i="38"/>
  <c r="B27" i="40"/>
  <c r="D8" i="41"/>
  <c r="B24" i="28"/>
  <c r="B23" i="40"/>
  <c r="B35" i="23"/>
  <c r="B29" i="28"/>
  <c r="F8" i="38"/>
  <c r="I8" i="38"/>
  <c r="B15" i="40"/>
  <c r="F8" i="22"/>
  <c r="B17" i="28"/>
  <c r="B9" i="32"/>
  <c r="B33" i="38"/>
  <c r="F8" i="28"/>
  <c r="B17" i="40"/>
  <c r="B26" i="40"/>
  <c r="H8" i="40"/>
  <c r="B16" i="28"/>
  <c r="B33" i="37"/>
  <c r="B27" i="41"/>
  <c r="B24" i="37"/>
  <c r="J8" i="17"/>
  <c r="B11" i="37"/>
  <c r="B21" i="31"/>
  <c r="B6" i="10"/>
  <c r="B10" i="26"/>
  <c r="G8" i="40"/>
  <c r="L8" i="40"/>
  <c r="B18" i="40"/>
  <c r="F8" i="40"/>
  <c r="C8" i="41"/>
  <c r="B25" i="38"/>
  <c r="N8" i="37"/>
  <c r="B21" i="41"/>
  <c r="B32" i="40"/>
  <c r="B19" i="34"/>
  <c r="B30" i="40"/>
  <c r="B18" i="25"/>
  <c r="F8" i="26"/>
  <c r="L8" i="26"/>
  <c r="B19" i="26"/>
  <c r="F8" i="35"/>
  <c r="N8" i="35"/>
  <c r="L8" i="37"/>
  <c r="B37" i="37"/>
  <c r="H8" i="38"/>
  <c r="B9" i="38"/>
  <c r="M8" i="38"/>
  <c r="B31" i="38"/>
  <c r="E8" i="41"/>
  <c r="B11" i="41"/>
  <c r="B12" i="34"/>
  <c r="D8" i="34"/>
  <c r="B13" i="37"/>
  <c r="J8" i="29"/>
  <c r="K8" i="31"/>
  <c r="B28" i="32"/>
  <c r="B30" i="32"/>
  <c r="B29" i="34"/>
  <c r="C8" i="38"/>
  <c r="E6" i="13"/>
  <c r="I8" i="34"/>
  <c r="B9" i="35"/>
  <c r="C8" i="32"/>
  <c r="C8" i="19"/>
  <c r="B13" i="31"/>
  <c r="K8" i="29"/>
  <c r="I8" i="20"/>
  <c r="B13" i="41"/>
  <c r="B15" i="22"/>
  <c r="B12" i="26"/>
  <c r="G8" i="31"/>
  <c r="K8" i="38"/>
  <c r="B34" i="40"/>
  <c r="B22" i="26"/>
  <c r="C8" i="34"/>
  <c r="H8" i="41"/>
  <c r="B25" i="41"/>
  <c r="B12" i="37"/>
  <c r="B9" i="37"/>
  <c r="B20" i="41"/>
  <c r="J8" i="41"/>
  <c r="H8" i="37"/>
  <c r="J8" i="38"/>
  <c r="L8" i="41"/>
  <c r="B28" i="34"/>
  <c r="B24" i="29"/>
  <c r="C8" i="29"/>
  <c r="B10" i="34"/>
  <c r="I8" i="37"/>
  <c r="F8" i="37"/>
  <c r="G8" i="19"/>
  <c r="B26" i="38"/>
  <c r="B25" i="37"/>
  <c r="B35" i="37"/>
  <c r="F8" i="19"/>
  <c r="B33" i="26"/>
  <c r="B10" i="28"/>
  <c r="L8" i="28"/>
  <c r="B13" i="28"/>
  <c r="H8" i="28"/>
  <c r="F8" i="32"/>
  <c r="I8" i="40"/>
  <c r="B33" i="40"/>
  <c r="B33" i="34"/>
  <c r="B30" i="38"/>
  <c r="B18" i="41"/>
  <c r="N8" i="41"/>
  <c r="B19" i="41"/>
  <c r="M8" i="41"/>
  <c r="L8" i="38"/>
  <c r="J8" i="19"/>
  <c r="B18" i="31"/>
  <c r="B21" i="25"/>
  <c r="G8" i="26"/>
  <c r="B33" i="35"/>
  <c r="B24" i="31"/>
  <c r="B32" i="32"/>
  <c r="B23" i="31"/>
  <c r="B29" i="32"/>
  <c r="N8" i="20"/>
  <c r="B31" i="40"/>
  <c r="B14" i="28"/>
  <c r="B14" i="26"/>
  <c r="B20" i="29"/>
  <c r="J8" i="32"/>
  <c r="B17" i="37"/>
  <c r="F6" i="13"/>
  <c r="D6" i="13"/>
  <c r="B15" i="25"/>
  <c r="B14" i="29"/>
  <c r="L8" i="29"/>
  <c r="B18" i="32"/>
  <c r="B30" i="22"/>
  <c r="L8" i="23"/>
  <c r="B25" i="23"/>
  <c r="B27" i="23"/>
  <c r="E8" i="23"/>
  <c r="B21" i="28"/>
  <c r="B20" i="40"/>
  <c r="N8" i="17"/>
  <c r="I8" i="19"/>
  <c r="L8" i="25"/>
  <c r="B14" i="25"/>
  <c r="H8" i="26"/>
  <c r="B29" i="29"/>
  <c r="B31" i="32"/>
  <c r="F6" i="12"/>
  <c r="L8" i="19"/>
  <c r="I8" i="32"/>
  <c r="B14" i="41"/>
  <c r="N8" i="19"/>
  <c r="B24" i="20"/>
  <c r="B11" i="25"/>
  <c r="B16" i="40"/>
  <c r="B35" i="40"/>
  <c r="B22" i="25"/>
  <c r="B36" i="26"/>
  <c r="B19" i="28"/>
  <c r="B26" i="37"/>
  <c r="B35" i="22"/>
  <c r="B27" i="25"/>
  <c r="B30" i="25"/>
  <c r="B23" i="26"/>
  <c r="D8" i="31"/>
  <c r="L8" i="31"/>
  <c r="H8" i="31"/>
  <c r="K8" i="40"/>
  <c r="B17" i="23"/>
  <c r="B28" i="28"/>
  <c r="K8" i="32"/>
  <c r="B13" i="35"/>
  <c r="B37" i="35"/>
  <c r="B34" i="22"/>
  <c r="B16" i="25"/>
  <c r="B37" i="32"/>
  <c r="B21" i="35"/>
  <c r="B28" i="38"/>
  <c r="B10" i="41"/>
  <c r="D6" i="12"/>
  <c r="I8" i="31"/>
  <c r="B20" i="31"/>
  <c r="B9" i="34"/>
  <c r="B18" i="37"/>
  <c r="B23" i="37"/>
  <c r="B10" i="31"/>
  <c r="M8" i="35"/>
  <c r="B20" i="35"/>
  <c r="B36" i="35"/>
  <c r="G8" i="29"/>
  <c r="B33" i="32"/>
  <c r="J8" i="34"/>
  <c r="B10" i="35"/>
  <c r="B29" i="40"/>
  <c r="I8" i="41"/>
  <c r="B6" i="9"/>
  <c r="E6" i="6"/>
  <c r="C11" i="15"/>
  <c r="B29" i="44"/>
  <c r="H8" i="16"/>
  <c r="B22" i="16"/>
  <c r="D8" i="17"/>
  <c r="B10" i="23"/>
  <c r="D8" i="20"/>
  <c r="B29" i="26"/>
  <c r="I8" i="35"/>
  <c r="E8" i="34"/>
  <c r="K8" i="35"/>
  <c r="B18" i="35"/>
  <c r="C36" i="113" l="1"/>
  <c r="BZ6" i="56"/>
  <c r="C44" i="113"/>
  <c r="DJ36" i="56"/>
  <c r="BT27" i="56"/>
  <c r="D7" i="55"/>
  <c r="BT29" i="56"/>
  <c r="CB6" i="56"/>
  <c r="B8" i="112"/>
  <c r="C40" i="113"/>
  <c r="DP6" i="56"/>
  <c r="AJ6" i="56"/>
  <c r="AO6" i="56"/>
  <c r="AD11" i="56"/>
  <c r="AM6" i="56"/>
  <c r="BT9" i="56"/>
  <c r="BU6" i="56"/>
  <c r="AI6" i="56"/>
  <c r="BT19" i="56"/>
  <c r="DQ6" i="56"/>
  <c r="BT21" i="56"/>
  <c r="AD13" i="56"/>
  <c r="G7" i="55"/>
  <c r="D6" i="112"/>
  <c r="N6" i="112"/>
  <c r="B16" i="112"/>
  <c r="AD19" i="56"/>
  <c r="AD25" i="56"/>
  <c r="AD29" i="56"/>
  <c r="AD31" i="56"/>
  <c r="BT35" i="56"/>
  <c r="L6" i="112"/>
  <c r="AD33" i="56"/>
  <c r="C12" i="113"/>
  <c r="AD27" i="56"/>
  <c r="AD18" i="56"/>
  <c r="C28" i="113"/>
  <c r="DN6" i="56"/>
  <c r="CF6" i="56"/>
  <c r="BT34" i="56"/>
  <c r="AE6" i="56"/>
  <c r="C8" i="113"/>
  <c r="F6" i="6"/>
  <c r="B25" i="112"/>
  <c r="C18" i="15"/>
  <c r="K6" i="111"/>
  <c r="DJ8" i="56"/>
  <c r="DJ13" i="56"/>
  <c r="DJ14" i="56"/>
  <c r="DJ16" i="56"/>
  <c r="DJ17" i="56"/>
  <c r="DJ23" i="56"/>
  <c r="DJ28" i="56"/>
  <c r="G6" i="111"/>
  <c r="C16" i="113"/>
  <c r="F6" i="112"/>
  <c r="C6" i="112"/>
  <c r="G6" i="112"/>
  <c r="H6" i="111"/>
  <c r="N6" i="111"/>
  <c r="C19" i="15"/>
  <c r="DJ10" i="56"/>
  <c r="DJ18" i="56"/>
  <c r="DJ32" i="56"/>
  <c r="DJ34" i="56"/>
  <c r="DJ31" i="56"/>
  <c r="DJ33" i="56"/>
  <c r="BW6" i="56"/>
  <c r="AF6" i="56"/>
  <c r="AP6" i="56"/>
  <c r="D8" i="25"/>
  <c r="L8" i="16"/>
  <c r="G6" i="6"/>
  <c r="B23" i="16"/>
  <c r="B31" i="16"/>
  <c r="B35" i="16"/>
  <c r="F8" i="17"/>
  <c r="B11" i="17"/>
  <c r="B16" i="17"/>
  <c r="B9" i="20"/>
  <c r="B32" i="28"/>
  <c r="B30" i="31"/>
  <c r="B28" i="31"/>
  <c r="E8" i="20"/>
  <c r="B17" i="17"/>
  <c r="B30" i="17"/>
  <c r="E8" i="17"/>
  <c r="B34" i="17"/>
  <c r="B36" i="17"/>
  <c r="B10" i="19"/>
  <c r="B13" i="19"/>
  <c r="B15" i="19"/>
  <c r="B17" i="19"/>
  <c r="B18" i="19"/>
  <c r="B19" i="19"/>
  <c r="B20" i="19"/>
  <c r="B21" i="19"/>
  <c r="B24" i="19"/>
  <c r="B27" i="19"/>
  <c r="B34" i="19"/>
  <c r="B15" i="20"/>
  <c r="B17" i="20"/>
  <c r="B19" i="20"/>
  <c r="B20" i="20"/>
  <c r="B23" i="20"/>
  <c r="B26" i="20"/>
  <c r="B28" i="20"/>
  <c r="B31" i="20"/>
  <c r="B10" i="22"/>
  <c r="B11" i="22"/>
  <c r="B20" i="22"/>
  <c r="B31" i="22"/>
  <c r="B9" i="23"/>
  <c r="B15" i="23"/>
  <c r="B16" i="23"/>
  <c r="B20" i="23"/>
  <c r="B29" i="23"/>
  <c r="B32" i="23"/>
  <c r="B33" i="23"/>
  <c r="B34" i="23"/>
  <c r="B37" i="23"/>
  <c r="B10" i="25"/>
  <c r="B12" i="25"/>
  <c r="B20" i="25"/>
  <c r="B25" i="25"/>
  <c r="B28" i="25"/>
  <c r="B35" i="25"/>
  <c r="B13" i="26"/>
  <c r="B17" i="26"/>
  <c r="B21" i="26"/>
  <c r="B24" i="26"/>
  <c r="B28" i="26"/>
  <c r="B30" i="26"/>
  <c r="B31" i="26"/>
  <c r="B34" i="26"/>
  <c r="B35" i="26"/>
  <c r="B37" i="26"/>
  <c r="B23" i="28"/>
  <c r="B25" i="28"/>
  <c r="B31" i="29"/>
  <c r="B11" i="31"/>
  <c r="B26" i="31"/>
  <c r="B35" i="31"/>
  <c r="B23" i="32"/>
  <c r="B25" i="32"/>
  <c r="B26" i="32"/>
  <c r="B27" i="32"/>
  <c r="B34" i="112"/>
  <c r="I6" i="112"/>
  <c r="B16" i="111"/>
  <c r="F6" i="111"/>
  <c r="C6" i="111"/>
  <c r="I6" i="111"/>
  <c r="G8" i="17"/>
  <c r="B12" i="35"/>
  <c r="B32" i="35"/>
  <c r="B34" i="35"/>
  <c r="K8" i="16"/>
  <c r="B36" i="16"/>
  <c r="B9" i="26"/>
  <c r="B37" i="25"/>
  <c r="B15" i="16"/>
  <c r="B31" i="23"/>
  <c r="H8" i="17"/>
  <c r="B20" i="16"/>
  <c r="B19" i="31"/>
  <c r="B17" i="22"/>
  <c r="B10" i="16"/>
  <c r="K8" i="22"/>
  <c r="B24" i="32"/>
  <c r="B37" i="16"/>
  <c r="B10" i="17"/>
  <c r="B14" i="17"/>
  <c r="B15" i="17"/>
  <c r="B18" i="17"/>
  <c r="B19" i="17"/>
  <c r="B21" i="17"/>
  <c r="B23" i="17"/>
  <c r="B24" i="17"/>
  <c r="B25" i="17"/>
  <c r="B27" i="17"/>
  <c r="M8" i="17"/>
  <c r="B31" i="17"/>
  <c r="B32" i="17"/>
  <c r="B33" i="17"/>
  <c r="B35" i="17"/>
  <c r="B13" i="16"/>
  <c r="L8" i="17"/>
  <c r="B37" i="17"/>
  <c r="B9" i="19"/>
  <c r="B28" i="19"/>
  <c r="B32" i="19"/>
  <c r="B10" i="20"/>
  <c r="B11" i="20"/>
  <c r="B14" i="20"/>
  <c r="B16" i="20"/>
  <c r="B21" i="20"/>
  <c r="B25" i="20"/>
  <c r="B29" i="20"/>
  <c r="B30" i="20"/>
  <c r="B35" i="20"/>
  <c r="B36" i="20"/>
  <c r="B16" i="22"/>
  <c r="B21" i="22"/>
  <c r="B23" i="22"/>
  <c r="B24" i="22"/>
  <c r="B14" i="23"/>
  <c r="B18" i="23"/>
  <c r="B26" i="23"/>
  <c r="B9" i="25"/>
  <c r="B13" i="25"/>
  <c r="B24" i="25"/>
  <c r="B31" i="25"/>
  <c r="B26" i="26"/>
  <c r="B32" i="26"/>
  <c r="B22" i="28"/>
  <c r="B11" i="29"/>
  <c r="B26" i="29"/>
  <c r="B17" i="16"/>
  <c r="J8" i="16"/>
  <c r="B21" i="16"/>
  <c r="B24" i="16"/>
  <c r="B25" i="16"/>
  <c r="B26" i="16"/>
  <c r="B27" i="16"/>
  <c r="B29" i="16"/>
  <c r="B30" i="16"/>
  <c r="B12" i="16"/>
  <c r="M8" i="19"/>
  <c r="G8" i="16"/>
  <c r="B22" i="19"/>
  <c r="E8" i="16"/>
  <c r="B27" i="20"/>
  <c r="B23" i="19"/>
  <c r="B12" i="17"/>
  <c r="B29" i="19"/>
  <c r="B22" i="22"/>
  <c r="B32" i="22"/>
  <c r="B13" i="32"/>
  <c r="B14" i="32"/>
  <c r="B20" i="17"/>
  <c r="B34" i="20"/>
  <c r="B22" i="20"/>
  <c r="B26" i="22"/>
  <c r="B18" i="26"/>
  <c r="B27" i="26"/>
  <c r="B37" i="28"/>
  <c r="B21" i="29"/>
  <c r="B30" i="29"/>
  <c r="B9" i="17"/>
  <c r="B11" i="16"/>
  <c r="B29" i="25"/>
  <c r="B13" i="17"/>
  <c r="B12" i="23"/>
  <c r="B11" i="19"/>
  <c r="K8" i="17"/>
  <c r="B15" i="28"/>
  <c r="B30" i="35"/>
  <c r="B33" i="19"/>
  <c r="AD10" i="56"/>
  <c r="AD26" i="56"/>
  <c r="AD28" i="56"/>
  <c r="AD30" i="56"/>
  <c r="BT30" i="56"/>
  <c r="DU6" i="56"/>
  <c r="DJ12" i="56"/>
  <c r="DJ15" i="56"/>
  <c r="DJ19" i="56"/>
  <c r="DJ21" i="56"/>
  <c r="DJ22" i="56"/>
  <c r="DJ24" i="56"/>
  <c r="DJ25" i="56"/>
  <c r="DJ26" i="56"/>
  <c r="DJ27" i="56"/>
  <c r="DJ29" i="56"/>
  <c r="BT12" i="56"/>
  <c r="AK6" i="56"/>
  <c r="AD8" i="56"/>
  <c r="AD16" i="56"/>
  <c r="AD20" i="56"/>
  <c r="AD32" i="56"/>
  <c r="DV6" i="56"/>
  <c r="B6" i="56"/>
  <c r="CV6" i="56"/>
  <c r="DL6" i="56"/>
  <c r="BT10" i="56"/>
  <c r="BT11" i="56"/>
  <c r="BT14" i="56"/>
  <c r="BT16" i="56"/>
  <c r="BT17" i="56"/>
  <c r="BT20" i="56"/>
  <c r="BT22" i="56"/>
  <c r="BT23" i="56"/>
  <c r="BT25" i="56"/>
  <c r="BT28" i="56"/>
  <c r="BX6" i="56"/>
  <c r="DM6" i="56"/>
  <c r="DS6" i="56"/>
  <c r="DJ11" i="56"/>
  <c r="DJ35" i="56"/>
  <c r="AR6" i="56"/>
  <c r="BY6" i="56"/>
  <c r="CE6" i="56"/>
  <c r="CH6" i="56"/>
  <c r="D7" i="54"/>
  <c r="B35" i="19"/>
  <c r="B33" i="22"/>
  <c r="B11" i="23"/>
  <c r="B20" i="28"/>
  <c r="B16" i="29"/>
  <c r="B25" i="29"/>
  <c r="B10" i="29"/>
  <c r="B12" i="29"/>
  <c r="B15" i="29"/>
  <c r="B17" i="29"/>
  <c r="B24" i="23"/>
  <c r="B28" i="23"/>
  <c r="B10" i="37"/>
  <c r="B14" i="37"/>
  <c r="B32" i="37"/>
  <c r="B11" i="26"/>
  <c r="B13" i="38"/>
  <c r="B26" i="28"/>
  <c r="B31" i="28"/>
  <c r="G8" i="20"/>
  <c r="B23" i="35"/>
  <c r="B34" i="31"/>
  <c r="B10" i="32"/>
  <c r="B11" i="32"/>
  <c r="C17" i="15"/>
  <c r="B12" i="28"/>
  <c r="B29" i="31"/>
  <c r="B31" i="31"/>
  <c r="B22" i="29"/>
  <c r="G8" i="28"/>
  <c r="B30" i="34"/>
  <c r="B14" i="16"/>
  <c r="B9" i="28"/>
  <c r="B31" i="34"/>
  <c r="B27" i="35"/>
  <c r="B31" i="35"/>
  <c r="B16" i="37"/>
  <c r="B30" i="23"/>
  <c r="B33" i="28"/>
  <c r="B35" i="28"/>
  <c r="B36" i="28"/>
  <c r="B9" i="29"/>
  <c r="B18" i="22"/>
  <c r="B36" i="22"/>
  <c r="I8" i="16"/>
  <c r="J8" i="28"/>
  <c r="H8" i="34"/>
  <c r="B18" i="16"/>
  <c r="B16" i="19"/>
  <c r="B11" i="28"/>
  <c r="B22" i="23"/>
  <c r="E8" i="31"/>
  <c r="B8" i="41"/>
  <c r="H8" i="22"/>
  <c r="M8" i="22"/>
  <c r="B22" i="17"/>
  <c r="B32" i="31"/>
  <c r="B20" i="32"/>
  <c r="B36" i="37"/>
  <c r="M8" i="16"/>
  <c r="C8" i="16"/>
  <c r="B32" i="16"/>
  <c r="B33" i="16"/>
  <c r="B26" i="17"/>
  <c r="B25" i="19"/>
  <c r="B31" i="19"/>
  <c r="B35" i="35"/>
  <c r="B13" i="20"/>
  <c r="B20" i="26"/>
  <c r="B28" i="29"/>
  <c r="B22" i="31"/>
  <c r="B24" i="34"/>
  <c r="B26" i="34"/>
  <c r="B9" i="22"/>
  <c r="B36" i="25"/>
  <c r="B20" i="34"/>
  <c r="B35" i="34"/>
  <c r="B16" i="16"/>
  <c r="B12" i="20"/>
  <c r="B34" i="25"/>
  <c r="B34" i="34"/>
  <c r="M6" i="111"/>
  <c r="B8" i="32"/>
  <c r="I8" i="22"/>
  <c r="G8" i="22"/>
  <c r="D8" i="22"/>
  <c r="B32" i="34"/>
  <c r="B29" i="22"/>
  <c r="J8" i="31"/>
  <c r="B30" i="19"/>
  <c r="M8" i="20"/>
  <c r="B9" i="16"/>
  <c r="D8" i="29"/>
  <c r="B8" i="23"/>
  <c r="B8" i="26"/>
  <c r="F8" i="34"/>
  <c r="B19" i="16"/>
  <c r="B36" i="19"/>
  <c r="F8" i="16"/>
  <c r="B35" i="38"/>
  <c r="B28" i="22"/>
  <c r="B32" i="20"/>
  <c r="E8" i="19"/>
  <c r="B37" i="19"/>
  <c r="N8" i="16"/>
  <c r="B28" i="17"/>
  <c r="C8" i="22"/>
  <c r="D8" i="28"/>
  <c r="B33" i="20"/>
  <c r="C8" i="17"/>
  <c r="B8" i="38"/>
  <c r="B28" i="16"/>
  <c r="C20" i="15"/>
  <c r="B26" i="19"/>
  <c r="L8" i="22"/>
  <c r="B37" i="31"/>
  <c r="B17" i="32"/>
  <c r="AD14" i="56"/>
  <c r="B13" i="22"/>
  <c r="B37" i="22"/>
  <c r="B15" i="31"/>
  <c r="B16" i="31"/>
  <c r="AD34" i="56"/>
  <c r="AL6" i="56"/>
  <c r="L8" i="20"/>
  <c r="B14" i="22"/>
  <c r="B19" i="22"/>
  <c r="B25" i="22"/>
  <c r="B12" i="19"/>
  <c r="B37" i="20"/>
  <c r="L8" i="34"/>
  <c r="DJ9" i="56"/>
  <c r="D8" i="19"/>
  <c r="B14" i="19"/>
  <c r="J8" i="22"/>
  <c r="B27" i="22"/>
  <c r="B23" i="25"/>
  <c r="B18" i="28"/>
  <c r="B34" i="28"/>
  <c r="B13" i="29"/>
  <c r="G8" i="34"/>
  <c r="B36" i="34"/>
  <c r="C8" i="35"/>
  <c r="B11" i="35"/>
  <c r="B22" i="35"/>
  <c r="L6" i="111"/>
  <c r="CD6" i="56"/>
  <c r="I8" i="25"/>
  <c r="G8" i="25"/>
  <c r="B15" i="26"/>
  <c r="B16" i="26"/>
  <c r="B14" i="31"/>
  <c r="B33" i="31"/>
  <c r="N8" i="34"/>
  <c r="B23" i="34"/>
  <c r="D8" i="37"/>
  <c r="J8" i="37"/>
  <c r="BT13" i="56"/>
  <c r="AD15" i="56"/>
  <c r="AD17" i="56"/>
  <c r="AD21" i="56"/>
  <c r="AD22" i="56"/>
  <c r="AD23" i="56"/>
  <c r="AD24" i="56"/>
  <c r="BT32" i="56"/>
  <c r="K6" i="112"/>
  <c r="D8" i="40"/>
  <c r="B34" i="32"/>
  <c r="B36" i="32"/>
  <c r="B11" i="34"/>
  <c r="B13" i="34"/>
  <c r="B14" i="34"/>
  <c r="B15" i="34"/>
  <c r="B16" i="34"/>
  <c r="B17" i="34"/>
  <c r="B18" i="34"/>
  <c r="B25" i="34"/>
  <c r="B26" i="35"/>
  <c r="E8" i="37"/>
  <c r="K8" i="37"/>
  <c r="AD9" i="56"/>
  <c r="BT15" i="56"/>
  <c r="BT18" i="56"/>
  <c r="BT24" i="56"/>
  <c r="BT33" i="56"/>
  <c r="B8" i="111"/>
  <c r="AH6" i="56"/>
  <c r="AN6" i="56"/>
  <c r="CA6" i="56"/>
  <c r="DO6" i="56"/>
  <c r="F8" i="29"/>
  <c r="B19" i="29"/>
  <c r="B34" i="29"/>
  <c r="B35" i="29"/>
  <c r="B36" i="29"/>
  <c r="B37" i="29"/>
  <c r="M8" i="31"/>
  <c r="B15" i="32"/>
  <c r="B37" i="34"/>
  <c r="G8" i="35"/>
  <c r="B28" i="41"/>
  <c r="DJ30" i="56"/>
  <c r="J6" i="111"/>
  <c r="D6" i="111"/>
  <c r="B34" i="111"/>
  <c r="E6" i="112"/>
  <c r="J6" i="112"/>
  <c r="M6" i="112"/>
  <c r="BF6" i="56"/>
  <c r="DR6" i="56"/>
  <c r="B27" i="28"/>
  <c r="B35" i="32"/>
  <c r="K8" i="34"/>
  <c r="B21" i="34"/>
  <c r="B22" i="34"/>
  <c r="M8" i="37"/>
  <c r="AD12" i="56"/>
  <c r="DJ20" i="56"/>
  <c r="E6" i="111"/>
  <c r="B25" i="111"/>
  <c r="H6" i="112"/>
  <c r="CC6" i="56"/>
  <c r="H6" i="6"/>
  <c r="B29" i="17"/>
  <c r="B34" i="16"/>
  <c r="E8" i="25"/>
  <c r="B19" i="25"/>
  <c r="B17" i="35"/>
  <c r="N8" i="29"/>
  <c r="B12" i="31"/>
  <c r="M8" i="34"/>
  <c r="B34" i="37"/>
  <c r="B27" i="38"/>
  <c r="B26" i="41"/>
  <c r="BT8" i="56"/>
  <c r="V37" i="5"/>
  <c r="BT6" i="56" l="1"/>
  <c r="DJ6" i="56"/>
  <c r="B6" i="112"/>
  <c r="B6" i="111"/>
  <c r="B8" i="28"/>
  <c r="B8" i="31"/>
  <c r="AD6" i="56"/>
  <c r="B8" i="34"/>
  <c r="B8" i="19"/>
  <c r="B8" i="35"/>
  <c r="B8" i="17"/>
  <c r="B8" i="40"/>
  <c r="B8" i="16"/>
  <c r="B8" i="22"/>
  <c r="B8" i="20"/>
  <c r="B8" i="25"/>
  <c r="B8" i="37"/>
  <c r="B8" i="29"/>
  <c r="E6" i="9" l="1"/>
  <c r="B6" i="12"/>
  <c r="F6" i="9"/>
  <c r="D6" i="9"/>
  <c r="C6" i="9" l="1"/>
  <c r="H6" i="10"/>
  <c r="G6" i="9"/>
  <c r="F6" i="10"/>
  <c r="H6" i="9"/>
  <c r="C6" i="10"/>
  <c r="E6" i="10"/>
  <c r="B6" i="13"/>
  <c r="G6" i="10"/>
  <c r="D6" i="10"/>
  <c r="I6" i="6" l="1"/>
</calcChain>
</file>

<file path=xl/sharedStrings.xml><?xml version="1.0" encoding="utf-8"?>
<sst xmlns="http://schemas.openxmlformats.org/spreadsheetml/2006/main" count="10303" uniqueCount="617">
  <si>
    <t>2000</t>
  </si>
  <si>
    <t>2001</t>
  </si>
  <si>
    <t>2002</t>
  </si>
  <si>
    <t>Subsector pecuario</t>
  </si>
  <si>
    <t xml:space="preserve">    Ave</t>
  </si>
  <si>
    <t>Ovino</t>
  </si>
  <si>
    <t>Porcino</t>
  </si>
  <si>
    <t>Vacuno</t>
  </si>
  <si>
    <t>Caprino</t>
  </si>
  <si>
    <t>Alpaca</t>
  </si>
  <si>
    <t>Llama</t>
  </si>
  <si>
    <t>Lana</t>
  </si>
  <si>
    <t>Ovino 1/</t>
  </si>
  <si>
    <t>Vacuno 1/</t>
  </si>
  <si>
    <t>Huevo</t>
  </si>
  <si>
    <t>Especie / Producto</t>
  </si>
  <si>
    <t>Región</t>
  </si>
  <si>
    <t>Ave</t>
  </si>
  <si>
    <t>LLama</t>
  </si>
  <si>
    <t>Tumbes</t>
  </si>
  <si>
    <t>Piura</t>
  </si>
  <si>
    <t>Lambayeque</t>
  </si>
  <si>
    <t>La Libertad</t>
  </si>
  <si>
    <t>Cajamarca</t>
  </si>
  <si>
    <t xml:space="preserve">    Cajamarca</t>
  </si>
  <si>
    <t xml:space="preserve">    Chota</t>
  </si>
  <si>
    <t xml:space="preserve">    Jaén</t>
  </si>
  <si>
    <t>Amazonas</t>
  </si>
  <si>
    <t>Ancash</t>
  </si>
  <si>
    <t>Lima</t>
  </si>
  <si>
    <t>Ica</t>
  </si>
  <si>
    <t>Huánuco</t>
  </si>
  <si>
    <t>Pasco</t>
  </si>
  <si>
    <t>Junín</t>
  </si>
  <si>
    <t>Huancavelica</t>
  </si>
  <si>
    <t>Arequipa</t>
  </si>
  <si>
    <t>Moquegua</t>
  </si>
  <si>
    <t>Tacna</t>
  </si>
  <si>
    <t>Ayacucho</t>
  </si>
  <si>
    <t>Apurímac</t>
  </si>
  <si>
    <t xml:space="preserve">    Abancay</t>
  </si>
  <si>
    <t xml:space="preserve">    Andahuaylas</t>
  </si>
  <si>
    <t>Cusco</t>
  </si>
  <si>
    <t>Puno</t>
  </si>
  <si>
    <t>San Martín</t>
  </si>
  <si>
    <t>Loreto</t>
  </si>
  <si>
    <t>Ucayali</t>
  </si>
  <si>
    <t>Madre de Dios</t>
  </si>
  <si>
    <t>-</t>
  </si>
  <si>
    <t>Población (Miles)</t>
  </si>
  <si>
    <t xml:space="preserve"> 1/  Precio en chacra de animales en  pie.</t>
  </si>
  <si>
    <t>Variable</t>
  </si>
  <si>
    <t>Anual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</si>
  <si>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</si>
  <si>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</si>
  <si>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</si>
  <si>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</si>
  <si>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</si>
  <si>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</si>
  <si>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</si>
  <si>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</si>
  <si>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</si>
  <si>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</si>
  <si>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</si>
  <si>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</si>
  <si>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 xml:space="preserve">Ave </t>
  </si>
  <si>
    <t xml:space="preserve">Porcino </t>
  </si>
  <si>
    <t xml:space="preserve">Vacuno </t>
  </si>
  <si>
    <t xml:space="preserve">Caprino </t>
  </si>
  <si>
    <t xml:space="preserve">Alpaca </t>
  </si>
  <si>
    <t xml:space="preserve">Llama </t>
  </si>
  <si>
    <t>Alpacas esquiladas</t>
  </si>
  <si>
    <t>Lana ovino</t>
  </si>
  <si>
    <t xml:space="preserve"> -</t>
  </si>
  <si>
    <t>Producto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</si>
  <si>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</si>
  <si>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</si>
  <si>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</si>
  <si>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</si>
  <si>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</si>
  <si>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</si>
  <si>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</si>
  <si>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</si>
  <si>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</si>
  <si>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</si>
  <si>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</si>
  <si>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</si>
  <si>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Nacional</t>
  </si>
  <si>
    <t xml:space="preserve">   Cajamarca</t>
  </si>
  <si>
    <t xml:space="preserve">   Chota</t>
  </si>
  <si>
    <t xml:space="preserve">   Jaén</t>
  </si>
  <si>
    <t xml:space="preserve">   Abancay</t>
  </si>
  <si>
    <t xml:space="preserve">   Andahuaylas</t>
  </si>
  <si>
    <t>Total Nacional</t>
  </si>
  <si>
    <t xml:space="preserve">     Cajamarca</t>
  </si>
  <si>
    <t xml:space="preserve">     Chota</t>
  </si>
  <si>
    <t xml:space="preserve">     Jaén</t>
  </si>
  <si>
    <t xml:space="preserve">     Abancay</t>
  </si>
  <si>
    <t xml:space="preserve">     Andahuaylas</t>
  </si>
  <si>
    <t>San  Martín</t>
  </si>
  <si>
    <t>Promedio</t>
  </si>
  <si>
    <t>Especie</t>
  </si>
  <si>
    <t>Unidades</t>
  </si>
  <si>
    <t>Ene-Dic</t>
  </si>
  <si>
    <t xml:space="preserve">Total Nacional </t>
  </si>
  <si>
    <t xml:space="preserve">Promedio Nacional </t>
  </si>
  <si>
    <t>Total</t>
  </si>
  <si>
    <t>Mes</t>
  </si>
  <si>
    <t>Año</t>
  </si>
  <si>
    <t>Pavo</t>
  </si>
  <si>
    <t>Cuadro     87    .  Perú:Abastecimiento de carne y</t>
  </si>
  <si>
    <t>Carnes</t>
  </si>
  <si>
    <t>Pesca-</t>
  </si>
  <si>
    <t>do 2/</t>
  </si>
  <si>
    <t>Pollo</t>
  </si>
  <si>
    <t>Fuente:MINAG-DGIA.</t>
  </si>
  <si>
    <t xml:space="preserve">     2/Ministerio de Pesquería</t>
  </si>
  <si>
    <t>Leche</t>
  </si>
  <si>
    <t>Polvo</t>
  </si>
  <si>
    <t>Entera</t>
  </si>
  <si>
    <t xml:space="preserve">Grasa </t>
  </si>
  <si>
    <t>Anhidra</t>
  </si>
  <si>
    <t>Habitantes</t>
  </si>
  <si>
    <t>Gallina</t>
  </si>
  <si>
    <t xml:space="preserve">     Jaen</t>
  </si>
  <si>
    <t>anual</t>
  </si>
  <si>
    <t>Puno  *</t>
  </si>
  <si>
    <t>Departamento</t>
  </si>
  <si>
    <t xml:space="preserve">Moquegua </t>
  </si>
  <si>
    <t>Línea carne</t>
  </si>
  <si>
    <t>(Miles)</t>
  </si>
  <si>
    <t>Línea postura</t>
  </si>
  <si>
    <t xml:space="preserve">Carne pollo </t>
  </si>
  <si>
    <t>Volumen</t>
  </si>
  <si>
    <t>Rendimiento</t>
  </si>
  <si>
    <t>Postura</t>
  </si>
  <si>
    <t>Reproductoras</t>
  </si>
  <si>
    <t>NORTE</t>
  </si>
  <si>
    <t xml:space="preserve">   Tumbes</t>
  </si>
  <si>
    <t xml:space="preserve">   Piura</t>
  </si>
  <si>
    <t xml:space="preserve">   Lambayeque</t>
  </si>
  <si>
    <t xml:space="preserve">   La Libertad</t>
  </si>
  <si>
    <t xml:space="preserve">   Amazonas</t>
  </si>
  <si>
    <t>CENTRO</t>
  </si>
  <si>
    <t>SUR</t>
  </si>
  <si>
    <t xml:space="preserve">   Moquegua</t>
  </si>
  <si>
    <t xml:space="preserve">   Ayacucho</t>
  </si>
  <si>
    <t xml:space="preserve">   Apurímac</t>
  </si>
  <si>
    <t xml:space="preserve">   Cusco</t>
  </si>
  <si>
    <t xml:space="preserve">   Puno</t>
  </si>
  <si>
    <t>ORIENTE</t>
  </si>
  <si>
    <t xml:space="preserve">   Loreto</t>
  </si>
  <si>
    <t xml:space="preserve">   Ucayali</t>
  </si>
  <si>
    <t xml:space="preserve">   Ancash </t>
  </si>
  <si>
    <t xml:space="preserve">   Lima</t>
  </si>
  <si>
    <t xml:space="preserve">   Ica </t>
  </si>
  <si>
    <t xml:space="preserve">   Huánuco</t>
  </si>
  <si>
    <t xml:space="preserve">   Huancavelica</t>
  </si>
  <si>
    <t xml:space="preserve">   Junín</t>
  </si>
  <si>
    <t xml:space="preserve">   Pasco</t>
  </si>
  <si>
    <t xml:space="preserve">   Arequipa</t>
  </si>
  <si>
    <t xml:space="preserve">   Tacna </t>
  </si>
  <si>
    <t xml:space="preserve">   San Martin</t>
  </si>
  <si>
    <t>Pato</t>
  </si>
  <si>
    <t>Gallo</t>
  </si>
  <si>
    <t>Sector agropecuario</t>
  </si>
  <si>
    <t>Subsector agrícola</t>
  </si>
  <si>
    <t>Sector / Producto</t>
  </si>
  <si>
    <t xml:space="preserve">    Subsector pecuario</t>
  </si>
  <si>
    <t xml:space="preserve"> </t>
  </si>
  <si>
    <t>PROMEDIO</t>
  </si>
  <si>
    <t xml:space="preserve">Total </t>
  </si>
  <si>
    <t>Carne</t>
  </si>
  <si>
    <t xml:space="preserve">Leche </t>
  </si>
  <si>
    <t xml:space="preserve"> (LPD) </t>
  </si>
  <si>
    <t xml:space="preserve"> (LEP) </t>
  </si>
  <si>
    <t xml:space="preserve"> (GAL) </t>
  </si>
  <si>
    <t>Fresca</t>
  </si>
  <si>
    <t xml:space="preserve">2017 </t>
  </si>
  <si>
    <t>2017</t>
  </si>
  <si>
    <t xml:space="preserve">2018 </t>
  </si>
  <si>
    <t xml:space="preserve">Camal </t>
  </si>
  <si>
    <r>
      <t xml:space="preserve">Industria avícola </t>
    </r>
    <r>
      <rPr>
        <vertAlign val="superscript"/>
        <sz val="8"/>
        <color theme="1"/>
        <rFont val="Arial Narrow"/>
        <family val="2"/>
      </rPr>
      <t>1</t>
    </r>
  </si>
  <si>
    <r>
      <t xml:space="preserve">Ave </t>
    </r>
    <r>
      <rPr>
        <vertAlign val="superscript"/>
        <sz val="8"/>
        <color theme="1"/>
        <rFont val="Arial Narrow"/>
        <family val="2"/>
      </rPr>
      <t>1</t>
    </r>
  </si>
  <si>
    <r>
      <t xml:space="preserve">Ovino </t>
    </r>
    <r>
      <rPr>
        <vertAlign val="superscript"/>
        <sz val="8"/>
        <color theme="1"/>
        <rFont val="Arial Narrow"/>
        <family val="2"/>
      </rPr>
      <t>1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</si>
  <si>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1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</si>
  <si>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1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</si>
  <si>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1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</si>
  <si>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1</t>
    </r>
  </si>
  <si>
    <r>
      <t xml:space="preserve">Llama </t>
    </r>
    <r>
      <rPr>
        <vertAlign val="superscript"/>
        <sz val="8"/>
        <color theme="1"/>
        <rFont val="Arial Narrow"/>
        <family val="2"/>
      </rPr>
      <t>1</t>
    </r>
  </si>
  <si>
    <r>
      <t xml:space="preserve">Carne ave </t>
    </r>
    <r>
      <rPr>
        <vertAlign val="superscript"/>
        <sz val="8"/>
        <color theme="1"/>
        <rFont val="Arial Narrow"/>
        <family val="2"/>
      </rPr>
      <t>1</t>
    </r>
  </si>
  <si>
    <r>
      <t xml:space="preserve">En granja </t>
    </r>
    <r>
      <rPr>
        <vertAlign val="superscript"/>
        <sz val="8"/>
        <color theme="1"/>
        <rFont val="Arial Narrow"/>
        <family val="2"/>
      </rPr>
      <t>2</t>
    </r>
  </si>
  <si>
    <r>
      <t xml:space="preserve">En centro de acopio </t>
    </r>
    <r>
      <rPr>
        <vertAlign val="superscript"/>
        <sz val="8"/>
        <color theme="1"/>
        <rFont val="Arial Narrow"/>
        <family val="2"/>
      </rPr>
      <t>2</t>
    </r>
  </si>
  <si>
    <r>
      <t xml:space="preserve">En camal </t>
    </r>
    <r>
      <rPr>
        <vertAlign val="superscript"/>
        <sz val="8"/>
        <color theme="1"/>
        <rFont val="Arial Narrow"/>
        <family val="2"/>
      </rPr>
      <t>3</t>
    </r>
  </si>
  <si>
    <r>
      <t xml:space="preserve">Al consumidor </t>
    </r>
    <r>
      <rPr>
        <vertAlign val="superscript"/>
        <sz val="8"/>
        <color theme="1"/>
        <rFont val="Arial Narrow"/>
        <family val="2"/>
      </rPr>
      <t>3</t>
    </r>
  </si>
  <si>
    <t>Saca (Unidades)</t>
  </si>
  <si>
    <t>Gallinas (Unidades)</t>
  </si>
  <si>
    <t>Abastecimiento (Lima Metropolitana)</t>
  </si>
  <si>
    <t>Saca (Miles)</t>
  </si>
  <si>
    <t>Vacas (Unidades)</t>
  </si>
  <si>
    <t>(Toneladas)</t>
  </si>
  <si>
    <t xml:space="preserve">        (%)</t>
  </si>
  <si>
    <t xml:space="preserve">        (Millones de soles a precios 2007)</t>
  </si>
  <si>
    <t xml:space="preserve">        (Unidades)</t>
  </si>
  <si>
    <t>Esquilados (Unidades)</t>
  </si>
  <si>
    <t>Lana Ovino</t>
  </si>
  <si>
    <t xml:space="preserve">       (Unidades)</t>
  </si>
  <si>
    <t xml:space="preserve">        (Toneladas)</t>
  </si>
  <si>
    <t xml:space="preserve">         (Unidades)</t>
  </si>
  <si>
    <t>Menudencia</t>
  </si>
  <si>
    <t xml:space="preserve">          (Toneladas)</t>
  </si>
  <si>
    <t xml:space="preserve">          (Unidades)</t>
  </si>
  <si>
    <t xml:space="preserve">  -    </t>
  </si>
  <si>
    <t xml:space="preserve">  -      </t>
  </si>
  <si>
    <t xml:space="preserve">  -   </t>
  </si>
  <si>
    <t xml:space="preserve"> -      </t>
  </si>
  <si>
    <t xml:space="preserve">          (Unidades )</t>
  </si>
  <si>
    <t xml:space="preserve"> -    </t>
  </si>
  <si>
    <t>Toneladas</t>
  </si>
  <si>
    <t xml:space="preserve"> Tumbes</t>
  </si>
  <si>
    <t xml:space="preserve"> Piura</t>
  </si>
  <si>
    <t xml:space="preserve"> Lambayeque</t>
  </si>
  <si>
    <t xml:space="preserve"> La Libertad</t>
  </si>
  <si>
    <t xml:space="preserve"> Amazonas</t>
  </si>
  <si>
    <t xml:space="preserve"> Ancash</t>
  </si>
  <si>
    <t xml:space="preserve"> Lima</t>
  </si>
  <si>
    <t xml:space="preserve"> Ica</t>
  </si>
  <si>
    <t xml:space="preserve"> Huánuco</t>
  </si>
  <si>
    <t xml:space="preserve"> Pasco</t>
  </si>
  <si>
    <t xml:space="preserve"> Junín</t>
  </si>
  <si>
    <t xml:space="preserve"> Huancavelica</t>
  </si>
  <si>
    <t xml:space="preserve"> Arequipa</t>
  </si>
  <si>
    <t xml:space="preserve"> Moquegua</t>
  </si>
  <si>
    <t xml:space="preserve"> Tacna</t>
  </si>
  <si>
    <t xml:space="preserve"> Ayacucho</t>
  </si>
  <si>
    <t xml:space="preserve"> Apurimac</t>
  </si>
  <si>
    <t xml:space="preserve">      Abancay</t>
  </si>
  <si>
    <t xml:space="preserve">      Andahuaylas</t>
  </si>
  <si>
    <t xml:space="preserve"> Cusco   </t>
  </si>
  <si>
    <t xml:space="preserve"> Puno</t>
  </si>
  <si>
    <t xml:space="preserve"> San Martín</t>
  </si>
  <si>
    <t xml:space="preserve"> Loreto</t>
  </si>
  <si>
    <t xml:space="preserve"> Ucayali</t>
  </si>
  <si>
    <t xml:space="preserve"> Madre de Dios</t>
  </si>
  <si>
    <t xml:space="preserve"> Cajamarca</t>
  </si>
  <si>
    <t xml:space="preserve"> (  t  )</t>
  </si>
  <si>
    <t xml:space="preserve">                   1/Incleye nacional e importada</t>
  </si>
  <si>
    <t>Cuadro    88     .  Perú : Abastecimiento de carne y</t>
  </si>
  <si>
    <t>NACIONAL</t>
  </si>
  <si>
    <t>IMPORTADA ( Leche fluida )</t>
  </si>
  <si>
    <r>
      <t xml:space="preserve">Pescado </t>
    </r>
    <r>
      <rPr>
        <b/>
        <vertAlign val="superscript"/>
        <sz val="8"/>
        <rFont val="Arial Narrow"/>
        <family val="2"/>
      </rPr>
      <t>2</t>
    </r>
  </si>
  <si>
    <r>
      <t xml:space="preserve">Ave </t>
    </r>
    <r>
      <rPr>
        <b/>
        <vertAlign val="superscript"/>
        <sz val="8"/>
        <rFont val="Arial Narrow"/>
        <family val="2"/>
      </rPr>
      <t>1</t>
    </r>
  </si>
  <si>
    <r>
      <t xml:space="preserve">Pollo </t>
    </r>
    <r>
      <rPr>
        <b/>
        <vertAlign val="superscript"/>
        <sz val="8"/>
        <rFont val="Arial Narrow"/>
        <family val="2"/>
      </rPr>
      <t>1</t>
    </r>
  </si>
  <si>
    <r>
      <t xml:space="preserve">Ovino </t>
    </r>
    <r>
      <rPr>
        <b/>
        <vertAlign val="superscript"/>
        <sz val="8"/>
        <rFont val="Arial Narrow"/>
        <family val="2"/>
      </rPr>
      <t>1</t>
    </r>
  </si>
  <si>
    <r>
      <t xml:space="preserve">Porcino </t>
    </r>
    <r>
      <rPr>
        <b/>
        <vertAlign val="superscript"/>
        <sz val="8"/>
        <rFont val="Arial Narrow"/>
        <family val="2"/>
      </rPr>
      <t>1</t>
    </r>
  </si>
  <si>
    <r>
      <t xml:space="preserve">Vacuno </t>
    </r>
    <r>
      <rPr>
        <b/>
        <vertAlign val="superscript"/>
        <sz val="8"/>
        <rFont val="Arial Narrow"/>
        <family val="2"/>
      </rPr>
      <t>1</t>
    </r>
  </si>
  <si>
    <r>
      <t>Pescado</t>
    </r>
    <r>
      <rPr>
        <b/>
        <vertAlign val="superscript"/>
        <sz val="8"/>
        <rFont val="Arial Narrow"/>
        <family val="2"/>
      </rPr>
      <t>2</t>
    </r>
  </si>
  <si>
    <t xml:space="preserve">           (Toneladas)</t>
  </si>
  <si>
    <r>
      <t>Pescado</t>
    </r>
    <r>
      <rPr>
        <b/>
        <vertAlign val="superscript"/>
        <sz val="8"/>
        <rFont val="Arial Narrow"/>
        <family val="2"/>
      </rPr>
      <t xml:space="preserve"> 2</t>
    </r>
  </si>
  <si>
    <t xml:space="preserve">            (Toneladas)</t>
  </si>
  <si>
    <t>IMPORTADA (Leche fluida)</t>
  </si>
  <si>
    <r>
      <t xml:space="preserve">Granja 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</si>
  <si>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Centro Acopio 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</si>
  <si>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Público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</si>
  <si>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Camal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</si>
  <si>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Público </t>
    </r>
    <r>
      <rPr>
        <b/>
        <vertAlign val="superscript"/>
        <sz val="8"/>
        <color theme="1"/>
        <rFont val="Arial Narrow"/>
        <family val="2"/>
      </rPr>
      <t>3</t>
    </r>
  </si>
  <si>
    <r>
      <t xml:space="preserve">Leche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</si>
  <si>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Fibra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</si>
  <si>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b/>
        <vertAlign val="superscript"/>
        <sz val="8"/>
        <color theme="1"/>
        <rFont val="Arial Narrow"/>
        <family val="2"/>
      </rPr>
      <t>2</t>
    </r>
  </si>
  <si>
    <t>(S/ x US$)</t>
  </si>
  <si>
    <t>(Unidad/Hab/Año)</t>
  </si>
  <si>
    <t>Unidad de Medida</t>
  </si>
  <si>
    <t xml:space="preserve">            (Unidades)</t>
  </si>
  <si>
    <t xml:space="preserve">  2018</t>
  </si>
  <si>
    <t xml:space="preserve">   2011</t>
  </si>
  <si>
    <t xml:space="preserve">   2012</t>
  </si>
  <si>
    <t xml:space="preserve">   2013</t>
  </si>
  <si>
    <t xml:space="preserve">   2014</t>
  </si>
  <si>
    <t xml:space="preserve">   2015</t>
  </si>
  <si>
    <t xml:space="preserve">   2016</t>
  </si>
  <si>
    <t xml:space="preserve">   2017</t>
  </si>
  <si>
    <t>Unidad Medida</t>
  </si>
  <si>
    <t xml:space="preserve">            (Miles de Unidades)</t>
  </si>
  <si>
    <t xml:space="preserve">            (Miles de Toneladas)</t>
  </si>
  <si>
    <t>Producción a Nivel Nacional</t>
  </si>
  <si>
    <t>Venta de Pollos (Lima Metropolitana)</t>
  </si>
  <si>
    <t>Precios del Pollo (Lima Metropolitana)</t>
  </si>
  <si>
    <t>Venta de Gallinas (Lima Metropolitana)</t>
  </si>
  <si>
    <t xml:space="preserve">Abastecimiento a Nivel Nacional </t>
  </si>
  <si>
    <t>Consumo Percápita a Nivel Nacional</t>
  </si>
  <si>
    <t>Consumo Percápita (Lima Metropolitana)</t>
  </si>
  <si>
    <t>Tipo de Cambio</t>
  </si>
  <si>
    <t>(Soles/kg)</t>
  </si>
  <si>
    <t>( Soles/kg )</t>
  </si>
  <si>
    <t xml:space="preserve">            (Soles/kg)</t>
  </si>
  <si>
    <t xml:space="preserve">            (Tonelada)</t>
  </si>
  <si>
    <t xml:space="preserve">2019 </t>
  </si>
  <si>
    <t>2019</t>
  </si>
  <si>
    <t>2020</t>
  </si>
  <si>
    <t xml:space="preserve">2020 </t>
  </si>
  <si>
    <t>Elaboración: Ministerio de Desarrollo Agrario y Riego - DGESEP-DEA.</t>
  </si>
  <si>
    <t>C. 122  PERÚ: PRECIOS PROMEDIO PAGADOS AL PRODUCTOR DE FIBRA DE ALPACA, POR REGIÓN SEGÚN MES, 2020 P.</t>
  </si>
  <si>
    <t>Población (Unidades)</t>
  </si>
  <si>
    <t>Elaboración: Ministerio de Desarrollo Agrario y Riego - DGESEP - DEIA</t>
  </si>
  <si>
    <t>Fuente: Direcciones Regionales de Agricultura</t>
  </si>
  <si>
    <t>P Preliminar</t>
  </si>
  <si>
    <t>1/ Precio de animal vivo</t>
  </si>
  <si>
    <t xml:space="preserve">         (Toneladas)</t>
  </si>
  <si>
    <t>Fuente:  Gerencias/Direcciones Regionales de Agricultura - Sub Gerencia/Dirección de Estadística /Direccion de Informacion Agraria</t>
  </si>
  <si>
    <t>1  Incluye nacional e importada</t>
  </si>
  <si>
    <t xml:space="preserve"> 2 Incluye fresco, congelado, curado y enlatado</t>
  </si>
  <si>
    <t xml:space="preserve">     2 Ministerio de la Producción</t>
  </si>
  <si>
    <t>* Incluye IGV</t>
  </si>
  <si>
    <t xml:space="preserve"> Fuente:  1 Centros de Acopio</t>
  </si>
  <si>
    <t xml:space="preserve">              2 INEI - Dirección Técnica de Indicadores  Económicos Dirección Ejecutiva de Indices</t>
  </si>
  <si>
    <t>Fuente:  1 Centros de Acopio</t>
  </si>
  <si>
    <t xml:space="preserve">             2 Avinka SA</t>
  </si>
  <si>
    <t xml:space="preserve">             3 INEI - Dirección Técnica de Indicadores  Económicos Dirección Ejecutiva de Indices</t>
  </si>
  <si>
    <t>1 Soles por litro</t>
  </si>
  <si>
    <t>2 Soles por libra</t>
  </si>
  <si>
    <t>Fuente: SIEA</t>
  </si>
  <si>
    <t>Fuente: Plantas de Incubación</t>
  </si>
  <si>
    <t>Fuente: Centros de Acopio de Aves Vivas de Lima Metropolitana y Callao</t>
  </si>
  <si>
    <t xml:space="preserve">        (Miles de toneladas)</t>
  </si>
  <si>
    <t>Colocación de Pollos "BB" a nivel Nacional</t>
  </si>
  <si>
    <t xml:space="preserve">          (Kg/Unidad/Año)</t>
  </si>
  <si>
    <t>Población  (Unidades)</t>
  </si>
  <si>
    <t xml:space="preserve">Gallinas en producción </t>
  </si>
  <si>
    <t xml:space="preserve">Vacas en producción </t>
  </si>
  <si>
    <t xml:space="preserve">           (Soles/kg)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</si>
  <si>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</t>
    </r>
  </si>
  <si>
    <t>Especie/ Producto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</si>
  <si>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 Peso de animal vivo</t>
    </r>
  </si>
  <si>
    <r>
      <rPr>
        <vertAlign val="superscript"/>
        <sz val="6"/>
        <rFont val="Arial Narrow"/>
        <family val="2"/>
      </rPr>
      <t>1</t>
    </r>
    <r>
      <rPr>
        <sz val="6"/>
        <rFont val="Arial Narrow"/>
        <family val="2"/>
      </rPr>
      <t xml:space="preserve">  Incluye nacional e importada</t>
    </r>
  </si>
  <si>
    <r>
      <t xml:space="preserve"> </t>
    </r>
    <r>
      <rPr>
        <vertAlign val="superscript"/>
        <sz val="6"/>
        <rFont val="Arial Narrow"/>
        <family val="2"/>
      </rPr>
      <t>2</t>
    </r>
    <r>
      <rPr>
        <sz val="6"/>
        <rFont val="Arial Narrow"/>
        <family val="2"/>
      </rPr>
      <t xml:space="preserve">  Incluye fresco, congelado, curado y enlatado</t>
    </r>
  </si>
  <si>
    <r>
      <t xml:space="preserve"> </t>
    </r>
    <r>
      <rPr>
        <vertAlign val="superscript"/>
        <sz val="6"/>
        <rFont val="Arial Narrow"/>
        <family val="2"/>
      </rPr>
      <t>1</t>
    </r>
    <r>
      <rPr>
        <sz val="6"/>
        <rFont val="Arial Narrow"/>
        <family val="2"/>
      </rPr>
      <t xml:space="preserve">  Incluye nacional e importada</t>
    </r>
  </si>
  <si>
    <r>
      <t xml:space="preserve"> </t>
    </r>
    <r>
      <rPr>
        <vertAlign val="superscript"/>
        <sz val="6"/>
        <rFont val="Arial Narrow"/>
        <family val="2"/>
      </rPr>
      <t>2</t>
    </r>
    <r>
      <rPr>
        <sz val="6"/>
        <rFont val="Arial Narrow"/>
        <family val="2"/>
      </rPr>
      <t xml:space="preserve"> Incluye fresco, congelado, curado y enlatado</t>
    </r>
  </si>
  <si>
    <r>
      <t xml:space="preserve">     </t>
    </r>
    <r>
      <rPr>
        <vertAlign val="superscript"/>
        <sz val="6"/>
        <rFont val="Arial Narrow"/>
        <family val="2"/>
      </rPr>
      <t>2</t>
    </r>
    <r>
      <rPr>
        <sz val="6"/>
        <rFont val="Arial Narrow"/>
        <family val="2"/>
      </rPr>
      <t xml:space="preserve"> Ministerio de la Producción</t>
    </r>
  </si>
  <si>
    <r>
      <rPr>
        <vertAlign val="superscript"/>
        <sz val="6"/>
        <rFont val="Arial Narrow"/>
        <family val="2"/>
      </rPr>
      <t>P</t>
    </r>
    <r>
      <rPr>
        <sz val="6"/>
        <rFont val="Arial Narrow"/>
        <family val="2"/>
      </rPr>
      <t xml:space="preserve"> Preliminar</t>
    </r>
  </si>
  <si>
    <t>Precio (S/ / Libra)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</si>
  <si>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Precio de animal vivo.</t>
    </r>
  </si>
  <si>
    <t xml:space="preserve">          (Soles / Kg)</t>
  </si>
  <si>
    <t xml:space="preserve">          (Soles / kg)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</si>
  <si>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 Incluye carne pollo,gallina pato y pavo</t>
    </r>
  </si>
  <si>
    <r>
      <t xml:space="preserve">     </t>
    </r>
    <r>
      <rPr>
        <vertAlign val="superscript"/>
        <sz val="6"/>
        <color theme="1"/>
        <rFont val="Arial Narrow"/>
        <family val="2"/>
      </rPr>
      <t>2</t>
    </r>
    <r>
      <rPr>
        <sz val="6"/>
        <color theme="1"/>
        <rFont val="Arial Narrow"/>
        <family val="2"/>
      </rPr>
      <t xml:space="preserve">  Animal vivo</t>
    </r>
  </si>
  <si>
    <r>
      <t xml:space="preserve">     </t>
    </r>
    <r>
      <rPr>
        <vertAlign val="superscript"/>
        <sz val="6"/>
        <color theme="1"/>
        <rFont val="Arial Narrow"/>
        <family val="2"/>
      </rPr>
      <t>2</t>
    </r>
    <r>
      <rPr>
        <sz val="6"/>
        <color theme="1"/>
        <rFont val="Arial Narrow"/>
        <family val="2"/>
      </rPr>
      <t xml:space="preserve">  Carcasa (carne).</t>
    </r>
  </si>
  <si>
    <r>
      <rPr>
        <vertAlign val="superscript"/>
        <sz val="7"/>
        <color theme="1"/>
        <rFont val="Arial Narrow"/>
        <family val="2"/>
      </rPr>
      <t>1</t>
    </r>
    <r>
      <rPr>
        <sz val="7"/>
        <color theme="1"/>
        <rFont val="Arial Narrow"/>
        <family val="2"/>
      </rPr>
      <t xml:space="preserve"> Precio de animal vivo</t>
    </r>
  </si>
  <si>
    <t xml:space="preserve">          (kg/gallina)</t>
  </si>
  <si>
    <t xml:space="preserve">          (kg/vaca/día)</t>
  </si>
  <si>
    <t xml:space="preserve">          (kg/ovino)</t>
  </si>
  <si>
    <t>kg/Unidad</t>
  </si>
  <si>
    <t xml:space="preserve">          (kg/Unidad)</t>
  </si>
  <si>
    <t xml:space="preserve">            (kg/Hab/Año)</t>
  </si>
  <si>
    <t>Huevo de</t>
  </si>
  <si>
    <t>fresca de vaca</t>
  </si>
  <si>
    <t>(kg/Unidad)</t>
  </si>
  <si>
    <t>(S/ / kg)</t>
  </si>
  <si>
    <t>(kg/Hab/Año)</t>
  </si>
  <si>
    <t xml:space="preserve">            (Soles / kg)</t>
  </si>
  <si>
    <t>kg</t>
  </si>
  <si>
    <t>Produción carne (t)</t>
  </si>
  <si>
    <t>Rendimiento (kg/Unidad)</t>
  </si>
  <si>
    <t xml:space="preserve">Precio (S/ / kg) </t>
  </si>
  <si>
    <t>Producción (t)</t>
  </si>
  <si>
    <t>Rendimiento (kg/gallina)</t>
  </si>
  <si>
    <t>Rdto. (kg/Vaca/Año)</t>
  </si>
  <si>
    <t>Precio (S/ / Litro)</t>
  </si>
  <si>
    <t>Rdto. (kg/Alpaca)</t>
  </si>
  <si>
    <t>Rendimiento (kg/Llama)</t>
  </si>
  <si>
    <t>Rendimiento  (kg/Ovino)</t>
  </si>
  <si>
    <t>Producción carne (t)</t>
  </si>
  <si>
    <t>Producción huevo (t)</t>
  </si>
  <si>
    <t>Producción leche (t)</t>
  </si>
  <si>
    <t>Rendimiento (kg/vaca/día)</t>
  </si>
  <si>
    <t>Producción fibra (t)</t>
  </si>
  <si>
    <t>Rendimiento (kg/alpaca)</t>
  </si>
  <si>
    <t>Llamas  esquiladas</t>
  </si>
  <si>
    <t>Rendimiento (kg/llama)</t>
  </si>
  <si>
    <t>Ovinos   esquilados</t>
  </si>
  <si>
    <t>Producción lana (t)</t>
  </si>
  <si>
    <t>Rendimiento (kg/ovino)</t>
  </si>
  <si>
    <r>
      <t>Lima</t>
    </r>
    <r>
      <rPr>
        <vertAlign val="superscript"/>
        <sz val="8"/>
        <color theme="1"/>
        <rFont val="Arial Narrow"/>
        <family val="2"/>
      </rPr>
      <t>P</t>
    </r>
  </si>
  <si>
    <t xml:space="preserve">          (kg/animal)</t>
  </si>
  <si>
    <t xml:space="preserve">          (kg/alpaca)</t>
  </si>
  <si>
    <t xml:space="preserve">          (kg/llama)</t>
  </si>
  <si>
    <t>2022</t>
  </si>
  <si>
    <t>1 Precio de animal vivo</t>
  </si>
  <si>
    <t>ciura</t>
  </si>
  <si>
    <t>casco</t>
  </si>
  <si>
    <t>Arequica</t>
  </si>
  <si>
    <t>Acurímac</t>
  </si>
  <si>
    <t>c creliminar</t>
  </si>
  <si>
    <t>Elaboración: Ministerio de Desarrollo Agrario y Riego - DGESEc - DEIA</t>
  </si>
  <si>
    <r>
      <t xml:space="preserve">Precio (S/ / kg) </t>
    </r>
    <r>
      <rPr>
        <vertAlign val="superscript"/>
        <sz val="8"/>
        <rFont val="Arial Narrow"/>
        <family val="2"/>
      </rPr>
      <t>1</t>
    </r>
  </si>
  <si>
    <t xml:space="preserve">  -     </t>
  </si>
  <si>
    <t xml:space="preserve">  -  </t>
  </si>
  <si>
    <t xml:space="preserve">2022 </t>
  </si>
  <si>
    <r>
      <t>2023</t>
    </r>
    <r>
      <rPr>
        <b/>
        <vertAlign val="superscript"/>
        <sz val="8"/>
        <color rgb="FF333333"/>
        <rFont val="Arial Narrow"/>
        <family val="2"/>
      </rPr>
      <t xml:space="preserve"> P</t>
    </r>
  </si>
  <si>
    <t xml:space="preserve">2021 </t>
  </si>
  <si>
    <t>2021</t>
  </si>
  <si>
    <t xml:space="preserve">      Pollo</t>
  </si>
  <si>
    <r>
      <t xml:space="preserve">  'Pollo </t>
    </r>
    <r>
      <rPr>
        <vertAlign val="superscript"/>
        <sz val="8"/>
        <color theme="1"/>
        <rFont val="Arial Narrow"/>
        <family val="2"/>
      </rPr>
      <t>1</t>
    </r>
  </si>
  <si>
    <t>Fuente: Centros de Acopio de Aves Vivas de Lima Metropolitana y Callao - INEI.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</si>
  <si>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Rendimiento (Kg./ animal )</t>
    </r>
  </si>
  <si>
    <r>
      <rPr>
        <vertAlign val="superscript"/>
        <sz val="6"/>
        <color theme="1"/>
        <rFont val="Arial Narrow"/>
        <family val="2"/>
      </rPr>
      <t>2</t>
    </r>
    <r>
      <rPr>
        <sz val="6"/>
        <color theme="1"/>
        <rFont val="Arial Narrow"/>
        <family val="2"/>
      </rPr>
      <t xml:space="preserve"> Precio por kg. animal vivo.</t>
    </r>
  </si>
  <si>
    <r>
      <rPr>
        <vertAlign val="superscript"/>
        <sz val="6"/>
        <color theme="1"/>
        <rFont val="Arial Narrow"/>
        <family val="2"/>
      </rPr>
      <t>3</t>
    </r>
    <r>
      <rPr>
        <sz val="6"/>
        <color theme="1"/>
        <rFont val="Arial Narrow"/>
        <family val="2"/>
      </rPr>
      <t xml:space="preserve"> Precio de carne en gancho.</t>
    </r>
  </si>
  <si>
    <t xml:space="preserve">    Huevo de gallina</t>
  </si>
  <si>
    <t>Leche fresca de vaca</t>
  </si>
  <si>
    <t>Huevo gallina</t>
  </si>
  <si>
    <t>Fibra alpaca</t>
  </si>
  <si>
    <t>Fibra llama</t>
  </si>
  <si>
    <t>C.121  PERÚ: PRECIOS PROMEDIO PAGADOS AL PRODUCTOR DE Leche fresca de vaca, POR REGIÓN SEGÚN MES, 2020 P.</t>
  </si>
  <si>
    <t>1  Considera ave y Huevo de gallina</t>
  </si>
  <si>
    <t>Huevo de gallina</t>
  </si>
  <si>
    <t>Gallinas en           Postura</t>
  </si>
  <si>
    <t>Alpacas            Esquiladas</t>
  </si>
  <si>
    <t>Llamas            Esquiladas</t>
  </si>
  <si>
    <t>Ovinos            Esquilados</t>
  </si>
  <si>
    <t>Fibra de           alpaca</t>
  </si>
  <si>
    <t>Huevo de           gallina</t>
  </si>
  <si>
    <t>Leche fresca            de vaca</t>
  </si>
  <si>
    <t>Fibra de            alpaca</t>
  </si>
  <si>
    <t>Vacas en    Ordeño</t>
  </si>
  <si>
    <t>Leche vaca</t>
  </si>
  <si>
    <t xml:space="preserve">C.5  PERÚ: EVOLUCIÓN DE LA POBLACIÓN, SACA, PRODUCCIÓN, RENDIMIENTO Y PRECIOS RECIBIDOS POR EL PRODUCTOR POR AÑO, </t>
  </si>
  <si>
    <t>sigue...</t>
  </si>
  <si>
    <t>Continúa C.5</t>
  </si>
  <si>
    <t xml:space="preserve">        (Kg/Unidad )</t>
  </si>
  <si>
    <t xml:space="preserve"> -     </t>
  </si>
  <si>
    <t>Pasteurizada</t>
  </si>
  <si>
    <t>Evaporada</t>
  </si>
  <si>
    <t>Descremada</t>
  </si>
  <si>
    <t>en Polvo</t>
  </si>
  <si>
    <t>Condensada</t>
  </si>
  <si>
    <t>Gallina negra</t>
  </si>
  <si>
    <t>Gallina colorada</t>
  </si>
  <si>
    <t>Gallina blanca</t>
  </si>
  <si>
    <t>Gallina mora</t>
  </si>
  <si>
    <t>Gallina reproductora</t>
  </si>
  <si>
    <t>Gallina minidoble</t>
  </si>
  <si>
    <t xml:space="preserve">   2007</t>
  </si>
  <si>
    <t xml:space="preserve">   2008</t>
  </si>
  <si>
    <t xml:space="preserve">   2009</t>
  </si>
  <si>
    <t xml:space="preserve">   2010</t>
  </si>
  <si>
    <t xml:space="preserve">   2019</t>
  </si>
  <si>
    <t xml:space="preserve">   2020</t>
  </si>
  <si>
    <t xml:space="preserve">   2021</t>
  </si>
  <si>
    <t xml:space="preserve">  2022</t>
  </si>
  <si>
    <t>Fibra de                     llama</t>
  </si>
  <si>
    <t>Lana de                    ovino</t>
  </si>
  <si>
    <t>Miles                           unidades</t>
  </si>
  <si>
    <r>
      <t xml:space="preserve">Peso                       promedio </t>
    </r>
    <r>
      <rPr>
        <b/>
        <vertAlign val="superscript"/>
        <sz val="8"/>
        <rFont val="Arial Narrow"/>
        <family val="2"/>
      </rPr>
      <t>1</t>
    </r>
  </si>
  <si>
    <r>
      <t xml:space="preserve">Precio                        granja </t>
    </r>
    <r>
      <rPr>
        <b/>
        <vertAlign val="superscript"/>
        <sz val="8"/>
        <rFont val="Arial Narrow"/>
        <family val="2"/>
      </rPr>
      <t>2</t>
    </r>
  </si>
  <si>
    <r>
      <t xml:space="preserve">Precio                        centro acopio </t>
    </r>
    <r>
      <rPr>
        <b/>
        <vertAlign val="superscript"/>
        <sz val="8"/>
        <rFont val="Arial Narrow"/>
        <family val="2"/>
      </rPr>
      <t>2</t>
    </r>
  </si>
  <si>
    <r>
      <t xml:space="preserve">Precio                        consumidor </t>
    </r>
    <r>
      <rPr>
        <b/>
        <vertAlign val="superscript"/>
        <sz val="8"/>
        <rFont val="Arial Narrow"/>
        <family val="2"/>
      </rPr>
      <t>3</t>
    </r>
  </si>
  <si>
    <t xml:space="preserve">C.6  PERÚ: POBLACIÓN, SACA, PRODUCCIÓN, RENDIMIENTO Y PRECIOS RECIBIDOS POR EL PRODUCTOR POR MES, SEGÚN PRINCIPALES ESPECIES Y </t>
  </si>
  <si>
    <t xml:space="preserve">    Pollo</t>
  </si>
  <si>
    <t>Fibra de
 llama</t>
  </si>
  <si>
    <t>Lana de 
ovino</t>
  </si>
  <si>
    <t xml:space="preserve">2023 </t>
  </si>
  <si>
    <t>C.108  PERÚ: ABASTECIMIENTO DE LECHE NACIONAL E IMPORTADA FLUIDA SEGÚN AÑO, 2007-2024</t>
  </si>
  <si>
    <t>C.109  PERÚ: CONSUMO PER CÁPITA DE LECHE NACIONAL E IMPORTADA SEGÚN AÑO, 2007-2024</t>
  </si>
  <si>
    <r>
      <t xml:space="preserve">2024 </t>
    </r>
    <r>
      <rPr>
        <vertAlign val="superscript"/>
        <sz val="8"/>
        <rFont val="Arial Narrow"/>
        <family val="2"/>
      </rPr>
      <t>P</t>
    </r>
  </si>
  <si>
    <t>C.101  PERÚ: EVOLUCIÓN DEL CONSUMO PER CÁPITA DE PRINCIPALES PRODUCTOS PECUARIOS SEGÚN AÑO, 2007-2024</t>
  </si>
  <si>
    <r>
      <t xml:space="preserve">  2024</t>
    </r>
    <r>
      <rPr>
        <b/>
        <vertAlign val="superscript"/>
        <sz val="8"/>
        <color theme="1"/>
        <rFont val="Arial Narrow"/>
        <family val="2"/>
      </rPr>
      <t>P</t>
    </r>
  </si>
  <si>
    <r>
      <t>2024</t>
    </r>
    <r>
      <rPr>
        <b/>
        <vertAlign val="superscript"/>
        <sz val="8"/>
        <color theme="1"/>
        <rFont val="Arial Narrow"/>
        <family val="2"/>
      </rPr>
      <t>P</t>
    </r>
  </si>
  <si>
    <t>C.1  PERÚ: EVOLUCIÓN  DEL VALOR  BRUTO DE LA PRODUCCIÓN (VBP) AGROPECUARIA POR AÑO, SEGÚN SUB SECTORES Y PRINCIPALES ESPECIES Y PRODUCTOS PECUARIOS, 2007-2024</t>
  </si>
  <si>
    <t xml:space="preserve"> C.3  PERÚ: EVOLUCIÓN DE LA PRODUCCIÓN PECUARIA POR AÑO, SEGÚN ESPECIE Y PRODUCTO, 2007-2024</t>
  </si>
  <si>
    <t>C.14  PERÚ: POBLACIÓN DE VACUNOS POR  AÑO, SEGÚN REGIÓN, 2007-2024</t>
  </si>
  <si>
    <r>
      <t xml:space="preserve">2024 </t>
    </r>
    <r>
      <rPr>
        <b/>
        <vertAlign val="superscript"/>
        <sz val="8"/>
        <color rgb="FF333333"/>
        <rFont val="Arial Narrow"/>
        <family val="2"/>
      </rPr>
      <t>P</t>
    </r>
  </si>
  <si>
    <t xml:space="preserve">        SEGÚN ESPECIE Y PRODUCTO, 2007-2024</t>
  </si>
  <si>
    <r>
      <t xml:space="preserve">2024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</si>
  <si>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      PRODUCTOS PECUARIOS, 2024</t>
    </r>
    <r>
      <rPr>
        <b/>
        <vertAlign val="superscript"/>
        <sz val="9"/>
        <color theme="1"/>
        <rFont val="Arial Narrow"/>
        <family val="2"/>
      </rPr>
      <t>P</t>
    </r>
  </si>
  <si>
    <r>
      <t>C.7  PERÚ: PRODUCCIÓN PECUARIA POR ESPECIE,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</si>
  <si>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C.8  PERÚ: PRODUCCIÓN DE CARNES POR ESPECIE,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</si>
  <si>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C.9  PERÚ: RENDIMIENTO DE CARNES POR ESPECIE,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</si>
  <si>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C.10  PERÚ: ESPECIES PECUARIAS EN PRODUCCIÓN Y ANIMALES ESQUILADOS POR ESPECIE, SEGÚN REGIÓN, 2024</t>
    </r>
    <r>
      <rPr>
        <b/>
        <vertAlign val="superscript"/>
        <sz val="10"/>
        <color theme="1"/>
        <rFont val="Arial Narrow"/>
        <family val="2"/>
      </rPr>
      <t>P</t>
    </r>
  </si>
  <si>
    <r>
      <t>C.11   PERÚ: PRODUCCIÓN DE PRINCIPALES PRODUCTOS PECUARIOS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</si>
  <si>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C.12  PERÚ: RENDIMIENTO PROMEDIO POR PRODUCTO,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</si>
  <si>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C.13  PERÚ: PRODUCCIÓN PECUARIA POR MES, SEGÚN PRODUCTO, 2024</t>
    </r>
    <r>
      <rPr>
        <b/>
        <vertAlign val="superscript"/>
        <sz val="9"/>
        <color theme="1"/>
        <rFont val="Arial Narrow"/>
        <family val="2"/>
      </rPr>
      <t>P</t>
    </r>
  </si>
  <si>
    <t>C.15  PERÚ: PRODUCCIÓN DE VACUNOS POR  AÑO, SEGÚN REGIÓN, 2007-2024</t>
  </si>
  <si>
    <r>
      <t xml:space="preserve">2024 </t>
    </r>
    <r>
      <rPr>
        <b/>
        <vertAlign val="superscript"/>
        <sz val="8"/>
        <color indexed="63"/>
        <rFont val="Arial Narrow"/>
        <family val="2"/>
      </rPr>
      <t>P</t>
    </r>
  </si>
  <si>
    <t>C.16  PERÚ: PRODUCCIÓN DE CARNE DE VACUNO POR  AÑO, SEGÚN REGIÓN, 2007-2024</t>
  </si>
  <si>
    <t xml:space="preserve">C.17  PERÚ: PRECIO RECIBIDO POR EL PRODUCTOR DE VACUNO POR  AÑO, SEGÚN REGIÓN, 2007-2024 </t>
  </si>
  <si>
    <r>
      <t>2023</t>
    </r>
    <r>
      <rPr>
        <b/>
        <vertAlign val="superscript"/>
        <sz val="8"/>
        <color rgb="FF333333"/>
        <rFont val="Arial Narrow"/>
        <family val="2"/>
      </rPr>
      <t xml:space="preserve"> </t>
    </r>
  </si>
  <si>
    <r>
      <t>2024</t>
    </r>
    <r>
      <rPr>
        <b/>
        <vertAlign val="superscript"/>
        <sz val="8"/>
        <color rgb="FF333333"/>
        <rFont val="Arial Narrow"/>
        <family val="2"/>
      </rPr>
      <t xml:space="preserve"> P</t>
    </r>
  </si>
  <si>
    <t>C.18  PERÚ: VACAS EN ORDEÑO POR AÑO, SEGÚN REGIÓN, 2007-2024</t>
  </si>
  <si>
    <t>C.19  PERÚ: PRODUCCIÓN DE LECHE FRESCA DE VACA POR AÑO, SEGÚN REGIÓN, 2007-2024</t>
  </si>
  <si>
    <t>C.20  PERÚ: PRECIO RECIBIDO POR EL PRODUCTOR DE LECHE FRESCA DE VACA POR AÑO, SEGÚN REGIÓN, 2007-2024</t>
  </si>
  <si>
    <t>C.21  PERÚ: POBLACIÓN DE CAPRINOS POR  AÑO, SEGÚN REGIÓN, 2007-2024</t>
  </si>
  <si>
    <t>2023</t>
  </si>
  <si>
    <t>C.24  PERÚ: PRECIO RECIBIDO POR EL PRODUCTOR DE CAPRINOS POR AÑO, SEGÚN REGIÓN, 2007-2024</t>
  </si>
  <si>
    <t>C.25  PERÚ: POBLACIÓN DE OVINOS POR  AÑO, SEGÚN REGIÓN, 2007-2024</t>
  </si>
  <si>
    <t>C.26  PERÚ: PRODUCCIÓN DE OVINOS POR  AÑO, SEGÚN REGIÓN, 2007-2024</t>
  </si>
  <si>
    <t>C.27  PERÚ: PRODUCCIÓN DE CARNE DE OVINO POR  AÑO, SEGÚN REGIÓN, 2007-2024</t>
  </si>
  <si>
    <t>C.28  PERÚ: PRECIO RECIBIDO POR EL PRODUCTOR DE OVINOS POR  AÑO, SEGÚN REGIÓN, 2007-2024</t>
  </si>
  <si>
    <t>C.29  PERÚ: OVINOS ESQUILADOS POR AÑO, SEGÚN  REGIÓN, 2007-2024</t>
  </si>
  <si>
    <t>C.30  PERÚ: PRODUCCIÓN DE LANA  DE OVINO POR  AÑO, SEGÚN REGIÓN, 2007-2024</t>
  </si>
  <si>
    <t>C.31  PERÚ: PRECIO RECIBIDO POR EL PRODUCTOR DE LANA DE OVINO POR  AÑO, SEGÚN REGIÓN, 2007-2024</t>
  </si>
  <si>
    <t>C.32  PERÚ: POBLACIÓN DE PORCINOS POR  AÑO, SEGÚN REGIÓN, 2007-2024</t>
  </si>
  <si>
    <t>C.33  PERÚ: PRODUCCIÓN DE PORCINOS POR  AÑO, SEGÚN REGIÓN, 2007-2024</t>
  </si>
  <si>
    <t>C.34  PERÚ: PRODUCCIÓN DE CARNE DE PORCINO POR AÑO, SEGÚN REGIÓN, 2007-2024</t>
  </si>
  <si>
    <t>C.35  PERÚ: PRECIO RECIBIDO POR EL PRODUCTOR DE PORCINOS POR AÑO, SEGÚN REGIÓN, 2007-2024</t>
  </si>
  <si>
    <t>C.36  PERÚ: POBLACIÓN DE ALPACAS POR AÑO, SEGÚN REGIÓN, 2007-2024</t>
  </si>
  <si>
    <t>C.37  PERÚ: PRODUCCIÓN DE ALPACAS POR  AÑO, SEGÚN REGION REGIÓN, 2007-2024</t>
  </si>
  <si>
    <t>C.38  PERÚ: PRODUCCIÓN DE CARNE DE ALPACA POR  AÑO, SEGÚN REGIÓN, 2007-2024</t>
  </si>
  <si>
    <t>C.39  PERÚ: PRECIO RECIBIDO POR EL PRODUCTOR DE ALPACAS POR  AÑO, SEGÚN REGIÓN, 2007-2024</t>
  </si>
  <si>
    <t>C.40  PERÚ: ALPACAS ESQUILADAS POR AÑO, SEGÚN REGIÓN, 2007-2024</t>
  </si>
  <si>
    <t>C.41  PERÚ: PRODUCCIÓN DE FIBRA DE ALPACA POR  AÑO, SEGÚN REGIÓN, 2007-2024</t>
  </si>
  <si>
    <t>C.42  PERÚ: PRECIO RECIBIDO POR EL PRODUCTOR DE FIBRA DE ALPACA POR  AÑO, SEGÚN REGIÓN, 2007-2024</t>
  </si>
  <si>
    <t>C.43  PERÚ: POBLACIÓN DE LLAMAS POR  AÑO, SEGÚN REGIÓN, 2007-2024</t>
  </si>
  <si>
    <t>C.44  PERÚ: PRODUCCIÓN DE LLAMAS POR  AÑO, SEGÚN REGIÓN, 2007-2024</t>
  </si>
  <si>
    <t>C.45  PERÚ: PRODUCCIÓN DE CARNE DE LLAMA POR  AÑO, SEGÚN REGIÓN, 2007-2024</t>
  </si>
  <si>
    <r>
      <t xml:space="preserve">C.46  PERÚ: PRECIO RECIBIDO POR EL PRODUCTOR DE LLAMAS POR  AÑO, SEGÚN REGIÓN, 2007-2024 </t>
    </r>
    <r>
      <rPr>
        <b/>
        <vertAlign val="superscript"/>
        <sz val="9"/>
        <color indexed="63"/>
        <rFont val="Arial Narrow"/>
        <family val="2"/>
      </rPr>
      <t>1</t>
    </r>
  </si>
  <si>
    <t>C.47  PERÚ: LLAMAS ESQUILADAS POR AÑO, SEGÚN REGIÓN, 2007-2024</t>
  </si>
  <si>
    <t>C.48  PERÚ: PRODUCCIÓN DE FIBRA DE LLAMA POR AÑO, SEGÚN  REGIÓN, 2007-2024</t>
  </si>
  <si>
    <t>C.49  PERÚ: PRECIO RECIBIDO POR EL PRODUCTOR DE FIBRA DE LLAMA POR  AÑO, SEGÚN REGIÓN, 2007-2024</t>
  </si>
  <si>
    <t>C.87   LIMA METROPOLITANA: EVOLUCIÓN DE BENEFICIO DE GANADO EN CENTROS DE BENEFICIO POR AÑO, SEGÚN ESPECIE, 2012-2024</t>
  </si>
  <si>
    <t>C.86  PERÚ: EVOLUCIÓN DEL BENEFICIO DE GANADO EN CENTROS DE BENEFICIO POR AÑO SEGÚN ESPECIE, 2012-2024</t>
  </si>
  <si>
    <t>C.88  PERÚ: BENEFICIO DE GANADO OVINO EN CENTROS DE BENEFICIO SEGÚN REGIÓN, 2023-2024</t>
  </si>
  <si>
    <t>C.89  PERÚ: BENEFICIO DE GANADO PORCINO EN CENTROS DE BENEFICIO SEGÚN REGIÓN, 2023-2024</t>
  </si>
  <si>
    <t>C.90  PERÚ: BENEFICIO DE GANADO VACUNO EN CENTROS DE BENEFICIO SEGÚN REGIÓN, 2023-2024</t>
  </si>
  <si>
    <t>C.103  PERÚ: ABASTECIMIENTO DE CARNE Y PESCADO Y HUEVO SEGÚN MES, 2023</t>
  </si>
  <si>
    <r>
      <t>C.102  PERÚ: ABASTECIMIENTO DE CARNE Y PESCADO Y HUEVO SEGÚN MES, 2024</t>
    </r>
    <r>
      <rPr>
        <b/>
        <vertAlign val="superscript"/>
        <sz val="9"/>
        <rFont val="Arial Narrow"/>
        <family val="2"/>
      </rPr>
      <t>P</t>
    </r>
  </si>
  <si>
    <t>C.107  LIMA: ABASTECIMIENTO DE CARNE Y PESCADO SEGÚN MES, 2023</t>
  </si>
  <si>
    <r>
      <t>C.106  LIMA: ABASTECIMIENTO DE CARNE Y PESCADO SEGÚN MES, 2024</t>
    </r>
    <r>
      <rPr>
        <b/>
        <vertAlign val="superscript"/>
        <sz val="9"/>
        <rFont val="Arial Narrow"/>
        <family val="2"/>
      </rPr>
      <t>P</t>
    </r>
  </si>
  <si>
    <t>C.111  LIMA METROPOLITANA: PRECIOS PROMEDIO DEL POLLO POR NIVELES DE COMERCIALIZACIÓN, SEGÚN MES, 2021-22</t>
  </si>
  <si>
    <t>C.110  LIMA METROPOLITANA: PRECIOS PROMEDIO* DEL POLLO POR NIVELES DE COMERCIALIZACIÓN, SEGÚN MES, 2023-24</t>
  </si>
  <si>
    <t xml:space="preserve">            (Kg./ Gallina )</t>
  </si>
  <si>
    <t>Vacas en Ordeño</t>
  </si>
  <si>
    <r>
      <t>C.50  PERÚ: PRODUCCIÓN DE AVES POR 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</si>
  <si>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C.51  PERÚ: PRODUCCIÓN DE CARNE DE AVE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</si>
  <si>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C.70  PERÚ: RENDIMIENTO PROMEDIO DE CARNE DE  LLAMA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</si>
  <si>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C.69   PERÚ: PRODUCCIÓN DE CARNE DE  LLAMA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</si>
  <si>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C.112  PERÚ: PRECIOS PROMEDIO PAGADOS AL PRODUCTOR DE PRINCIPALES ESPECIES Y PRODUCTOS PECUARIOS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</si>
  <si>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C.124  PERÚ: PRECIOS PROMEDIO PAGADOS AL PRODUCTOR DE LANA DE OVINO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</si>
  <si>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C.123  PERÚ: PRECIOS PROMEDIO PAGADOS AL PRODUCTOR DE FIBRA DE LLAMA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</si>
  <si>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C.122  PERÚ: PRECIOS PROMEDIO PAGADOS AL PRODUCTOR DE FIBRA DE ALPACA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</si>
  <si>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C.120  PERÚ: PRECIOS PROMEDIO PAGADOS AL PRODUCTOR DE HUEVOS DE GALLINA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</si>
  <si>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C.119  PERÚ: PRECIOS PROMEDIO PAGADOS AL PRODUCTOR DE LLAMAS POR MES, SEGÚN 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</si>
  <si>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C.118  PERÚ: PRECIOS PROMEDIO PAGADOS AL PRODUCTOR DE ALPACAS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</si>
  <si>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C.117  PERÚ: PRECIOS PROMEDIO PAGADOS AL PRODUCTOR DE CAPRINOS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</si>
  <si>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C.116  PERÚ: PRECIOS PROMEDIO PAGADOS AL PRODUCTOR DE VACUNOS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</si>
  <si>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C.115  PERÚ: PRECIOS PROMEDIO PAGADOS AL PRODUCTOR DE PORCINOS POR 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</si>
  <si>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C.114   PERÚ: PRECIOS PROMEDIO PAGADOS AL PRODUCTOR DE OVINOS POR 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</si>
  <si>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C.113  PERÚ: PRECIOS PROMEDIO PAGADOS AL PRODUCTOR DE AVES POR 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</si>
  <si>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C.85  PERÚ: RENDIMIENTO PROMEDIO DE LANA DE OVINO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</si>
  <si>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C.84   PERÚ: PRODUCCIÓN DE LANA DE OVINO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</si>
  <si>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C.83  PERÚ: OVINOS ESQUILADOS POR MES SEGÚ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</si>
  <si>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C.82  PERÚ: RENDIMIENTO PROMEDIO DE FIBRA  DE LLAMA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</si>
  <si>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C.81  PERÚ: PRODUCCIÓN DE FIBRA DE LLAMA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</si>
  <si>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C.80  PERÚ: LLAMAS ESQUILADAS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</si>
  <si>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C.79  PERÚ: RENDIMIENTO PROMEDIO DE FIBRA DE ALPACA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</si>
  <si>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C.78  PERÚ: PRODUCCIÓN DE FIBRA DE ALPACA POR REGIÓN, SEGÚN MES 2024</t>
    </r>
    <r>
      <rPr>
        <b/>
        <vertAlign val="superscript"/>
        <sz val="9"/>
        <color rgb="FF333333"/>
        <rFont val="Arial Narrow"/>
        <family val="2"/>
      </rPr>
      <t>P</t>
    </r>
  </si>
  <si>
    <r>
      <t>C.77  PERÚ: ALPACAS ESQUILADAS POR REGIÓN, SEGÚN MES, 2024</t>
    </r>
    <r>
      <rPr>
        <b/>
        <vertAlign val="superscript"/>
        <sz val="9"/>
        <color rgb="FF333333"/>
        <rFont val="Arial Narrow"/>
        <family val="2"/>
      </rPr>
      <t>P</t>
    </r>
  </si>
  <si>
    <r>
      <t>C.76  PERÚ: RENDIMIENTO PROMEDIO DE PRODUCCION DE LECHE FRESCA DE VACA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</si>
  <si>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C.75  PERÚ: PRODUCCIÓN DE LECHE FRESCA DE VACA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</si>
  <si>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C.74  PERÚ: VACAS EN ORDEÑO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</si>
  <si>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r>
      <t>C.126  PERU: COLOCACIÓN DE POLLOS BB LÍINEA CARNE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</si>
  <si>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t>C.137  LIMA METROPOLITANA: VENTA DE POLLOS EN CENTROS DE ACOPIO, SEGÚN AÑO, 2020-2024</t>
  </si>
  <si>
    <t>C.135  PERÚ: PRECIO RECIBIDO POR EL PRODUCTOR DE HUEVO DE GALLINA POR AÑO, SEGÚN REGIÓN, 2008-2024</t>
  </si>
  <si>
    <t>C.134  PERÚ: RENDIMIENTO DE HUEVO DE GALLINA POR AÑO, SEGÚN REGIÓN, 2008-2024</t>
  </si>
  <si>
    <t>C.133  PERÚ: PRODUCCIÓN DE HUEVO DE GALLINA POR AÑO, SEGÚN REGIÓN, 2008-2024</t>
  </si>
  <si>
    <t>C.132  PERÚ: GALLINAS EN PRODUCCIÓN POR AÑO, SEGÚN REGIÓN, 2008-2024</t>
  </si>
  <si>
    <t>C.131  PERÚ: PRECIO RECIBIDO POR EL PRODUCTOR DE AVES POR AÑO, SEGÚN REGIÓN, 2008-2024</t>
  </si>
  <si>
    <t>C.130  PERÚ: PRODUCCIÓN DE CARNE DE AVE POR AÑO, SEGÚN REGIÓN, 2008-2024</t>
  </si>
  <si>
    <t>C.129  PERÚ: PRODUCCIÓN DE  AVES POR AÑO, SEGÚN REGIÓN, 2008-2024</t>
  </si>
  <si>
    <t>C.128  PERÚ: POBLACIÓN DE AVES POR AÑO, SEGÚN REGIÓN, 2008-2024</t>
  </si>
  <si>
    <r>
      <t>C.127  PERU: COLOCACION DE POLLAS BB LINEA POSTURA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</si>
  <si>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t>C.125  PRINCIPALES INDICADORES DE LA ACTIVIDAD AVÍCOLA, 2011-2024</t>
  </si>
  <si>
    <t>C.22  PERÚ: PRODUCCIÓN DE CAPRINOS POR  AÑO, SEGÚN REGIÓN, 2007-2024</t>
  </si>
  <si>
    <t>C.23  PERÚ: PRODUCCIÓN DE CARNE DE CAPRINO POR  AÑO, SEGÚN REGIÓN, 2007-2024</t>
  </si>
  <si>
    <r>
      <t>C.52  PERÚ: RENDIMIENTO PROMEDIO DE CARNE DE AVE POR MES, SEGÚN REGIÓN, 2024</t>
    </r>
    <r>
      <rPr>
        <b/>
        <vertAlign val="superscript"/>
        <sz val="9"/>
        <color rgb="FF333333"/>
        <rFont val="Arial Narrow"/>
        <family val="2"/>
      </rPr>
      <t xml:space="preserve">P </t>
    </r>
  </si>
  <si>
    <r>
      <t>C.53  PERÚ: PRODUCCIÓN DE OVINOS POR MES, SEGÚN REGIÓN, 2024</t>
    </r>
    <r>
      <rPr>
        <b/>
        <vertAlign val="superscript"/>
        <sz val="9"/>
        <color rgb="FF333333"/>
        <rFont val="Arial Narrow"/>
        <family val="2"/>
      </rPr>
      <t xml:space="preserve">P </t>
    </r>
  </si>
  <si>
    <r>
      <t>C.54  PERÚ: PRODUCCIÓN DE CARNE DE OVINO POR MES, SEGÚN REGIÓN, 2024</t>
    </r>
    <r>
      <rPr>
        <b/>
        <vertAlign val="superscript"/>
        <sz val="9"/>
        <color rgb="FF333333"/>
        <rFont val="Arial Narrow"/>
        <family val="2"/>
      </rPr>
      <t xml:space="preserve">P </t>
    </r>
  </si>
  <si>
    <r>
      <t>C.55  PERÚ . RENDIMIENTO PROMEDIO DE CARNE  OVINO POR MES, SEGÚN REGIÓN, 2024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 xml:space="preserve"> </t>
    </r>
  </si>
  <si>
    <r>
      <t>C.56   PERÚ: PRODUCCIÓN DE PORCINOS POR MES, SEGÚN REGIÓN, 2024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 xml:space="preserve"> </t>
    </r>
  </si>
  <si>
    <r>
      <t>C.57  PERÚ: PRODUCCIÓN DE CARNE DE PORCINO POR MES, SEGÚN REGIÓN, 2024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 xml:space="preserve"> </t>
    </r>
  </si>
  <si>
    <r>
      <t>C.58  PERÚ: RENDIMIENTO PROMEDIO DE CARNE DE PORCINO POR MES, SEGÚN REGIÓN, 2024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 xml:space="preserve"> </t>
    </r>
  </si>
  <si>
    <r>
      <t>C.59   PERÚ: PRODUCCIÓN DE VACUNOS POR MES, SEGÚN REGIÓN, 2024</t>
    </r>
    <r>
      <rPr>
        <b/>
        <vertAlign val="superscript"/>
        <sz val="9"/>
        <color rgb="FF333333"/>
        <rFont val="Arial Narrow"/>
        <family val="2"/>
      </rPr>
      <t xml:space="preserve">P </t>
    </r>
  </si>
  <si>
    <r>
      <t>C.60  PERÚ: PRODUCCIÓN DE CARNE DE VACUNO POR MES, SEGÚN REGIÓN, 2024</t>
    </r>
    <r>
      <rPr>
        <b/>
        <vertAlign val="superscript"/>
        <sz val="9"/>
        <color rgb="FF333333"/>
        <rFont val="Arial Narrow"/>
        <family val="2"/>
      </rPr>
      <t xml:space="preserve">P </t>
    </r>
  </si>
  <si>
    <r>
      <t>C.61  PERÚ: RENDIMIENTO PROMEDIO DE CARNE DE VACUNO POR MES, SEGÚN REGIÓN, 2024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 xml:space="preserve"> </t>
    </r>
  </si>
  <si>
    <r>
      <t>C.62   PERÚ: PRODUCCIÓN CAPRINO POR MES, SEGÚN REGIÓN, 2024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 xml:space="preserve"> </t>
    </r>
  </si>
  <si>
    <r>
      <t>C.63  PERÚ: PRODUCCIÓN DE CARNE DE CAPRINO POR MES, SEGÚN REGIÓN, 2024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 xml:space="preserve"> </t>
    </r>
  </si>
  <si>
    <r>
      <t>C.64  PERÚ: RENDIMIENTO PROMEDIO DE CARNE DE CAPRINO POR MES, SEGÚN REGIÓN, 2024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 xml:space="preserve"> </t>
    </r>
  </si>
  <si>
    <r>
      <t>C.65  PERÚ: PRODUCCIÓN DE ALPACAS POR MES, SEGÚN REGIÓN, 2024</t>
    </r>
    <r>
      <rPr>
        <b/>
        <vertAlign val="superscript"/>
        <sz val="9"/>
        <color rgb="FF333333"/>
        <rFont val="Arial Narrow"/>
        <family val="2"/>
      </rPr>
      <t xml:space="preserve">P </t>
    </r>
  </si>
  <si>
    <r>
      <t>C.66  PERÚ: PRODUCCIÓN DE CARNE DE ALPACA POR MES, SEGÚN REGIÓN, 2024</t>
    </r>
    <r>
      <rPr>
        <b/>
        <vertAlign val="superscript"/>
        <sz val="9"/>
        <color rgb="FF333333"/>
        <rFont val="Arial Narrow"/>
        <family val="2"/>
      </rPr>
      <t xml:space="preserve">P </t>
    </r>
  </si>
  <si>
    <r>
      <t>C.67  PERÚ: RENDIMIENTO PROMEDIO DE CARNE DE ALPACA POR MES, SEGÚN REGIÓN, 2024</t>
    </r>
    <r>
      <rPr>
        <b/>
        <vertAlign val="superscript"/>
        <sz val="9"/>
        <color rgb="FF333333"/>
        <rFont val="Arial Narrow"/>
        <family val="2"/>
      </rPr>
      <t xml:space="preserve">P </t>
    </r>
    <r>
      <rPr>
        <b/>
        <sz val="9"/>
        <color indexed="63"/>
        <rFont val="Arial Narrow"/>
        <family val="2"/>
      </rPr>
      <t xml:space="preserve"> </t>
    </r>
  </si>
  <si>
    <r>
      <t>C.68  PERÚ: PRODUCCIÓN DE LLAMAS POR MES, SEGÚN REGIÓN, 2024</t>
    </r>
    <r>
      <rPr>
        <b/>
        <vertAlign val="superscript"/>
        <sz val="9"/>
        <color rgb="FF333333"/>
        <rFont val="Arial Narrow"/>
        <family val="2"/>
      </rPr>
      <t xml:space="preserve">P </t>
    </r>
  </si>
  <si>
    <r>
      <t>C.71  PERÚ: GALLINAS EN POSTLURA POR MES, SEGÚN  REGIÓN, 2024</t>
    </r>
    <r>
      <rPr>
        <b/>
        <vertAlign val="superscript"/>
        <sz val="9"/>
        <color rgb="FF333333"/>
        <rFont val="Arial Narrow"/>
        <family val="2"/>
      </rPr>
      <t xml:space="preserve">P </t>
    </r>
  </si>
  <si>
    <r>
      <t>C.72  PERÚ: PRODUCCIÓN DE HUEVOS DE GALLINA  POR MES, SEGÚN REGIÓN, 2024</t>
    </r>
    <r>
      <rPr>
        <b/>
        <vertAlign val="superscript"/>
        <sz val="9"/>
        <color rgb="FF333333"/>
        <rFont val="Arial Narrow"/>
        <family val="2"/>
      </rPr>
      <t>P</t>
    </r>
    <r>
      <rPr>
        <b/>
        <sz val="9"/>
        <color indexed="63"/>
        <rFont val="Arial Narrow"/>
        <family val="2"/>
      </rPr>
      <t xml:space="preserve"> </t>
    </r>
  </si>
  <si>
    <r>
      <t>C.73  PERÚ: RENDIMIENTO PROMEDIO DE PRODUCCIÓN DE HUEVO DE GALLINA POR MES, SEGÚN REGIÓN, 2024</t>
    </r>
    <r>
      <rPr>
        <b/>
        <vertAlign val="superscript"/>
        <sz val="9"/>
        <color rgb="FF333333"/>
        <rFont val="Arial Narrow"/>
        <family val="2"/>
      </rPr>
      <t xml:space="preserve">P </t>
    </r>
  </si>
  <si>
    <r>
      <t>C.104  LIMA METROPOLITANA: EVOLUCIÓN DEL ABASTECIMIENTO DE PRINCIPALES PRODUCTOS PECUARIOS SEGÚN AÑO, 2007-2024</t>
    </r>
    <r>
      <rPr>
        <b/>
        <vertAlign val="superscript"/>
        <sz val="9"/>
        <rFont val="Arial Narrow"/>
        <family val="2"/>
      </rPr>
      <t>P</t>
    </r>
  </si>
  <si>
    <r>
      <t>C.105  LIMA METROPOLITANA: EVOLUCIÓN DEL CONSUMO PER CÁPITA DE PRINCIPALES PRODUCTOS PECUARIOS SEGÚN AÑO, 2007-2024</t>
    </r>
    <r>
      <rPr>
        <b/>
        <vertAlign val="superscript"/>
        <sz val="9"/>
        <rFont val="Arial Narrow"/>
        <family val="2"/>
      </rPr>
      <t>P</t>
    </r>
  </si>
  <si>
    <r>
      <t xml:space="preserve"> C.99  PERÚ: RENDIMIENTO  DE GANADO VACUNO EN CENTROS DE BENEFICIO POR 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</si>
  <si>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C.98  PERÚ: BENEFICIO DE GANADO VACUNO EN CENTROS DE BENEFICIO POR 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</si>
  <si>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C.97  PERÚ: BENEFICIO DE GANADO VACUNO EN CENTROS DE BENEFICIO POR 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</si>
  <si>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 xml:space="preserve"> C.96  PERÚ: RENDIMIENTO  DE GANADO PORCINO EN CENTROS DE BENEFICIO POR 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</si>
  <si>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C.95  PERÚ: BENEFICIO DE GANADO PORCINO EN CENTROS DE BENEFICIO POR 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</si>
  <si>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C.94  PERÚ: BENEFICIO DE GANADO PORCINO EN CENTROS DE BENEFICIO POR 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</si>
  <si>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 xml:space="preserve"> C.93  PERÚ: RENDIMIENTO  DE GANADO OVINO EN CENTROS DE BENEFICIO PORMES,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</si>
  <si>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C.92  PERÚ: BENEFICIO DE GANADO OVINO EN CENTROS DE BENEFICIO POR 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</si>
  <si>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C.91  PERÚ: BENEFICIO DE GANADO OVINO EN CENTROS DE BENEFICIO POR MES, SEGÚN REGIÓN, 2024</t>
    </r>
    <r>
      <rPr>
        <b/>
        <vertAlign val="superscript"/>
        <sz val="9"/>
        <color theme="1"/>
        <rFont val="Arial Narrow"/>
        <family val="2"/>
      </rPr>
      <t>P</t>
    </r>
  </si>
  <si>
    <r>
      <t>C.136  LIMA METROPOLITANA: VENTA DE AVES POR MES, SEGÚN ESPECIE, 2024</t>
    </r>
    <r>
      <rPr>
        <b/>
        <vertAlign val="superscript"/>
        <sz val="9"/>
        <color theme="1"/>
        <rFont val="Arial Narrow"/>
        <family val="2"/>
      </rPr>
      <t>P</t>
    </r>
  </si>
  <si>
    <r>
      <t>C.121  PERÚ: PRECIOS PROMEDIO PAGADOS AL PRODUCTOR DE LECHE FRESCA DE VACA POR MES, SEGÚN REGIÓN, 2024</t>
    </r>
    <r>
      <rPr>
        <b/>
        <vertAlign val="superscript"/>
        <sz val="9"/>
        <color rgb="FF333333"/>
        <rFont val="Arial Narrow"/>
        <family val="2"/>
      </rPr>
      <t>P</t>
    </r>
  </si>
  <si>
    <t>C.100  PERÚ: EVOLUCIÓN DEL ABASTECIMIENTO DE PRINCIPALES PRODUCTOS PECUARIOS SEGÚN AÑO, 2007-2024</t>
  </si>
  <si>
    <t>C.2  PERÚ: PARTICIPACIÓN PORCENTUAL SEGÚN SUB SECTORES Y PRINCIPALES ESPECIES Y PRODUCTOS PECUARIOS EN EL VALOR BRUTO, 2007-2024</t>
  </si>
  <si>
    <t xml:space="preserve">   Madre de Dios</t>
  </si>
  <si>
    <t>Var. % 24 / 23</t>
  </si>
  <si>
    <t>( kg./año)</t>
  </si>
  <si>
    <t>(Unid./año)</t>
  </si>
  <si>
    <t>Fuente: Camales de Lima Metropolitana y Callao - Área de Esyadística Agraria Regional Lima-SRA.</t>
  </si>
  <si>
    <r>
      <t>C.4  PERÚ: POBLACIÓN PECUARIA POR ESPECIE, SEGÚN REGIÓN, 2024</t>
    </r>
    <r>
      <rPr>
        <b/>
        <vertAlign val="superscript"/>
        <sz val="9"/>
        <color theme="1"/>
        <rFont val="Arial Narrow"/>
        <family val="2"/>
      </rPr>
      <t>P</t>
    </r>
    <r>
      <rPr>
        <b/>
        <sz val="9"/>
        <color theme="1"/>
        <rFont val="Arial Narrow"/>
        <family val="2"/>
      </rPr>
      <t xml:space="preserve"> </t>
    </r>
  </si>
  <si>
    <r>
      <t xml:space="preserve">2023 </t>
    </r>
    <r>
      <rPr>
        <b/>
        <vertAlign val="superscript"/>
        <sz val="8"/>
        <color indexed="63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</si>
  <si>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</si>
  <si>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t>…</t>
  </si>
  <si>
    <t>… No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</si>
</sst>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164" formatCode="_ * #,##0.00_ ;_ * \-#,##0.00_ ;_ * &quot;-&quot;??_ ;_ @_ "/>
    <numFmt numFmtId="165" formatCode="_-* #,##0.00\ _P_t_s_-;\-* #,##0.00\ _P_t_s_-;_-* &quot;-&quot;??\ _P_t_s_-;_-@_-"/>
    <numFmt numFmtId="166" formatCode="_-* #,##0\ _S_/_._-;\-* #,##0\ _S_/_._-;_-* &quot;-&quot;\ _S_/_._-;_-@_-"/>
    <numFmt numFmtId="167" formatCode="_-* #,##0.00\ _S_/_._-;\-* #,##0.00\ _S_/_._-;_-* &quot;-&quot;??\ _S_/_._-;_-@_-"/>
    <numFmt numFmtId="168" formatCode="#,##0.0_);\(#,##0.0\)"/>
    <numFmt numFmtId="169" formatCode="General_)"/>
    <numFmt numFmtId="170" formatCode="0_)"/>
    <numFmt numFmtId="171" formatCode="0.000_)"/>
    <numFmt numFmtId="172" formatCode="0.0_)"/>
    <numFmt numFmtId="173" formatCode="0.000"/>
    <numFmt numFmtId="174" formatCode="#,##0.000"/>
    <numFmt numFmtId="175" formatCode="#,##0.0"/>
    <numFmt numFmtId="176" formatCode="0.00_)"/>
    <numFmt numFmtId="177" formatCode="_-* #,##0.000_-;\-* #,##0.000_-;_-* &quot;-&quot;??_-;_-@_-"/>
    <numFmt numFmtId="178" formatCode=";;;"/>
    <numFmt numFmtId="179" formatCode="_ * #,##0.0_ ;_ * \-#,##0.0_ ;_ * &quot;-&quot;_ ;_ @_ "/>
    <numFmt numFmtId="180" formatCode="0.0_);\(0.0\)"/>
    <numFmt numFmtId="181" formatCode="0.0"/>
    <numFmt numFmtId="182" formatCode="_([$€-2]\ * #,##0.00_);_([$€-2]\ * \(#,##0.00\);_([$€-2]\ * &quot;-&quot;??_)"/>
    <numFmt numFmtId="183" formatCode="_-* #,##0.0_-;\-* #,##0.0_-;_-* &quot;-&quot;??_-;_-@_-"/>
    <numFmt numFmtId="184" formatCode="#,##0.0_ ;\-#,##0.0\ "/>
    <numFmt numFmtId="185" formatCode="#\ ###\ ###\ ###"/>
    <numFmt numFmtId="186" formatCode="###\ ###\ ###"/>
    <numFmt numFmtId="187" formatCode="##\ ###\ ##0"/>
    <numFmt numFmtId="188" formatCode="##\ ###\ ##0.0"/>
    <numFmt numFmtId="189" formatCode="#,##0.00000"/>
    <numFmt numFmtId="190" formatCode="#,##0.0;\-#,##0.0"/>
    <numFmt numFmtId="191" formatCode="#,##0_);\(#,##0\)"/>
    <numFmt numFmtId="192" formatCode="#,##0.0__"/>
    <numFmt numFmtId="193" formatCode="#,##0.0____"/>
    <numFmt numFmtId="194" formatCode="#,##0.00000_);\(#,##0.00000\)"/>
    <numFmt numFmtId="195" formatCode="#,##0__"/>
    <numFmt numFmtId="196" formatCode="#,##0________"/>
    <numFmt numFmtId="197" formatCode="#,##0__________"/>
    <numFmt numFmtId="198" formatCode="#,##0.0______"/>
    <numFmt numFmtId="199" formatCode="#,##0____"/>
    <numFmt numFmtId="200" formatCode="#,##0______"/>
    <numFmt numFmtId="201" formatCode="#,##0____________"/>
    <numFmt numFmtId="202" formatCode="#,##0.000__"/>
    <numFmt numFmtId="203" formatCode="#,##0.00__"/>
    <numFmt numFmtId="204" formatCode="#,##0.000_);\(#,##0.000\)"/>
    <numFmt numFmtId="205" formatCode="#,##0.00_ ;\-#,##0.00\ "/>
    <numFmt numFmtId="206" formatCode="0.000000"/>
    <numFmt numFmtId="207" formatCode="0.00000"/>
    <numFmt numFmtId="208" formatCode="#,##0.0______________"/>
    <numFmt numFmtId="209" formatCode="#,##0.000________"/>
    <numFmt numFmtId="210" formatCode="#,##0_ ;\-#,##0\ "/>
    <numFmt numFmtId="211" formatCode="_-* #,##0.00000_-;\-* #,##0.00000_-;_-* &quot;-&quot;??_-;_-@_-"/>
    <numFmt numFmtId="212" formatCode="#,##0.0000"/>
    <numFmt numFmtId="213" formatCode="#,##0.0________"/>
    <numFmt numFmtId="214" formatCode="#,##0______________"/>
    <numFmt numFmtId="215" formatCode="#,##0.000____________"/>
    <numFmt numFmtId="216" formatCode="#,##0.000____"/>
  </numFmts>
  <fonts count="75">
    <font>
      <sz val="9"/>
      <name val="Courier"/>
    </font>
    <font>
      <sz val="10"/>
      <name val="Arial"/>
      <family val="2"/>
    </font>
    <font>
      <sz val="8"/>
      <name val="Courier"/>
      <family val="1"/>
    </font>
    <font>
      <sz val="9"/>
      <name val="Courier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sz val="8"/>
      <name val="Tms Rmn"/>
    </font>
    <font>
      <sz val="10"/>
      <name val="Courier"/>
      <family val="1"/>
    </font>
    <font>
      <sz val="10"/>
      <name val="Arial"/>
      <family val="2"/>
    </font>
    <font>
      <sz val="10"/>
      <name val="Tms Rmn"/>
    </font>
    <font>
      <sz val="10"/>
      <name val="Helv"/>
    </font>
    <font>
      <sz val="12"/>
      <name val="Helv"/>
    </font>
    <font>
      <sz val="9"/>
      <name val="Helv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vertAlign val="superscript"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7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b/>
      <sz val="9"/>
      <color theme="1"/>
      <name val="Arial Narrow"/>
      <family val="2"/>
    </font>
    <font>
      <u/>
      <sz val="8"/>
      <color theme="1"/>
      <name val="Arial Narrow"/>
      <family val="2"/>
    </font>
    <font>
      <b/>
      <sz val="7"/>
      <color theme="1"/>
      <name val="Arial Narrow"/>
      <family val="2"/>
    </font>
    <font>
      <i/>
      <sz val="8"/>
      <color theme="1"/>
      <name val="Arial Narrow"/>
      <family val="2"/>
    </font>
    <font>
      <b/>
      <vertAlign val="superscript"/>
      <sz val="9"/>
      <color theme="1"/>
      <name val="Arial Narrow"/>
      <family val="2"/>
    </font>
    <font>
      <sz val="8"/>
      <name val="Arial Narrow"/>
      <family val="2"/>
    </font>
    <font>
      <b/>
      <sz val="8"/>
      <color indexed="63"/>
      <name val="Arial Narrow"/>
      <family val="2"/>
    </font>
    <font>
      <b/>
      <vertAlign val="superscript"/>
      <sz val="8"/>
      <color indexed="63"/>
      <name val="Arial Narrow"/>
      <family val="2"/>
    </font>
    <font>
      <b/>
      <u/>
      <sz val="7"/>
      <color theme="1"/>
      <name val="Arial Narrow"/>
      <family val="2"/>
    </font>
    <font>
      <b/>
      <sz val="9"/>
      <color indexed="63"/>
      <name val="Arial Narrow"/>
      <family val="2"/>
    </font>
    <font>
      <sz val="8"/>
      <color indexed="63"/>
      <name val="Arial Narrow"/>
      <family val="2"/>
    </font>
    <font>
      <vertAlign val="superscript"/>
      <sz val="8"/>
      <name val="Arial Narrow"/>
      <family val="2"/>
    </font>
    <font>
      <sz val="7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sz val="9"/>
      <name val="Arial Narrow"/>
      <family val="2"/>
    </font>
    <font>
      <b/>
      <vertAlign val="superscript"/>
      <sz val="8"/>
      <name val="Arial Narrow"/>
      <family val="2"/>
    </font>
    <font>
      <b/>
      <vertAlign val="superscript"/>
      <sz val="9"/>
      <name val="Arial Narrow"/>
      <family val="2"/>
    </font>
    <font>
      <sz val="6"/>
      <color theme="1"/>
      <name val="Arial Narrow"/>
      <family val="2"/>
    </font>
    <font>
      <vertAlign val="superscript"/>
      <sz val="6"/>
      <color theme="1"/>
      <name val="Arial Narrow"/>
      <family val="2"/>
    </font>
    <font>
      <b/>
      <sz val="6"/>
      <color theme="1"/>
      <name val="Arial Narrow"/>
      <family val="2"/>
    </font>
    <font>
      <b/>
      <u/>
      <sz val="6"/>
      <color theme="1"/>
      <name val="Arial Narrow"/>
      <family val="2"/>
    </font>
    <font>
      <sz val="6"/>
      <name val="Arial Narrow"/>
      <family val="2"/>
    </font>
    <font>
      <vertAlign val="superscript"/>
      <sz val="6"/>
      <name val="Arial Narrow"/>
      <family val="2"/>
    </font>
    <font>
      <sz val="6"/>
      <color indexed="63"/>
      <name val="Arial Narrow"/>
      <family val="2"/>
    </font>
    <font>
      <vertAlign val="superscript"/>
      <sz val="7"/>
      <color theme="1"/>
      <name val="Arial Narrow"/>
      <family val="2"/>
    </font>
    <font>
      <b/>
      <vertAlign val="superscript"/>
      <sz val="9"/>
      <color indexed="63"/>
      <name val="Arial Narrow"/>
      <family val="2"/>
    </font>
    <font>
      <b/>
      <vertAlign val="superscript"/>
      <sz val="8"/>
      <color rgb="FF333333"/>
      <name val="Arial Narrow"/>
      <family val="2"/>
    </font>
    <font>
      <b/>
      <vertAlign val="superscript"/>
      <sz val="9"/>
      <color rgb="FF333333"/>
      <name val="Arial Narrow"/>
      <family val="2"/>
    </font>
    <font>
      <b/>
      <sz val="10"/>
      <name val="Arial Narrow"/>
      <family val="2"/>
    </font>
    <font>
      <b/>
      <sz val="8"/>
      <color indexed="10"/>
      <name val="Arial Narrow"/>
      <family val="2"/>
    </font>
    <font>
      <sz val="10"/>
      <color indexed="9"/>
      <name val="Arial Narrow"/>
      <family val="2"/>
    </font>
    <font>
      <sz val="9"/>
      <name val="Arial Narrow"/>
      <family val="2"/>
    </font>
    <font>
      <b/>
      <vertAlign val="superscript"/>
      <sz val="10"/>
      <color theme="1"/>
      <name val="Arial Narrow"/>
      <family val="2"/>
    </font>
    <font>
      <b/>
      <u/>
      <sz val="9"/>
      <color indexed="63"/>
      <name val="Arial Narrow"/>
      <family val="2"/>
    </font>
    <font>
      <u/>
      <sz val="10"/>
      <name val="Arial Narrow"/>
      <family val="2"/>
    </font>
    <font>
      <u/>
      <sz val="8"/>
      <name val="Arial Narrow"/>
      <family val="2"/>
    </font>
    <font>
      <b/>
      <sz val="8"/>
      <color rgb="FFFF0000"/>
      <name val="Arial Narrow"/>
      <family val="2"/>
    </font>
    <font>
      <b/>
      <sz val="6"/>
      <color rgb="FFFF0000"/>
      <name val="Arial Narrow"/>
      <family val="2"/>
    </font>
    <font>
      <b/>
      <sz val="10"/>
      <color rgb="FFFF0000"/>
      <name val="Arial Narrow"/>
      <family val="2"/>
    </font>
  </fonts>
  <fills count="2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C6DDCE"/>
        <bgColor indexed="64"/>
      </patternFill>
    </fill>
    <fill>
      <patternFill patternType="solid">
        <fgColor rgb="FFECE3D9"/>
        <bgColor indexed="64"/>
      </patternFill>
    </fill>
    <fill>
      <patternFill patternType="solid">
        <fgColor rgb="FFF4C9A0"/>
        <bgColor indexed="64"/>
      </patternFill>
    </fill>
    <fill>
      <patternFill patternType="solid">
        <fgColor rgb="FFFAE4D6"/>
        <bgColor indexed="64"/>
      </patternFill>
    </fill>
    <fill>
      <patternFill patternType="solid">
        <fgColor rgb="FFFAE5D7"/>
        <bgColor indexed="64"/>
      </patternFill>
    </fill>
    <fill>
      <patternFill patternType="solid">
        <fgColor rgb="FFFDF0E5"/>
        <bgColor indexed="64"/>
      </patternFill>
    </fill>
    <fill>
      <patternFill patternType="solid">
        <fgColor rgb="FFFEE8DB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0">
    <xf numFmtId="168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6" fillId="9" borderId="1" applyNumberFormat="0" applyAlignment="0" applyProtection="0"/>
    <xf numFmtId="0" fontId="7" fillId="13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10" fillId="3" borderId="1" applyNumberFormat="0" applyAlignment="0" applyProtection="0"/>
    <xf numFmtId="182" fontId="3" fillId="0" borderId="0" applyFont="0" applyFill="0" applyBorder="0" applyAlignment="0" applyProtection="0"/>
    <xf numFmtId="0" fontId="11" fillId="17" borderId="0" applyNumberFormat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10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169" fontId="20" fillId="0" borderId="0"/>
    <xf numFmtId="169" fontId="23" fillId="0" borderId="0"/>
    <xf numFmtId="169" fontId="26" fillId="0" borderId="0"/>
    <xf numFmtId="37" fontId="25" fillId="0" borderId="0"/>
    <xf numFmtId="0" fontId="27" fillId="0" borderId="0"/>
    <xf numFmtId="0" fontId="20" fillId="0" borderId="0"/>
    <xf numFmtId="169" fontId="20" fillId="0" borderId="0"/>
    <xf numFmtId="0" fontId="4" fillId="5" borderId="5" applyNumberFormat="0" applyFont="0" applyAlignment="0" applyProtection="0"/>
    <xf numFmtId="9" fontId="24" fillId="0" borderId="0" applyFont="0" applyFill="0" applyBorder="0" applyAlignment="0" applyProtection="0"/>
    <xf numFmtId="0" fontId="13" fillId="9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7" applyNumberFormat="0" applyFill="0" applyAlignment="0" applyProtection="0"/>
    <xf numFmtId="0" fontId="9" fillId="0" borderId="8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20" fillId="0" borderId="0"/>
  </cellStyleXfs>
  <cellXfs count="1058">
    <xf numFmtId="168" fontId="0" fillId="0" borderId="0" xfId="0"/>
    <xf numFmtId="169" fontId="30" fillId="0" borderId="0" xfId="0" applyNumberFormat="1" applyFont="1" applyAlignment="1">
      <alignment horizontal="left" vertical="center"/>
    </xf>
    <xf numFmtId="170" fontId="28" fillId="0" borderId="0" xfId="0" applyNumberFormat="1" applyFont="1" applyAlignment="1">
      <alignment vertical="center"/>
    </xf>
    <xf numFmtId="175" fontId="30" fillId="0" borderId="0" xfId="0" applyNumberFormat="1" applyFont="1" applyAlignment="1">
      <alignment vertical="center"/>
    </xf>
    <xf numFmtId="175" fontId="28" fillId="0" borderId="0" xfId="0" applyNumberFormat="1" applyFont="1" applyAlignment="1">
      <alignment vertical="center"/>
    </xf>
    <xf numFmtId="178" fontId="28" fillId="0" borderId="0" xfId="0" applyNumberFormat="1" applyFont="1" applyAlignment="1">
      <alignment vertical="center"/>
    </xf>
    <xf numFmtId="169" fontId="28" fillId="0" borderId="0" xfId="0" applyNumberFormat="1" applyFont="1" applyAlignment="1">
      <alignment horizontal="left" vertical="center"/>
    </xf>
    <xf numFmtId="178" fontId="28" fillId="0" borderId="12" xfId="0" applyNumberFormat="1" applyFont="1" applyBorder="1" applyAlignment="1">
      <alignment vertical="center"/>
    </xf>
    <xf numFmtId="169" fontId="28" fillId="0" borderId="12" xfId="0" applyNumberFormat="1" applyFont="1" applyBorder="1" applyAlignment="1">
      <alignment horizontal="left" vertical="center"/>
    </xf>
    <xf numFmtId="169" fontId="28" fillId="0" borderId="0" xfId="0" quotePrefix="1" applyNumberFormat="1" applyFont="1" applyAlignment="1">
      <alignment horizontal="left" vertical="center"/>
    </xf>
    <xf numFmtId="172" fontId="28" fillId="0" borderId="0" xfId="0" applyNumberFormat="1" applyFont="1" applyAlignment="1">
      <alignment vertical="center"/>
    </xf>
    <xf numFmtId="0" fontId="28" fillId="0" borderId="0" xfId="38" applyFont="1" applyAlignment="1">
      <alignment vertical="center"/>
    </xf>
    <xf numFmtId="171" fontId="28" fillId="0" borderId="0" xfId="0" applyNumberFormat="1" applyFont="1" applyAlignment="1">
      <alignment vertical="center"/>
    </xf>
    <xf numFmtId="177" fontId="28" fillId="0" borderId="0" xfId="36" applyNumberFormat="1" applyFont="1" applyFill="1" applyAlignment="1" applyProtection="1">
      <alignment vertical="center"/>
    </xf>
    <xf numFmtId="184" fontId="28" fillId="0" borderId="0" xfId="32" quotePrefix="1" applyNumberFormat="1" applyFont="1" applyFill="1" applyBorder="1" applyAlignment="1" applyProtection="1">
      <alignment horizontal="right" vertical="center"/>
    </xf>
    <xf numFmtId="184" fontId="28" fillId="0" borderId="12" xfId="32" quotePrefix="1" applyNumberFormat="1" applyFont="1" applyFill="1" applyBorder="1" applyAlignment="1" applyProtection="1">
      <alignment horizontal="right" vertical="center"/>
    </xf>
    <xf numFmtId="172" fontId="30" fillId="0" borderId="0" xfId="0" applyNumberFormat="1" applyFont="1" applyAlignment="1">
      <alignment vertical="center"/>
    </xf>
    <xf numFmtId="168" fontId="28" fillId="0" borderId="0" xfId="0" applyFont="1" applyAlignment="1">
      <alignment vertical="center"/>
    </xf>
    <xf numFmtId="168" fontId="28" fillId="0" borderId="12" xfId="0" applyFont="1" applyBorder="1" applyAlignment="1">
      <alignment vertical="center"/>
    </xf>
    <xf numFmtId="175" fontId="28" fillId="0" borderId="12" xfId="0" applyNumberFormat="1" applyFont="1" applyBorder="1" applyAlignment="1">
      <alignment vertical="center"/>
    </xf>
    <xf numFmtId="175" fontId="28" fillId="0" borderId="0" xfId="36" applyNumberFormat="1" applyFont="1" applyFill="1" applyAlignment="1" applyProtection="1">
      <alignment vertical="center"/>
    </xf>
    <xf numFmtId="169" fontId="28" fillId="0" borderId="0" xfId="45" applyNumberFormat="1" applyFont="1" applyAlignment="1">
      <alignment horizontal="left" vertical="center"/>
    </xf>
    <xf numFmtId="169" fontId="28" fillId="0" borderId="0" xfId="40" quotePrefix="1" applyNumberFormat="1" applyFont="1" applyAlignment="1">
      <alignment horizontal="left" vertical="center"/>
    </xf>
    <xf numFmtId="0" fontId="30" fillId="0" borderId="12" xfId="38" applyFont="1" applyBorder="1" applyAlignment="1">
      <alignment vertical="center"/>
    </xf>
    <xf numFmtId="9" fontId="30" fillId="0" borderId="12" xfId="49" applyFont="1" applyFill="1" applyBorder="1" applyAlignment="1">
      <alignment vertical="center"/>
    </xf>
    <xf numFmtId="0" fontId="30" fillId="0" borderId="0" xfId="38" applyFont="1" applyAlignment="1">
      <alignment vertical="center"/>
    </xf>
    <xf numFmtId="0" fontId="28" fillId="0" borderId="0" xfId="38" applyFont="1" applyAlignment="1">
      <alignment horizontal="left" vertical="center"/>
    </xf>
    <xf numFmtId="0" fontId="33" fillId="0" borderId="0" xfId="38" applyFont="1" applyAlignment="1">
      <alignment vertical="center"/>
    </xf>
    <xf numFmtId="169" fontId="28" fillId="0" borderId="0" xfId="38" applyNumberFormat="1" applyFont="1" applyAlignment="1">
      <alignment horizontal="left" vertical="center"/>
    </xf>
    <xf numFmtId="169" fontId="28" fillId="0" borderId="12" xfId="38" applyNumberFormat="1" applyFont="1" applyBorder="1" applyAlignment="1">
      <alignment horizontal="left" vertical="center"/>
    </xf>
    <xf numFmtId="169" fontId="28" fillId="0" borderId="0" xfId="40" applyNumberFormat="1" applyFont="1" applyAlignment="1">
      <alignment horizontal="left" vertical="center"/>
    </xf>
    <xf numFmtId="170" fontId="30" fillId="0" borderId="0" xfId="45" quotePrefix="1" applyNumberFormat="1" applyFont="1" applyAlignment="1">
      <alignment horizontal="left" vertical="center"/>
    </xf>
    <xf numFmtId="169" fontId="28" fillId="0" borderId="0" xfId="45" quotePrefix="1" applyNumberFormat="1" applyFont="1" applyAlignment="1">
      <alignment horizontal="left" vertical="center"/>
    </xf>
    <xf numFmtId="169" fontId="30" fillId="0" borderId="0" xfId="0" applyNumberFormat="1" applyFont="1" applyAlignment="1">
      <alignment vertical="center"/>
    </xf>
    <xf numFmtId="0" fontId="30" fillId="0" borderId="12" xfId="45" applyFont="1" applyBorder="1" applyAlignment="1">
      <alignment vertical="center"/>
    </xf>
    <xf numFmtId="0" fontId="30" fillId="0" borderId="0" xfId="45" applyFont="1" applyAlignment="1">
      <alignment horizontal="centerContinuous" vertical="center"/>
    </xf>
    <xf numFmtId="0" fontId="28" fillId="0" borderId="12" xfId="45" applyFont="1" applyBorder="1" applyAlignment="1">
      <alignment vertical="center"/>
    </xf>
    <xf numFmtId="168" fontId="29" fillId="0" borderId="0" xfId="0" applyFont="1"/>
    <xf numFmtId="169" fontId="28" fillId="0" borderId="0" xfId="47" quotePrefix="1" applyFont="1" applyAlignment="1">
      <alignment horizontal="left" vertical="center"/>
    </xf>
    <xf numFmtId="180" fontId="28" fillId="0" borderId="0" xfId="0" applyNumberFormat="1" applyFont="1" applyAlignment="1">
      <alignment vertical="center"/>
    </xf>
    <xf numFmtId="168" fontId="30" fillId="0" borderId="0" xfId="0" applyFont="1" applyAlignment="1">
      <alignment vertical="center"/>
    </xf>
    <xf numFmtId="168" fontId="28" fillId="0" borderId="0" xfId="0" applyFont="1" applyAlignment="1">
      <alignment horizontal="center" vertical="center"/>
    </xf>
    <xf numFmtId="181" fontId="28" fillId="0" borderId="0" xfId="0" applyNumberFormat="1" applyFont="1" applyAlignment="1">
      <alignment horizontal="center" vertical="center"/>
    </xf>
    <xf numFmtId="181" fontId="28" fillId="0" borderId="12" xfId="0" applyNumberFormat="1" applyFont="1" applyBorder="1" applyAlignment="1">
      <alignment horizontal="center" vertical="center"/>
    </xf>
    <xf numFmtId="191" fontId="28" fillId="0" borderId="0" xfId="0" applyNumberFormat="1" applyFont="1" applyAlignment="1">
      <alignment vertical="center"/>
    </xf>
    <xf numFmtId="194" fontId="28" fillId="0" borderId="0" xfId="0" applyNumberFormat="1" applyFont="1" applyAlignment="1">
      <alignment vertical="center"/>
    </xf>
    <xf numFmtId="172" fontId="33" fillId="0" borderId="0" xfId="0" applyNumberFormat="1" applyFont="1" applyAlignment="1">
      <alignment vertical="center"/>
    </xf>
    <xf numFmtId="179" fontId="37" fillId="0" borderId="0" xfId="33" applyNumberFormat="1" applyFont="1" applyFill="1" applyAlignment="1">
      <alignment vertical="center"/>
    </xf>
    <xf numFmtId="168" fontId="33" fillId="0" borderId="0" xfId="0" applyFont="1" applyAlignment="1">
      <alignment vertical="center"/>
    </xf>
    <xf numFmtId="169" fontId="33" fillId="0" borderId="0" xfId="0" applyNumberFormat="1" applyFont="1" applyAlignment="1">
      <alignment horizontal="left" vertical="center"/>
    </xf>
    <xf numFmtId="171" fontId="33" fillId="0" borderId="0" xfId="0" applyNumberFormat="1" applyFont="1" applyAlignment="1">
      <alignment vertical="center"/>
    </xf>
    <xf numFmtId="168" fontId="35" fillId="0" borderId="0" xfId="0" applyFont="1" applyAlignment="1">
      <alignment vertical="center"/>
    </xf>
    <xf numFmtId="168" fontId="35" fillId="0" borderId="0" xfId="0" applyFont="1" applyAlignment="1">
      <alignment vertical="top"/>
    </xf>
    <xf numFmtId="168" fontId="35" fillId="0" borderId="0" xfId="0" applyFont="1"/>
    <xf numFmtId="169" fontId="35" fillId="0" borderId="0" xfId="0" applyNumberFormat="1" applyFont="1" applyAlignment="1">
      <alignment vertical="center"/>
    </xf>
    <xf numFmtId="168" fontId="29" fillId="0" borderId="0" xfId="0" applyFont="1" applyAlignment="1">
      <alignment vertical="center"/>
    </xf>
    <xf numFmtId="169" fontId="30" fillId="0" borderId="0" xfId="38" applyNumberFormat="1" applyFont="1" applyAlignment="1">
      <alignment horizontal="centerContinuous" vertical="center"/>
    </xf>
    <xf numFmtId="173" fontId="30" fillId="0" borderId="0" xfId="38" applyNumberFormat="1" applyFont="1" applyAlignment="1">
      <alignment horizontal="centerContinuous" vertical="center"/>
    </xf>
    <xf numFmtId="3" fontId="28" fillId="0" borderId="0" xfId="38" applyNumberFormat="1" applyFont="1" applyAlignment="1">
      <alignment vertical="center"/>
    </xf>
    <xf numFmtId="0" fontId="28" fillId="0" borderId="0" xfId="38" quotePrefix="1" applyFont="1" applyAlignment="1">
      <alignment vertical="center"/>
    </xf>
    <xf numFmtId="0" fontId="28" fillId="0" borderId="12" xfId="38" applyFont="1" applyBorder="1" applyAlignment="1">
      <alignment vertical="center"/>
    </xf>
    <xf numFmtId="37" fontId="28" fillId="0" borderId="0" xfId="38" applyNumberFormat="1" applyFont="1" applyAlignment="1">
      <alignment horizontal="right" vertical="center"/>
    </xf>
    <xf numFmtId="37" fontId="38" fillId="0" borderId="0" xfId="38" applyNumberFormat="1" applyFont="1" applyAlignment="1">
      <alignment horizontal="right" vertical="center"/>
    </xf>
    <xf numFmtId="0" fontId="28" fillId="0" borderId="0" xfId="38" quotePrefix="1" applyFont="1" applyAlignment="1">
      <alignment horizontal="left" vertical="center"/>
    </xf>
    <xf numFmtId="37" fontId="28" fillId="0" borderId="12" xfId="38" applyNumberFormat="1" applyFont="1" applyBorder="1" applyAlignment="1">
      <alignment horizontal="right" vertical="center"/>
    </xf>
    <xf numFmtId="3" fontId="28" fillId="0" borderId="0" xfId="38" applyNumberFormat="1" applyFont="1" applyAlignment="1">
      <alignment horizontal="right" vertical="center"/>
    </xf>
    <xf numFmtId="37" fontId="28" fillId="0" borderId="0" xfId="40" applyNumberFormat="1" applyFont="1" applyAlignment="1">
      <alignment vertical="center"/>
    </xf>
    <xf numFmtId="0" fontId="28" fillId="0" borderId="0" xfId="40" applyFont="1" applyAlignment="1">
      <alignment vertical="center"/>
    </xf>
    <xf numFmtId="0" fontId="28" fillId="0" borderId="12" xfId="40" applyFont="1" applyBorder="1" applyAlignment="1">
      <alignment vertical="center"/>
    </xf>
    <xf numFmtId="0" fontId="28" fillId="0" borderId="13" xfId="40" applyFont="1" applyBorder="1" applyAlignment="1">
      <alignment horizontal="center" vertical="center"/>
    </xf>
    <xf numFmtId="0" fontId="28" fillId="0" borderId="0" xfId="40" applyFont="1" applyAlignment="1">
      <alignment horizontal="center" vertical="center"/>
    </xf>
    <xf numFmtId="3" fontId="28" fillId="0" borderId="0" xfId="40" applyNumberFormat="1" applyFont="1" applyAlignment="1">
      <alignment vertical="center"/>
    </xf>
    <xf numFmtId="174" fontId="28" fillId="0" borderId="0" xfId="40" applyNumberFormat="1" applyFont="1" applyAlignment="1">
      <alignment vertical="center"/>
    </xf>
    <xf numFmtId="0" fontId="28" fillId="0" borderId="12" xfId="40" applyFont="1" applyBorder="1" applyAlignment="1">
      <alignment horizontal="center" vertical="center"/>
    </xf>
    <xf numFmtId="174" fontId="28" fillId="0" borderId="12" xfId="40" applyNumberFormat="1" applyFont="1" applyBorder="1" applyAlignment="1">
      <alignment vertical="center"/>
    </xf>
    <xf numFmtId="0" fontId="28" fillId="0" borderId="0" xfId="40" applyFont="1" applyAlignment="1">
      <alignment horizontal="left" vertical="center"/>
    </xf>
    <xf numFmtId="0" fontId="28" fillId="0" borderId="0" xfId="45" applyFont="1" applyAlignment="1">
      <alignment vertical="center"/>
    </xf>
    <xf numFmtId="169" fontId="30" fillId="0" borderId="0" xfId="45" applyNumberFormat="1" applyFont="1" applyAlignment="1">
      <alignment horizontal="left" vertical="center"/>
    </xf>
    <xf numFmtId="0" fontId="32" fillId="0" borderId="0" xfId="45" applyFont="1" applyAlignment="1">
      <alignment vertical="center"/>
    </xf>
    <xf numFmtId="4" fontId="30" fillId="0" borderId="0" xfId="35" applyNumberFormat="1" applyFont="1" applyFill="1" applyBorder="1" applyAlignment="1" applyProtection="1">
      <alignment vertical="center"/>
    </xf>
    <xf numFmtId="4" fontId="28" fillId="0" borderId="0" xfId="35" applyNumberFormat="1" applyFont="1" applyFill="1" applyBorder="1" applyAlignment="1" applyProtection="1">
      <alignment horizontal="right" vertical="center"/>
    </xf>
    <xf numFmtId="4" fontId="28" fillId="0" borderId="0" xfId="35" applyNumberFormat="1" applyFont="1" applyFill="1" applyBorder="1" applyAlignment="1" applyProtection="1">
      <alignment vertical="center"/>
    </xf>
    <xf numFmtId="169" fontId="30" fillId="0" borderId="12" xfId="45" applyNumberFormat="1" applyFont="1" applyBorder="1" applyAlignment="1">
      <alignment horizontal="left" vertical="center"/>
    </xf>
    <xf numFmtId="3" fontId="28" fillId="0" borderId="12" xfId="35" applyNumberFormat="1" applyFont="1" applyFill="1" applyBorder="1" applyAlignment="1" applyProtection="1">
      <alignment vertical="center"/>
    </xf>
    <xf numFmtId="3" fontId="28" fillId="0" borderId="0" xfId="45" applyNumberFormat="1" applyFont="1" applyAlignment="1">
      <alignment vertical="center"/>
    </xf>
    <xf numFmtId="3" fontId="30" fillId="0" borderId="0" xfId="35" applyNumberFormat="1" applyFont="1" applyFill="1" applyBorder="1" applyAlignment="1" applyProtection="1">
      <alignment vertical="center"/>
    </xf>
    <xf numFmtId="37" fontId="28" fillId="0" borderId="0" xfId="45" applyNumberFormat="1" applyFont="1" applyAlignment="1">
      <alignment horizontal="right" vertical="center"/>
    </xf>
    <xf numFmtId="3" fontId="28" fillId="0" borderId="0" xfId="45" applyNumberFormat="1" applyFont="1" applyAlignment="1">
      <alignment horizontal="right" vertical="center"/>
    </xf>
    <xf numFmtId="190" fontId="28" fillId="0" borderId="0" xfId="45" applyNumberFormat="1" applyFont="1" applyAlignment="1">
      <alignment horizontal="right" vertical="center"/>
    </xf>
    <xf numFmtId="37" fontId="28" fillId="0" borderId="0" xfId="44" applyFont="1" applyAlignment="1">
      <alignment horizontal="left" vertical="center"/>
    </xf>
    <xf numFmtId="37" fontId="28" fillId="0" borderId="0" xfId="44" applyFont="1" applyAlignment="1">
      <alignment horizontal="centerContinuous" vertical="center"/>
    </xf>
    <xf numFmtId="37" fontId="28" fillId="0" borderId="0" xfId="44" applyFont="1" applyAlignment="1">
      <alignment vertical="center"/>
    </xf>
    <xf numFmtId="37" fontId="28" fillId="0" borderId="12" xfId="44" applyFont="1" applyBorder="1" applyAlignment="1">
      <alignment vertical="center"/>
    </xf>
    <xf numFmtId="37" fontId="28" fillId="0" borderId="12" xfId="44" applyFont="1" applyBorder="1" applyAlignment="1">
      <alignment horizontal="left" vertical="center"/>
    </xf>
    <xf numFmtId="3" fontId="28" fillId="0" borderId="12" xfId="40" applyNumberFormat="1" applyFont="1" applyBorder="1" applyAlignment="1">
      <alignment vertical="center"/>
    </xf>
    <xf numFmtId="0" fontId="28" fillId="0" borderId="0" xfId="40" quotePrefix="1" applyFont="1" applyAlignment="1">
      <alignment vertical="center"/>
    </xf>
    <xf numFmtId="0" fontId="30" fillId="0" borderId="0" xfId="40" quotePrefix="1" applyFont="1" applyAlignment="1">
      <alignment vertical="center"/>
    </xf>
    <xf numFmtId="0" fontId="28" fillId="0" borderId="0" xfId="40" quotePrefix="1" applyFont="1" applyAlignment="1">
      <alignment horizontal="left" vertical="center"/>
    </xf>
    <xf numFmtId="175" fontId="28" fillId="0" borderId="0" xfId="40" applyNumberFormat="1" applyFont="1" applyAlignment="1">
      <alignment vertical="center"/>
    </xf>
    <xf numFmtId="3" fontId="28" fillId="0" borderId="0" xfId="40" applyNumberFormat="1" applyFont="1" applyAlignment="1">
      <alignment horizontal="right" vertical="center"/>
    </xf>
    <xf numFmtId="4" fontId="28" fillId="0" borderId="0" xfId="40" applyNumberFormat="1" applyFont="1" applyAlignment="1">
      <alignment vertical="center"/>
    </xf>
    <xf numFmtId="0" fontId="30" fillId="0" borderId="0" xfId="40" applyFont="1" applyAlignment="1">
      <alignment vertical="center"/>
    </xf>
    <xf numFmtId="0" fontId="28" fillId="0" borderId="12" xfId="40" quotePrefix="1" applyFont="1" applyBorder="1" applyAlignment="1">
      <alignment horizontal="center" vertical="center"/>
    </xf>
    <xf numFmtId="0" fontId="30" fillId="0" borderId="0" xfId="40" applyFont="1" applyAlignment="1">
      <alignment horizontal="centerContinuous" vertical="center"/>
    </xf>
    <xf numFmtId="0" fontId="28" fillId="0" borderId="0" xfId="40" applyFont="1" applyAlignment="1">
      <alignment horizontal="centerContinuous" vertical="center"/>
    </xf>
    <xf numFmtId="0" fontId="30" fillId="0" borderId="10" xfId="40" applyFont="1" applyBorder="1" applyAlignment="1">
      <alignment horizontal="centerContinuous" vertical="center"/>
    </xf>
    <xf numFmtId="2" fontId="30" fillId="0" borderId="10" xfId="40" applyNumberFormat="1" applyFont="1" applyBorder="1" applyAlignment="1">
      <alignment horizontal="centerContinuous" vertical="center"/>
    </xf>
    <xf numFmtId="0" fontId="28" fillId="0" borderId="13" xfId="40" applyFont="1" applyBorder="1" applyAlignment="1">
      <alignment vertical="center"/>
    </xf>
    <xf numFmtId="0" fontId="28" fillId="0" borderId="13" xfId="40" applyFont="1" applyBorder="1" applyAlignment="1">
      <alignment horizontal="centerContinuous" vertical="center"/>
    </xf>
    <xf numFmtId="0" fontId="28" fillId="0" borderId="10" xfId="40" applyFont="1" applyBorder="1" applyAlignment="1">
      <alignment vertical="center"/>
    </xf>
    <xf numFmtId="2" fontId="28" fillId="0" borderId="10" xfId="40" applyNumberFormat="1" applyFont="1" applyBorder="1" applyAlignment="1">
      <alignment vertical="center"/>
    </xf>
    <xf numFmtId="2" fontId="28" fillId="0" borderId="0" xfId="40" applyNumberFormat="1" applyFont="1" applyAlignment="1">
      <alignment horizontal="right" vertical="center"/>
    </xf>
    <xf numFmtId="2" fontId="28" fillId="0" borderId="0" xfId="40" applyNumberFormat="1" applyFont="1" applyAlignment="1">
      <alignment vertical="center"/>
    </xf>
    <xf numFmtId="0" fontId="28" fillId="0" borderId="12" xfId="40" quotePrefix="1" applyFont="1" applyBorder="1" applyAlignment="1">
      <alignment horizontal="left" vertical="center"/>
    </xf>
    <xf numFmtId="2" fontId="28" fillId="0" borderId="12" xfId="40" applyNumberFormat="1" applyFont="1" applyBorder="1" applyAlignment="1">
      <alignment horizontal="right" vertical="center"/>
    </xf>
    <xf numFmtId="0" fontId="30" fillId="0" borderId="0" xfId="40" quotePrefix="1" applyFont="1" applyAlignment="1">
      <alignment horizontal="left" vertical="center"/>
    </xf>
    <xf numFmtId="2" fontId="28" fillId="0" borderId="11" xfId="40" applyNumberFormat="1" applyFont="1" applyBorder="1" applyAlignment="1">
      <alignment horizontal="right" vertical="center"/>
    </xf>
    <xf numFmtId="2" fontId="28" fillId="0" borderId="12" xfId="40" applyNumberFormat="1" applyFont="1" applyBorder="1" applyAlignment="1">
      <alignment vertical="center"/>
    </xf>
    <xf numFmtId="2" fontId="30" fillId="0" borderId="0" xfId="40" applyNumberFormat="1" applyFont="1" applyAlignment="1">
      <alignment vertical="center"/>
    </xf>
    <xf numFmtId="169" fontId="28" fillId="0" borderId="0" xfId="41" quotePrefix="1" applyFont="1" applyAlignment="1">
      <alignment horizontal="left" vertical="center"/>
    </xf>
    <xf numFmtId="169" fontId="28" fillId="0" borderId="0" xfId="41" quotePrefix="1" applyFont="1" applyAlignment="1">
      <alignment horizontal="center" vertical="center"/>
    </xf>
    <xf numFmtId="169" fontId="28" fillId="0" borderId="0" xfId="41" applyFont="1" applyAlignment="1">
      <alignment vertical="center"/>
    </xf>
    <xf numFmtId="169" fontId="28" fillId="0" borderId="0" xfId="41" applyFont="1" applyAlignment="1">
      <alignment horizontal="center" vertical="center"/>
    </xf>
    <xf numFmtId="4" fontId="30" fillId="0" borderId="0" xfId="41" applyNumberFormat="1" applyFont="1" applyAlignment="1">
      <alignment vertical="center"/>
    </xf>
    <xf numFmtId="176" fontId="28" fillId="0" borderId="0" xfId="41" applyNumberFormat="1" applyFont="1" applyAlignment="1">
      <alignment horizontal="right" vertical="center"/>
    </xf>
    <xf numFmtId="4" fontId="28" fillId="0" borderId="0" xfId="41" applyNumberFormat="1" applyFont="1" applyAlignment="1">
      <alignment vertical="center"/>
    </xf>
    <xf numFmtId="175" fontId="28" fillId="0" borderId="0" xfId="41" applyNumberFormat="1" applyFont="1" applyAlignment="1">
      <alignment vertical="center"/>
    </xf>
    <xf numFmtId="169" fontId="28" fillId="0" borderId="12" xfId="41" applyFont="1" applyBorder="1" applyAlignment="1">
      <alignment vertical="center"/>
    </xf>
    <xf numFmtId="169" fontId="28" fillId="0" borderId="0" xfId="41" quotePrefix="1" applyFont="1" applyAlignment="1">
      <alignment vertical="center"/>
    </xf>
    <xf numFmtId="174" fontId="28" fillId="0" borderId="0" xfId="41" applyNumberFormat="1" applyFont="1" applyAlignment="1">
      <alignment vertical="center"/>
    </xf>
    <xf numFmtId="169" fontId="28" fillId="0" borderId="0" xfId="42" applyFont="1" applyAlignment="1">
      <alignment vertical="center"/>
    </xf>
    <xf numFmtId="169" fontId="28" fillId="0" borderId="0" xfId="42" applyFont="1" applyAlignment="1">
      <alignment horizontal="center" vertical="center"/>
    </xf>
    <xf numFmtId="169" fontId="28" fillId="0" borderId="0" xfId="42" quotePrefix="1" applyFont="1" applyAlignment="1">
      <alignment vertical="center"/>
    </xf>
    <xf numFmtId="169" fontId="28" fillId="0" borderId="0" xfId="42" quotePrefix="1" applyFont="1" applyAlignment="1">
      <alignment horizontal="center" vertical="center"/>
    </xf>
    <xf numFmtId="169" fontId="28" fillId="0" borderId="12" xfId="42" applyFont="1" applyBorder="1" applyAlignment="1">
      <alignment horizontal="center" vertical="center"/>
    </xf>
    <xf numFmtId="169" fontId="28" fillId="0" borderId="0" xfId="42" quotePrefix="1" applyFont="1" applyAlignment="1">
      <alignment horizontal="left" vertical="center"/>
    </xf>
    <xf numFmtId="169" fontId="28" fillId="0" borderId="0" xfId="42" applyFont="1" applyAlignment="1">
      <alignment horizontal="left" vertical="center"/>
    </xf>
    <xf numFmtId="169" fontId="28" fillId="0" borderId="12" xfId="42" applyFont="1" applyBorder="1" applyAlignment="1">
      <alignment vertical="center"/>
    </xf>
    <xf numFmtId="3" fontId="28" fillId="0" borderId="0" xfId="41" applyNumberFormat="1" applyFont="1" applyAlignment="1">
      <alignment vertical="center"/>
    </xf>
    <xf numFmtId="173" fontId="30" fillId="0" borderId="12" xfId="38" applyNumberFormat="1" applyFont="1" applyBorder="1" applyAlignment="1">
      <alignment vertical="center"/>
    </xf>
    <xf numFmtId="175" fontId="28" fillId="0" borderId="0" xfId="42" applyNumberFormat="1" applyFont="1" applyAlignment="1">
      <alignment vertical="center"/>
    </xf>
    <xf numFmtId="169" fontId="28" fillId="0" borderId="12" xfId="42" applyFont="1" applyBorder="1" applyAlignment="1">
      <alignment horizontal="left" vertical="center"/>
    </xf>
    <xf numFmtId="175" fontId="30" fillId="0" borderId="0" xfId="42" applyNumberFormat="1" applyFont="1" applyAlignment="1">
      <alignment vertical="center"/>
    </xf>
    <xf numFmtId="169" fontId="28" fillId="0" borderId="0" xfId="41" applyFont="1" applyAlignment="1">
      <alignment horizontal="left" vertical="center"/>
    </xf>
    <xf numFmtId="174" fontId="28" fillId="0" borderId="0" xfId="41" applyNumberFormat="1" applyFont="1" applyAlignment="1">
      <alignment horizontal="right" vertical="center"/>
    </xf>
    <xf numFmtId="169" fontId="28" fillId="0" borderId="12" xfId="41" applyFont="1" applyBorder="1" applyAlignment="1">
      <alignment horizontal="left" vertical="center"/>
    </xf>
    <xf numFmtId="175" fontId="28" fillId="0" borderId="0" xfId="41" applyNumberFormat="1" applyFont="1" applyAlignment="1">
      <alignment horizontal="right" vertical="center"/>
    </xf>
    <xf numFmtId="169" fontId="28" fillId="0" borderId="0" xfId="41" applyFont="1" applyAlignment="1">
      <alignment horizontal="right" vertical="center"/>
    </xf>
    <xf numFmtId="3" fontId="28" fillId="0" borderId="12" xfId="41" applyNumberFormat="1" applyFont="1" applyBorder="1" applyAlignment="1">
      <alignment vertical="center"/>
    </xf>
    <xf numFmtId="37" fontId="28" fillId="0" borderId="0" xfId="41" applyNumberFormat="1" applyFont="1" applyAlignment="1">
      <alignment vertical="center"/>
    </xf>
    <xf numFmtId="0" fontId="28" fillId="0" borderId="0" xfId="40" applyFont="1" applyAlignment="1">
      <alignment horizontal="right" vertical="center"/>
    </xf>
    <xf numFmtId="181" fontId="28" fillId="0" borderId="0" xfId="41" applyNumberFormat="1" applyFont="1" applyAlignment="1">
      <alignment vertical="center"/>
    </xf>
    <xf numFmtId="4" fontId="28" fillId="0" borderId="0" xfId="45" applyNumberFormat="1" applyFont="1" applyAlignment="1">
      <alignment vertical="center"/>
    </xf>
    <xf numFmtId="0" fontId="30" fillId="0" borderId="0" xfId="45" applyFont="1" applyAlignment="1">
      <alignment horizontal="center" vertical="center"/>
    </xf>
    <xf numFmtId="0" fontId="30" fillId="0" borderId="0" xfId="45" applyFont="1" applyAlignment="1">
      <alignment vertical="center"/>
    </xf>
    <xf numFmtId="185" fontId="28" fillId="0" borderId="0" xfId="40" applyNumberFormat="1" applyFont="1" applyAlignment="1">
      <alignment vertical="center"/>
    </xf>
    <xf numFmtId="185" fontId="28" fillId="0" borderId="0" xfId="40" applyNumberFormat="1" applyFont="1" applyAlignment="1">
      <alignment horizontal="right" vertical="center"/>
    </xf>
    <xf numFmtId="174" fontId="28" fillId="0" borderId="0" xfId="34" applyNumberFormat="1" applyFont="1" applyFill="1" applyAlignment="1">
      <alignment vertical="center"/>
    </xf>
    <xf numFmtId="4" fontId="28" fillId="0" borderId="12" xfId="40" applyNumberFormat="1" applyFont="1" applyBorder="1" applyAlignment="1">
      <alignment vertical="center"/>
    </xf>
    <xf numFmtId="0" fontId="28" fillId="0" borderId="0" xfId="39" applyFont="1" applyAlignment="1">
      <alignment vertical="center"/>
    </xf>
    <xf numFmtId="3" fontId="28" fillId="0" borderId="0" xfId="39" applyNumberFormat="1" applyFont="1" applyAlignment="1">
      <alignment vertical="center"/>
    </xf>
    <xf numFmtId="0" fontId="35" fillId="0" borderId="0" xfId="38" quotePrefix="1" applyFont="1"/>
    <xf numFmtId="195" fontId="28" fillId="0" borderId="0" xfId="38" applyNumberFormat="1" applyFont="1" applyAlignment="1">
      <alignment vertical="center"/>
    </xf>
    <xf numFmtId="195" fontId="28" fillId="0" borderId="0" xfId="46" applyNumberFormat="1" applyFont="1" applyAlignment="1">
      <alignment horizontal="right" vertical="center"/>
    </xf>
    <xf numFmtId="195" fontId="28" fillId="0" borderId="0" xfId="38" applyNumberFormat="1" applyFont="1" applyAlignment="1">
      <alignment horizontal="right" vertical="center"/>
    </xf>
    <xf numFmtId="0" fontId="35" fillId="0" borderId="0" xfId="38" quotePrefix="1" applyFont="1" applyAlignment="1">
      <alignment vertical="top"/>
    </xf>
    <xf numFmtId="3" fontId="28" fillId="0" borderId="0" xfId="38" quotePrefix="1" applyNumberFormat="1" applyFont="1" applyAlignment="1">
      <alignment horizontal="center" vertical="top"/>
    </xf>
    <xf numFmtId="0" fontId="28" fillId="0" borderId="0" xfId="38" applyFont="1" applyAlignment="1">
      <alignment vertical="top"/>
    </xf>
    <xf numFmtId="169" fontId="35" fillId="0" borderId="0" xfId="0" applyNumberFormat="1" applyFont="1"/>
    <xf numFmtId="0" fontId="33" fillId="0" borderId="0" xfId="39" applyFont="1" applyAlignment="1">
      <alignment horizontal="fill" vertical="center"/>
    </xf>
    <xf numFmtId="0" fontId="35" fillId="0" borderId="0" xfId="39" applyFont="1"/>
    <xf numFmtId="3" fontId="33" fillId="0" borderId="0" xfId="40" applyNumberFormat="1" applyFont="1" applyAlignment="1">
      <alignment vertical="center"/>
    </xf>
    <xf numFmtId="4" fontId="33" fillId="0" borderId="0" xfId="40" applyNumberFormat="1" applyFont="1" applyAlignment="1">
      <alignment vertical="center"/>
    </xf>
    <xf numFmtId="0" fontId="33" fillId="0" borderId="0" xfId="40" applyFont="1" applyAlignment="1">
      <alignment vertical="center"/>
    </xf>
    <xf numFmtId="169" fontId="33" fillId="0" borderId="0" xfId="40" quotePrefix="1" applyNumberFormat="1" applyFont="1" applyAlignment="1">
      <alignment horizontal="left" vertical="center"/>
    </xf>
    <xf numFmtId="4" fontId="28" fillId="0" borderId="10" xfId="40" applyNumberFormat="1" applyFont="1" applyBorder="1" applyAlignment="1">
      <alignment vertical="center"/>
    </xf>
    <xf numFmtId="3" fontId="35" fillId="0" borderId="0" xfId="40" applyNumberFormat="1" applyFont="1"/>
    <xf numFmtId="0" fontId="35" fillId="0" borderId="0" xfId="40" applyFont="1" applyAlignment="1">
      <alignment vertical="center"/>
    </xf>
    <xf numFmtId="0" fontId="35" fillId="0" borderId="0" xfId="40" applyFont="1"/>
    <xf numFmtId="0" fontId="35" fillId="0" borderId="0" xfId="40" applyFont="1" applyAlignment="1">
      <alignment vertical="top"/>
    </xf>
    <xf numFmtId="3" fontId="33" fillId="0" borderId="0" xfId="40" applyNumberFormat="1" applyFont="1" applyAlignment="1">
      <alignment horizontal="right" vertical="center"/>
    </xf>
    <xf numFmtId="185" fontId="33" fillId="0" borderId="0" xfId="40" applyNumberFormat="1" applyFont="1" applyAlignment="1">
      <alignment vertical="center"/>
    </xf>
    <xf numFmtId="0" fontId="35" fillId="0" borderId="0" xfId="40" quotePrefix="1" applyFont="1" applyAlignment="1">
      <alignment vertical="top"/>
    </xf>
    <xf numFmtId="195" fontId="30" fillId="0" borderId="0" xfId="40" applyNumberFormat="1" applyFont="1" applyAlignment="1">
      <alignment vertical="center"/>
    </xf>
    <xf numFmtId="195" fontId="28" fillId="0" borderId="0" xfId="40" applyNumberFormat="1" applyFont="1" applyAlignment="1">
      <alignment vertical="center"/>
    </xf>
    <xf numFmtId="196" fontId="30" fillId="0" borderId="0" xfId="40" applyNumberFormat="1" applyFont="1" applyAlignment="1">
      <alignment vertical="center"/>
    </xf>
    <xf numFmtId="196" fontId="28" fillId="0" borderId="0" xfId="40" applyNumberFormat="1" applyFont="1" applyAlignment="1">
      <alignment vertical="center"/>
    </xf>
    <xf numFmtId="197" fontId="30" fillId="0" borderId="0" xfId="40" applyNumberFormat="1" applyFont="1" applyAlignment="1">
      <alignment vertical="center"/>
    </xf>
    <xf numFmtId="197" fontId="28" fillId="0" borderId="0" xfId="40" applyNumberFormat="1" applyFont="1" applyAlignment="1">
      <alignment vertical="center"/>
    </xf>
    <xf numFmtId="0" fontId="35" fillId="0" borderId="0" xfId="40" quotePrefix="1" applyFont="1"/>
    <xf numFmtId="192" fontId="30" fillId="0" borderId="0" xfId="0" applyNumberFormat="1" applyFont="1" applyAlignment="1">
      <alignment vertical="center"/>
    </xf>
    <xf numFmtId="192" fontId="28" fillId="0" borderId="0" xfId="0" applyNumberFormat="1" applyFont="1" applyAlignment="1">
      <alignment vertical="center"/>
    </xf>
    <xf numFmtId="192" fontId="28" fillId="0" borderId="12" xfId="0" applyNumberFormat="1" applyFont="1" applyBorder="1" applyAlignment="1">
      <alignment vertical="center"/>
    </xf>
    <xf numFmtId="193" fontId="28" fillId="0" borderId="0" xfId="0" applyNumberFormat="1" applyFont="1" applyAlignment="1">
      <alignment vertical="center"/>
    </xf>
    <xf numFmtId="198" fontId="28" fillId="0" borderId="0" xfId="0" applyNumberFormat="1" applyFont="1" applyAlignment="1">
      <alignment vertical="center"/>
    </xf>
    <xf numFmtId="198" fontId="28" fillId="0" borderId="0" xfId="32" quotePrefix="1" applyNumberFormat="1" applyFont="1" applyFill="1" applyBorder="1" applyAlignment="1" applyProtection="1">
      <alignment horizontal="right" vertical="center"/>
    </xf>
    <xf numFmtId="198" fontId="28" fillId="0" borderId="12" xfId="32" quotePrefix="1" applyNumberFormat="1" applyFont="1" applyFill="1" applyBorder="1" applyAlignment="1" applyProtection="1">
      <alignment horizontal="right" vertical="center"/>
    </xf>
    <xf numFmtId="193" fontId="28" fillId="0" borderId="12" xfId="0" applyNumberFormat="1" applyFont="1" applyBorder="1" applyAlignment="1">
      <alignment vertical="center"/>
    </xf>
    <xf numFmtId="0" fontId="37" fillId="0" borderId="0" xfId="45" applyFont="1" applyAlignment="1">
      <alignment horizontal="centerContinuous" vertical="center"/>
    </xf>
    <xf numFmtId="0" fontId="35" fillId="0" borderId="0" xfId="45" applyFont="1" applyAlignment="1">
      <alignment vertical="center"/>
    </xf>
    <xf numFmtId="0" fontId="35" fillId="0" borderId="0" xfId="45" applyFont="1" applyAlignment="1">
      <alignment vertical="top"/>
    </xf>
    <xf numFmtId="0" fontId="35" fillId="0" borderId="0" xfId="45" applyFont="1"/>
    <xf numFmtId="195" fontId="28" fillId="0" borderId="0" xfId="45" applyNumberFormat="1" applyFont="1" applyAlignment="1">
      <alignment horizontal="right" vertical="center"/>
    </xf>
    <xf numFmtId="195" fontId="30" fillId="0" borderId="0" xfId="35" applyNumberFormat="1" applyFont="1" applyFill="1" applyBorder="1" applyAlignment="1" applyProtection="1">
      <alignment horizontal="right" vertical="center"/>
    </xf>
    <xf numFmtId="195" fontId="28" fillId="0" borderId="0" xfId="35" applyNumberFormat="1" applyFont="1" applyFill="1" applyBorder="1" applyAlignment="1" applyProtection="1">
      <alignment horizontal="right" vertical="center"/>
    </xf>
    <xf numFmtId="0" fontId="43" fillId="0" borderId="0" xfId="45" applyFont="1" applyAlignment="1">
      <alignment vertical="center"/>
    </xf>
    <xf numFmtId="0" fontId="33" fillId="0" borderId="0" xfId="45" applyFont="1" applyAlignment="1">
      <alignment vertical="center"/>
    </xf>
    <xf numFmtId="3" fontId="43" fillId="0" borderId="0" xfId="45" applyNumberFormat="1" applyFont="1" applyAlignment="1">
      <alignment vertical="center"/>
    </xf>
    <xf numFmtId="3" fontId="33" fillId="0" borderId="0" xfId="45" applyNumberFormat="1" applyFont="1" applyAlignment="1">
      <alignment vertical="center"/>
    </xf>
    <xf numFmtId="4" fontId="33" fillId="0" borderId="0" xfId="45" applyNumberFormat="1" applyFont="1" applyAlignment="1">
      <alignment vertical="center"/>
    </xf>
    <xf numFmtId="0" fontId="44" fillId="0" borderId="0" xfId="45" applyFont="1"/>
    <xf numFmtId="0" fontId="44" fillId="0" borderId="0" xfId="45" applyFont="1" applyAlignment="1">
      <alignment vertical="center"/>
    </xf>
    <xf numFmtId="0" fontId="44" fillId="0" borderId="0" xfId="45" applyFont="1" applyAlignment="1">
      <alignment vertical="top"/>
    </xf>
    <xf numFmtId="199" fontId="30" fillId="0" borderId="0" xfId="35" applyNumberFormat="1" applyFont="1" applyFill="1" applyBorder="1" applyAlignment="1" applyProtection="1">
      <alignment horizontal="right" vertical="center"/>
    </xf>
    <xf numFmtId="199" fontId="28" fillId="0" borderId="0" xfId="45" applyNumberFormat="1" applyFont="1" applyAlignment="1">
      <alignment horizontal="right" vertical="center"/>
    </xf>
    <xf numFmtId="200" fontId="30" fillId="0" borderId="0" xfId="35" applyNumberFormat="1" applyFont="1" applyFill="1" applyBorder="1" applyAlignment="1" applyProtection="1">
      <alignment horizontal="right" vertical="center"/>
    </xf>
    <xf numFmtId="200" fontId="28" fillId="0" borderId="0" xfId="45" applyNumberFormat="1" applyFont="1" applyAlignment="1">
      <alignment horizontal="right" vertical="center"/>
    </xf>
    <xf numFmtId="4" fontId="30" fillId="0" borderId="0" xfId="35" applyNumberFormat="1" applyFont="1" applyFill="1" applyBorder="1" applyAlignment="1" applyProtection="1">
      <alignment horizontal="center" vertical="center"/>
    </xf>
    <xf numFmtId="4" fontId="28" fillId="0" borderId="0" xfId="35" applyNumberFormat="1" applyFont="1" applyFill="1" applyBorder="1" applyAlignment="1" applyProtection="1">
      <alignment horizontal="center" vertical="center"/>
    </xf>
    <xf numFmtId="199" fontId="28" fillId="0" borderId="0" xfId="35" applyNumberFormat="1" applyFont="1" applyFill="1" applyBorder="1" applyAlignment="1" applyProtection="1">
      <alignment horizontal="right" vertical="center"/>
    </xf>
    <xf numFmtId="200" fontId="28" fillId="0" borderId="0" xfId="35" applyNumberFormat="1" applyFont="1" applyFill="1" applyBorder="1" applyAlignment="1" applyProtection="1">
      <alignment horizontal="right" vertical="center"/>
    </xf>
    <xf numFmtId="196" fontId="30" fillId="0" borderId="0" xfId="35" applyNumberFormat="1" applyFont="1" applyFill="1" applyBorder="1" applyAlignment="1" applyProtection="1">
      <alignment horizontal="right" vertical="center"/>
    </xf>
    <xf numFmtId="196" fontId="28" fillId="0" borderId="0" xfId="35" applyNumberFormat="1" applyFont="1" applyFill="1" applyBorder="1" applyAlignment="1" applyProtection="1">
      <alignment horizontal="right" vertical="center"/>
    </xf>
    <xf numFmtId="4" fontId="28" fillId="0" borderId="0" xfId="45" applyNumberFormat="1" applyFont="1" applyAlignment="1">
      <alignment horizontal="center" vertical="center"/>
    </xf>
    <xf numFmtId="169" fontId="35" fillId="0" borderId="0" xfId="41" applyFont="1" applyAlignment="1">
      <alignment vertical="center"/>
    </xf>
    <xf numFmtId="169" fontId="44" fillId="0" borderId="0" xfId="41" applyFont="1" applyAlignment="1">
      <alignment vertical="center"/>
    </xf>
    <xf numFmtId="0" fontId="44" fillId="0" borderId="0" xfId="40" applyFont="1" applyAlignment="1">
      <alignment vertical="center"/>
    </xf>
    <xf numFmtId="169" fontId="44" fillId="0" borderId="0" xfId="41" quotePrefix="1" applyFont="1" applyAlignment="1">
      <alignment vertical="center"/>
    </xf>
    <xf numFmtId="169" fontId="35" fillId="0" borderId="0" xfId="41" applyFont="1"/>
    <xf numFmtId="169" fontId="44" fillId="0" borderId="0" xfId="41" applyFont="1"/>
    <xf numFmtId="0" fontId="44" fillId="0" borderId="0" xfId="40" applyFont="1"/>
    <xf numFmtId="169" fontId="35" fillId="0" borderId="0" xfId="41" applyFont="1" applyAlignment="1">
      <alignment vertical="top"/>
    </xf>
    <xf numFmtId="169" fontId="44" fillId="0" borderId="0" xfId="41" applyFont="1" applyAlignment="1">
      <alignment vertical="top"/>
    </xf>
    <xf numFmtId="0" fontId="44" fillId="0" borderId="0" xfId="40" applyFont="1" applyAlignment="1">
      <alignment vertical="top"/>
    </xf>
    <xf numFmtId="169" fontId="44" fillId="0" borderId="0" xfId="41" quotePrefix="1" applyFont="1" applyAlignment="1">
      <alignment vertical="top"/>
    </xf>
    <xf numFmtId="169" fontId="33" fillId="0" borderId="0" xfId="41" applyFont="1" applyAlignment="1">
      <alignment vertical="center"/>
    </xf>
    <xf numFmtId="3" fontId="33" fillId="0" borderId="0" xfId="41" applyNumberFormat="1" applyFont="1" applyAlignment="1">
      <alignment vertical="center"/>
    </xf>
    <xf numFmtId="175" fontId="33" fillId="0" borderId="0" xfId="41" applyNumberFormat="1" applyFont="1" applyAlignment="1">
      <alignment vertical="center"/>
    </xf>
    <xf numFmtId="199" fontId="28" fillId="0" borderId="0" xfId="41" applyNumberFormat="1" applyFont="1" applyAlignment="1">
      <alignment vertical="center"/>
    </xf>
    <xf numFmtId="199" fontId="28" fillId="0" borderId="12" xfId="41" applyNumberFormat="1" applyFont="1" applyBorder="1" applyAlignment="1">
      <alignment vertical="center"/>
    </xf>
    <xf numFmtId="174" fontId="28" fillId="0" borderId="0" xfId="41" applyNumberFormat="1" applyFont="1" applyAlignment="1">
      <alignment horizontal="center" vertical="center"/>
    </xf>
    <xf numFmtId="174" fontId="28" fillId="0" borderId="12" xfId="41" applyNumberFormat="1" applyFont="1" applyBorder="1" applyAlignment="1">
      <alignment horizontal="center" vertical="center"/>
    </xf>
    <xf numFmtId="200" fontId="28" fillId="0" borderId="0" xfId="41" applyNumberFormat="1" applyFont="1" applyAlignment="1">
      <alignment vertical="center"/>
    </xf>
    <xf numFmtId="200" fontId="28" fillId="0" borderId="12" xfId="41" applyNumberFormat="1" applyFont="1" applyBorder="1" applyAlignment="1">
      <alignment vertical="center"/>
    </xf>
    <xf numFmtId="175" fontId="28" fillId="0" borderId="0" xfId="41" applyNumberFormat="1" applyFont="1" applyAlignment="1">
      <alignment horizontal="center" vertical="center"/>
    </xf>
    <xf numFmtId="175" fontId="28" fillId="0" borderId="12" xfId="41" applyNumberFormat="1" applyFont="1" applyBorder="1" applyAlignment="1">
      <alignment horizontal="center" vertical="center"/>
    </xf>
    <xf numFmtId="175" fontId="28" fillId="0" borderId="0" xfId="40" applyNumberFormat="1" applyFont="1" applyAlignment="1">
      <alignment horizontal="center" vertical="center"/>
    </xf>
    <xf numFmtId="175" fontId="28" fillId="0" borderId="12" xfId="40" applyNumberFormat="1" applyFont="1" applyBorder="1" applyAlignment="1">
      <alignment horizontal="center" vertical="center"/>
    </xf>
    <xf numFmtId="198" fontId="28" fillId="0" borderId="0" xfId="41" applyNumberFormat="1" applyFont="1" applyAlignment="1">
      <alignment horizontal="right" vertical="center"/>
    </xf>
    <xf numFmtId="198" fontId="28" fillId="0" borderId="12" xfId="41" applyNumberFormat="1" applyFont="1" applyBorder="1" applyAlignment="1">
      <alignment horizontal="right" vertical="center"/>
    </xf>
    <xf numFmtId="169" fontId="33" fillId="0" borderId="0" xfId="42" applyFont="1" applyAlignment="1">
      <alignment vertical="center"/>
    </xf>
    <xf numFmtId="169" fontId="35" fillId="0" borderId="0" xfId="42" quotePrefix="1" applyFont="1" applyAlignment="1">
      <alignment vertical="center"/>
    </xf>
    <xf numFmtId="195" fontId="28" fillId="0" borderId="0" xfId="42" applyNumberFormat="1" applyFont="1" applyAlignment="1">
      <alignment vertical="center"/>
    </xf>
    <xf numFmtId="192" fontId="28" fillId="0" borderId="12" xfId="42" applyNumberFormat="1" applyFont="1" applyBorder="1" applyAlignment="1">
      <alignment vertical="center"/>
    </xf>
    <xf numFmtId="192" fontId="28" fillId="0" borderId="0" xfId="42" applyNumberFormat="1" applyFont="1" applyAlignment="1">
      <alignment vertical="center"/>
    </xf>
    <xf numFmtId="200" fontId="28" fillId="0" borderId="12" xfId="42" applyNumberFormat="1" applyFont="1" applyBorder="1" applyAlignment="1">
      <alignment horizontal="right" vertical="center"/>
    </xf>
    <xf numFmtId="198" fontId="33" fillId="0" borderId="0" xfId="41" applyNumberFormat="1" applyFont="1" applyAlignment="1">
      <alignment vertical="center"/>
    </xf>
    <xf numFmtId="169" fontId="35" fillId="0" borderId="0" xfId="42" quotePrefix="1" applyFont="1"/>
    <xf numFmtId="0" fontId="37" fillId="0" borderId="0" xfId="38" applyFont="1" applyAlignment="1">
      <alignment vertical="center"/>
    </xf>
    <xf numFmtId="169" fontId="35" fillId="0" borderId="0" xfId="38" quotePrefix="1" applyNumberFormat="1" applyFont="1"/>
    <xf numFmtId="0" fontId="35" fillId="0" borderId="0" xfId="38" applyFont="1"/>
    <xf numFmtId="169" fontId="35" fillId="0" borderId="0" xfId="38" applyNumberFormat="1" applyFont="1" applyAlignment="1">
      <alignment vertical="top"/>
    </xf>
    <xf numFmtId="0" fontId="35" fillId="0" borderId="0" xfId="38" applyFont="1" applyAlignment="1">
      <alignment vertical="top"/>
    </xf>
    <xf numFmtId="188" fontId="28" fillId="0" borderId="0" xfId="38" applyNumberFormat="1" applyFont="1" applyAlignment="1">
      <alignment horizontal="center" vertical="center"/>
    </xf>
    <xf numFmtId="199" fontId="28" fillId="0" borderId="0" xfId="38" applyNumberFormat="1" applyFont="1" applyAlignment="1">
      <alignment vertical="center"/>
    </xf>
    <xf numFmtId="181" fontId="28" fillId="0" borderId="0" xfId="38" applyNumberFormat="1" applyFont="1" applyAlignment="1">
      <alignment horizontal="center" vertical="center"/>
    </xf>
    <xf numFmtId="181" fontId="30" fillId="0" borderId="0" xfId="38" applyNumberFormat="1" applyFont="1" applyAlignment="1">
      <alignment horizontal="center" vertical="center"/>
    </xf>
    <xf numFmtId="199" fontId="28" fillId="0" borderId="0" xfId="38" applyNumberFormat="1" applyFont="1" applyAlignment="1">
      <alignment horizontal="right" vertical="center"/>
    </xf>
    <xf numFmtId="169" fontId="40" fillId="0" borderId="0" xfId="42" quotePrefix="1" applyFont="1" applyAlignment="1">
      <alignment horizontal="center"/>
    </xf>
    <xf numFmtId="169" fontId="40" fillId="0" borderId="0" xfId="42" applyFont="1"/>
    <xf numFmtId="169" fontId="40" fillId="0" borderId="0" xfId="42" applyFont="1" applyAlignment="1">
      <alignment horizontal="center"/>
    </xf>
    <xf numFmtId="169" fontId="40" fillId="0" borderId="0" xfId="42" quotePrefix="1" applyFont="1"/>
    <xf numFmtId="169" fontId="40" fillId="0" borderId="12" xfId="42" applyFont="1" applyBorder="1"/>
    <xf numFmtId="3" fontId="40" fillId="0" borderId="0" xfId="42" applyNumberFormat="1" applyFont="1"/>
    <xf numFmtId="169" fontId="40" fillId="0" borderId="0" xfId="42" applyFont="1" applyAlignment="1">
      <alignment horizontal="left"/>
    </xf>
    <xf numFmtId="169" fontId="47" fillId="0" borderId="0" xfId="0" quotePrefix="1" applyNumberFormat="1" applyFont="1" applyAlignment="1">
      <alignment horizontal="left" vertical="center"/>
    </xf>
    <xf numFmtId="3" fontId="40" fillId="0" borderId="0" xfId="41" applyNumberFormat="1" applyFont="1"/>
    <xf numFmtId="0" fontId="40" fillId="0" borderId="0" xfId="38" applyFont="1" applyAlignment="1">
      <alignment vertical="center"/>
    </xf>
    <xf numFmtId="175" fontId="40" fillId="0" borderId="0" xfId="42" applyNumberFormat="1" applyFont="1"/>
    <xf numFmtId="169" fontId="47" fillId="0" borderId="0" xfId="40" quotePrefix="1" applyNumberFormat="1" applyFont="1" applyAlignment="1">
      <alignment horizontal="left" vertical="center"/>
    </xf>
    <xf numFmtId="169" fontId="40" fillId="0" borderId="0" xfId="41" applyFont="1"/>
    <xf numFmtId="0" fontId="48" fillId="0" borderId="0" xfId="40" applyFont="1"/>
    <xf numFmtId="0" fontId="40" fillId="0" borderId="0" xfId="38" applyFont="1"/>
    <xf numFmtId="169" fontId="40" fillId="0" borderId="10" xfId="42" quotePrefix="1" applyFont="1" applyBorder="1" applyAlignment="1">
      <alignment horizontal="center" vertical="center"/>
    </xf>
    <xf numFmtId="169" fontId="40" fillId="0" borderId="10" xfId="42" applyFont="1" applyBorder="1" applyAlignment="1">
      <alignment horizontal="center" vertical="center"/>
    </xf>
    <xf numFmtId="169" fontId="50" fillId="0" borderId="0" xfId="42" quotePrefix="1" applyFont="1"/>
    <xf numFmtId="169" fontId="49" fillId="0" borderId="0" xfId="42" quotePrefix="1" applyFont="1"/>
    <xf numFmtId="169" fontId="49" fillId="0" borderId="0" xfId="42" applyFont="1"/>
    <xf numFmtId="169" fontId="50" fillId="0" borderId="0" xfId="42" applyFont="1" applyAlignment="1">
      <alignment vertical="top"/>
    </xf>
    <xf numFmtId="169" fontId="50" fillId="0" borderId="0" xfId="42" applyFont="1"/>
    <xf numFmtId="169" fontId="47" fillId="0" borderId="0" xfId="42" applyFont="1"/>
    <xf numFmtId="169" fontId="47" fillId="0" borderId="0" xfId="42" applyFont="1" applyAlignment="1">
      <alignment horizontal="left"/>
    </xf>
    <xf numFmtId="3" fontId="47" fillId="0" borderId="0" xfId="41" applyNumberFormat="1" applyFont="1"/>
    <xf numFmtId="175" fontId="47" fillId="0" borderId="0" xfId="42" applyNumberFormat="1" applyFont="1"/>
    <xf numFmtId="169" fontId="47" fillId="0" borderId="0" xfId="42" quotePrefix="1" applyFont="1" applyAlignment="1">
      <alignment horizontal="left" vertical="center"/>
    </xf>
    <xf numFmtId="169" fontId="47" fillId="0" borderId="0" xfId="42" applyFont="1" applyAlignment="1">
      <alignment vertical="center"/>
    </xf>
    <xf numFmtId="169" fontId="47" fillId="0" borderId="0" xfId="42" applyFont="1" applyAlignment="1">
      <alignment horizontal="left" vertical="center"/>
    </xf>
    <xf numFmtId="169" fontId="40" fillId="0" borderId="0" xfId="42" applyFont="1" applyAlignment="1">
      <alignment horizontal="left" vertical="center"/>
    </xf>
    <xf numFmtId="3" fontId="40" fillId="0" borderId="0" xfId="42" applyNumberFormat="1" applyFont="1" applyAlignment="1">
      <alignment vertical="center"/>
    </xf>
    <xf numFmtId="171" fontId="40" fillId="0" borderId="0" xfId="42" applyNumberFormat="1" applyFont="1" applyAlignment="1">
      <alignment horizontal="center"/>
    </xf>
    <xf numFmtId="171" fontId="40" fillId="0" borderId="12" xfId="42" applyNumberFormat="1" applyFont="1" applyBorder="1" applyAlignment="1">
      <alignment horizontal="center"/>
    </xf>
    <xf numFmtId="169" fontId="40" fillId="0" borderId="0" xfId="42" quotePrefix="1" applyFont="1" applyAlignment="1">
      <alignment horizontal="center" vertical="center"/>
    </xf>
    <xf numFmtId="168" fontId="40" fillId="0" borderId="0" xfId="42" applyNumberFormat="1" applyFont="1" applyAlignment="1">
      <alignment horizontal="center" vertical="center"/>
    </xf>
    <xf numFmtId="171" fontId="40" fillId="0" borderId="0" xfId="42" applyNumberFormat="1" applyFont="1" applyAlignment="1">
      <alignment horizontal="center" vertical="center"/>
    </xf>
    <xf numFmtId="168" fontId="40" fillId="0" borderId="12" xfId="42" applyNumberFormat="1" applyFont="1" applyBorder="1" applyAlignment="1">
      <alignment horizontal="center" vertical="center"/>
    </xf>
    <xf numFmtId="171" fontId="40" fillId="0" borderId="12" xfId="42" applyNumberFormat="1" applyFont="1" applyBorder="1" applyAlignment="1">
      <alignment horizontal="center" vertical="center"/>
    </xf>
    <xf numFmtId="169" fontId="40" fillId="0" borderId="0" xfId="42" applyFont="1" applyAlignment="1">
      <alignment horizontal="center" vertical="center"/>
    </xf>
    <xf numFmtId="3" fontId="40" fillId="0" borderId="0" xfId="42" applyNumberFormat="1" applyFont="1" applyAlignment="1">
      <alignment horizontal="center" vertical="center"/>
    </xf>
    <xf numFmtId="37" fontId="40" fillId="0" borderId="0" xfId="42" applyNumberFormat="1" applyFont="1" applyAlignment="1">
      <alignment vertical="center"/>
    </xf>
    <xf numFmtId="3" fontId="45" fillId="0" borderId="0" xfId="42" applyNumberFormat="1" applyFont="1" applyAlignment="1">
      <alignment horizontal="center" vertical="center"/>
    </xf>
    <xf numFmtId="3" fontId="45" fillId="0" borderId="12" xfId="42" applyNumberFormat="1" applyFont="1" applyBorder="1" applyAlignment="1">
      <alignment horizontal="center" vertical="center"/>
    </xf>
    <xf numFmtId="169" fontId="40" fillId="0" borderId="0" xfId="42" applyFont="1" applyAlignment="1">
      <alignment vertical="center"/>
    </xf>
    <xf numFmtId="169" fontId="40" fillId="0" borderId="0" xfId="42" quotePrefix="1" applyFont="1" applyAlignment="1">
      <alignment vertical="center"/>
    </xf>
    <xf numFmtId="169" fontId="49" fillId="0" borderId="0" xfId="42" quotePrefix="1" applyFont="1" applyAlignment="1">
      <alignment horizontal="center" vertical="center"/>
    </xf>
    <xf numFmtId="169" fontId="40" fillId="0" borderId="10" xfId="42" applyFont="1" applyBorder="1" applyAlignment="1">
      <alignment vertical="center"/>
    </xf>
    <xf numFmtId="169" fontId="40" fillId="0" borderId="10" xfId="42" applyFont="1" applyBorder="1" applyAlignment="1">
      <alignment horizontal="left" vertical="center"/>
    </xf>
    <xf numFmtId="169" fontId="49" fillId="0" borderId="11" xfId="42" applyFont="1" applyBorder="1" applyAlignment="1">
      <alignment horizontal="center" vertical="center"/>
    </xf>
    <xf numFmtId="37" fontId="49" fillId="0" borderId="11" xfId="42" applyNumberFormat="1" applyFont="1" applyBorder="1" applyAlignment="1">
      <alignment vertical="center"/>
    </xf>
    <xf numFmtId="3" fontId="49" fillId="0" borderId="11" xfId="42" applyNumberFormat="1" applyFont="1" applyBorder="1" applyAlignment="1">
      <alignment vertical="center"/>
    </xf>
    <xf numFmtId="169" fontId="40" fillId="0" borderId="12" xfId="42" applyFont="1" applyBorder="1" applyAlignment="1">
      <alignment horizontal="center" vertical="center"/>
    </xf>
    <xf numFmtId="3" fontId="40" fillId="0" borderId="12" xfId="42" applyNumberFormat="1" applyFont="1" applyBorder="1" applyAlignment="1">
      <alignment vertical="center"/>
    </xf>
    <xf numFmtId="169" fontId="40" fillId="0" borderId="0" xfId="42" quotePrefix="1" applyFont="1" applyAlignment="1">
      <alignment horizontal="left" vertical="center"/>
    </xf>
    <xf numFmtId="169" fontId="40" fillId="0" borderId="0" xfId="43" applyFont="1" applyAlignment="1">
      <alignment vertical="center"/>
    </xf>
    <xf numFmtId="168" fontId="40" fillId="0" borderId="0" xfId="0" applyFont="1" applyAlignment="1">
      <alignment vertical="center"/>
    </xf>
    <xf numFmtId="168" fontId="40" fillId="0" borderId="12" xfId="0" applyFont="1" applyBorder="1" applyAlignment="1">
      <alignment vertical="center"/>
    </xf>
    <xf numFmtId="168" fontId="40" fillId="0" borderId="0" xfId="0" applyFont="1" applyAlignment="1">
      <alignment horizontal="center" vertical="center"/>
    </xf>
    <xf numFmtId="191" fontId="40" fillId="0" borderId="0" xfId="0" quotePrefix="1" applyNumberFormat="1" applyFont="1" applyAlignment="1">
      <alignment horizontal="center" vertical="center"/>
    </xf>
    <xf numFmtId="191" fontId="40" fillId="0" borderId="12" xfId="0" quotePrefix="1" applyNumberFormat="1" applyFont="1" applyBorder="1" applyAlignment="1">
      <alignment horizontal="center" vertical="center"/>
    </xf>
    <xf numFmtId="169" fontId="40" fillId="0" borderId="12" xfId="43" applyFont="1" applyBorder="1" applyAlignment="1">
      <alignment vertical="center"/>
    </xf>
    <xf numFmtId="37" fontId="40" fillId="0" borderId="0" xfId="0" applyNumberFormat="1" applyFont="1" applyAlignment="1">
      <alignment vertical="center"/>
    </xf>
    <xf numFmtId="168" fontId="40" fillId="0" borderId="0" xfId="0" quotePrefix="1" applyFont="1" applyAlignment="1">
      <alignment horizontal="left" vertical="center"/>
    </xf>
    <xf numFmtId="3" fontId="40" fillId="0" borderId="0" xfId="0" applyNumberFormat="1" applyFont="1" applyAlignment="1">
      <alignment horizontal="center" vertical="center"/>
    </xf>
    <xf numFmtId="168" fontId="40" fillId="0" borderId="0" xfId="0" applyFont="1" applyAlignment="1">
      <alignment horizontal="left" vertical="center"/>
    </xf>
    <xf numFmtId="169" fontId="40" fillId="0" borderId="12" xfId="42" quotePrefix="1" applyFont="1" applyBorder="1" applyAlignment="1">
      <alignment vertical="center"/>
    </xf>
    <xf numFmtId="169" fontId="40" fillId="0" borderId="12" xfId="42" applyFont="1" applyBorder="1" applyAlignment="1">
      <alignment vertical="center"/>
    </xf>
    <xf numFmtId="175" fontId="40" fillId="0" borderId="0" xfId="42" applyNumberFormat="1" applyFont="1" applyAlignment="1">
      <alignment vertical="center"/>
    </xf>
    <xf numFmtId="169" fontId="49" fillId="0" borderId="0" xfId="42" applyFont="1" applyAlignment="1">
      <alignment vertical="center"/>
    </xf>
    <xf numFmtId="173" fontId="40" fillId="0" borderId="0" xfId="42" applyNumberFormat="1" applyFont="1" applyAlignment="1">
      <alignment horizontal="center" vertical="center"/>
    </xf>
    <xf numFmtId="173" fontId="40" fillId="0" borderId="12" xfId="42" applyNumberFormat="1" applyFont="1" applyBorder="1" applyAlignment="1">
      <alignment horizontal="center" vertical="center"/>
    </xf>
    <xf numFmtId="169" fontId="49" fillId="0" borderId="0" xfId="42" applyFont="1" applyAlignment="1">
      <alignment horizontal="center" vertical="center"/>
    </xf>
    <xf numFmtId="37" fontId="49" fillId="0" borderId="0" xfId="42" applyNumberFormat="1" applyFont="1" applyAlignment="1">
      <alignment vertical="center"/>
    </xf>
    <xf numFmtId="3" fontId="49" fillId="0" borderId="0" xfId="42" applyNumberFormat="1" applyFont="1" applyAlignment="1">
      <alignment vertical="center"/>
    </xf>
    <xf numFmtId="3" fontId="47" fillId="0" borderId="0" xfId="42" applyNumberFormat="1" applyFont="1" applyAlignment="1">
      <alignment vertical="center"/>
    </xf>
    <xf numFmtId="37" fontId="47" fillId="0" borderId="0" xfId="42" applyNumberFormat="1" applyFont="1" applyAlignment="1">
      <alignment vertical="center"/>
    </xf>
    <xf numFmtId="169" fontId="50" fillId="0" borderId="0" xfId="42" quotePrefix="1" applyFont="1" applyAlignment="1">
      <alignment vertical="center"/>
    </xf>
    <xf numFmtId="169" fontId="50" fillId="0" borderId="0" xfId="42" applyFont="1" applyAlignment="1">
      <alignment vertical="center"/>
    </xf>
    <xf numFmtId="3" fontId="47" fillId="0" borderId="0" xfId="0" applyNumberFormat="1" applyFont="1" applyAlignment="1">
      <alignment vertical="center"/>
    </xf>
    <xf numFmtId="169" fontId="47" fillId="0" borderId="0" xfId="43" applyFont="1" applyAlignment="1">
      <alignment vertical="center"/>
    </xf>
    <xf numFmtId="169" fontId="50" fillId="0" borderId="0" xfId="43" applyFont="1" applyAlignment="1">
      <alignment vertical="center"/>
    </xf>
    <xf numFmtId="169" fontId="50" fillId="0" borderId="0" xfId="43" applyFont="1" applyAlignment="1">
      <alignment vertical="top"/>
    </xf>
    <xf numFmtId="169" fontId="50" fillId="0" borderId="0" xfId="43" applyFont="1"/>
    <xf numFmtId="195" fontId="40" fillId="0" borderId="0" xfId="0" applyNumberFormat="1" applyFont="1" applyAlignment="1">
      <alignment horizontal="right" vertical="center"/>
    </xf>
    <xf numFmtId="195" fontId="40" fillId="0" borderId="12" xfId="0" applyNumberFormat="1" applyFont="1" applyBorder="1" applyAlignment="1">
      <alignment horizontal="right" vertical="center"/>
    </xf>
    <xf numFmtId="175" fontId="40" fillId="0" borderId="0" xfId="0" applyNumberFormat="1" applyFont="1" applyAlignment="1">
      <alignment horizontal="center" vertical="center"/>
    </xf>
    <xf numFmtId="4" fontId="40" fillId="0" borderId="0" xfId="0" applyNumberFormat="1" applyFont="1" applyAlignment="1">
      <alignment horizontal="center" vertical="center"/>
    </xf>
    <xf numFmtId="175" fontId="40" fillId="0" borderId="12" xfId="0" applyNumberFormat="1" applyFont="1" applyBorder="1" applyAlignment="1">
      <alignment horizontal="center" vertical="center"/>
    </xf>
    <xf numFmtId="168" fontId="47" fillId="0" borderId="0" xfId="0" applyFont="1" applyAlignment="1">
      <alignment vertical="center"/>
    </xf>
    <xf numFmtId="176" fontId="33" fillId="0" borderId="0" xfId="41" applyNumberFormat="1" applyFont="1" applyAlignment="1">
      <alignment horizontal="right" vertical="center"/>
    </xf>
    <xf numFmtId="169" fontId="35" fillId="0" borderId="0" xfId="41" quotePrefix="1" applyFont="1" applyAlignment="1">
      <alignment horizontal="left" vertical="center"/>
    </xf>
    <xf numFmtId="169" fontId="35" fillId="0" borderId="0" xfId="41" quotePrefix="1" applyFont="1" applyAlignment="1">
      <alignment horizontal="center" vertical="center"/>
    </xf>
    <xf numFmtId="169" fontId="35" fillId="0" borderId="0" xfId="41" applyFont="1" applyAlignment="1">
      <alignment horizontal="left" vertical="center"/>
    </xf>
    <xf numFmtId="169" fontId="35" fillId="0" borderId="0" xfId="41" applyFont="1" applyAlignment="1">
      <alignment horizontal="center" vertical="center"/>
    </xf>
    <xf numFmtId="169" fontId="35" fillId="0" borderId="0" xfId="41" quotePrefix="1" applyFont="1" applyAlignment="1">
      <alignment vertical="center"/>
    </xf>
    <xf numFmtId="4" fontId="28" fillId="0" borderId="0" xfId="41" applyNumberFormat="1" applyFont="1" applyAlignment="1">
      <alignment horizontal="center" vertical="center"/>
    </xf>
    <xf numFmtId="176" fontId="28" fillId="0" borderId="0" xfId="41" applyNumberFormat="1" applyFont="1" applyAlignment="1">
      <alignment horizontal="center" vertical="center"/>
    </xf>
    <xf numFmtId="4" fontId="28" fillId="0" borderId="12" xfId="41" applyNumberFormat="1" applyFont="1" applyBorder="1" applyAlignment="1">
      <alignment horizontal="center" vertical="center"/>
    </xf>
    <xf numFmtId="176" fontId="28" fillId="0" borderId="12" xfId="41" applyNumberFormat="1" applyFont="1" applyBorder="1" applyAlignment="1">
      <alignment horizontal="center" vertical="center"/>
    </xf>
    <xf numFmtId="0" fontId="30" fillId="0" borderId="0" xfId="40" applyFont="1" applyAlignment="1">
      <alignment horizontal="left" vertical="center"/>
    </xf>
    <xf numFmtId="0" fontId="35" fillId="0" borderId="0" xfId="40" applyFont="1" applyAlignment="1">
      <alignment horizontal="left" vertical="center"/>
    </xf>
    <xf numFmtId="0" fontId="35" fillId="0" borderId="0" xfId="40" applyFont="1" applyAlignment="1" applyProtection="1">
      <alignment horizontal="left"/>
      <protection locked="0"/>
    </xf>
    <xf numFmtId="0" fontId="30" fillId="0" borderId="0" xfId="40" applyFont="1" applyAlignment="1">
      <alignment horizontal="center"/>
    </xf>
    <xf numFmtId="0" fontId="28" fillId="0" borderId="0" xfId="40" applyFont="1" applyAlignment="1">
      <alignment horizontal="center"/>
    </xf>
    <xf numFmtId="0" fontId="35" fillId="0" borderId="0" xfId="40" applyFont="1" applyAlignment="1">
      <alignment horizontal="left" vertical="top"/>
    </xf>
    <xf numFmtId="2" fontId="37" fillId="0" borderId="0" xfId="40" applyNumberFormat="1" applyFont="1" applyAlignment="1">
      <alignment vertical="center"/>
    </xf>
    <xf numFmtId="2" fontId="28" fillId="0" borderId="0" xfId="40" applyNumberFormat="1" applyFont="1" applyAlignment="1">
      <alignment horizontal="center" vertical="center"/>
    </xf>
    <xf numFmtId="2" fontId="28" fillId="0" borderId="12" xfId="40" applyNumberFormat="1" applyFont="1" applyBorder="1" applyAlignment="1">
      <alignment horizontal="center" vertical="center"/>
    </xf>
    <xf numFmtId="2" fontId="28" fillId="0" borderId="0" xfId="40" quotePrefix="1" applyNumberFormat="1" applyFont="1" applyAlignment="1">
      <alignment horizontal="center" vertical="center"/>
    </xf>
    <xf numFmtId="0" fontId="44" fillId="0" borderId="0" xfId="40" applyFont="1" applyAlignment="1">
      <alignment horizontal="left" vertical="center"/>
    </xf>
    <xf numFmtId="4" fontId="28" fillId="0" borderId="0" xfId="40" applyNumberFormat="1" applyFont="1" applyAlignment="1">
      <alignment horizontal="center" vertical="center"/>
    </xf>
    <xf numFmtId="0" fontId="37" fillId="0" borderId="0" xfId="40" applyFont="1" applyAlignment="1">
      <alignment vertical="center"/>
    </xf>
    <xf numFmtId="0" fontId="35" fillId="0" borderId="0" xfId="40" applyFont="1" applyAlignment="1">
      <alignment horizontal="left"/>
    </xf>
    <xf numFmtId="0" fontId="44" fillId="0" borderId="0" xfId="40" applyFont="1" applyAlignment="1">
      <alignment horizontal="left"/>
    </xf>
    <xf numFmtId="0" fontId="30" fillId="0" borderId="0" xfId="40" applyFont="1" applyAlignment="1">
      <alignment horizontal="left"/>
    </xf>
    <xf numFmtId="0" fontId="30" fillId="0" borderId="0" xfId="40" applyFont="1" applyAlignment="1">
      <alignment horizontal="center" vertical="center"/>
    </xf>
    <xf numFmtId="0" fontId="35" fillId="0" borderId="0" xfId="40" quotePrefix="1" applyFont="1" applyAlignment="1">
      <alignment vertical="center"/>
    </xf>
    <xf numFmtId="37" fontId="33" fillId="0" borderId="0" xfId="44" applyFont="1" applyAlignment="1">
      <alignment vertical="center"/>
    </xf>
    <xf numFmtId="200" fontId="28" fillId="0" borderId="0" xfId="40" applyNumberFormat="1" applyFont="1" applyAlignment="1">
      <alignment vertical="center"/>
    </xf>
    <xf numFmtId="200" fontId="28" fillId="0" borderId="12" xfId="40" applyNumberFormat="1" applyFont="1" applyBorder="1" applyAlignment="1">
      <alignment vertical="center"/>
    </xf>
    <xf numFmtId="199" fontId="28" fillId="0" borderId="0" xfId="40" applyNumberFormat="1" applyFont="1" applyAlignment="1">
      <alignment vertical="center"/>
    </xf>
    <xf numFmtId="199" fontId="28" fillId="0" borderId="12" xfId="40" applyNumberFormat="1" applyFont="1" applyBorder="1" applyAlignment="1">
      <alignment vertical="center"/>
    </xf>
    <xf numFmtId="195" fontId="28" fillId="0" borderId="12" xfId="40" applyNumberFormat="1" applyFont="1" applyBorder="1" applyAlignment="1">
      <alignment vertical="center"/>
    </xf>
    <xf numFmtId="37" fontId="35" fillId="0" borderId="0" xfId="44" applyFont="1" applyAlignment="1">
      <alignment horizontal="left" vertical="top"/>
    </xf>
    <xf numFmtId="37" fontId="36" fillId="0" borderId="0" xfId="45" applyNumberFormat="1" applyFont="1" applyAlignment="1">
      <alignment horizontal="right" vertical="center"/>
    </xf>
    <xf numFmtId="190" fontId="36" fillId="0" borderId="0" xfId="45" applyNumberFormat="1" applyFont="1" applyAlignment="1">
      <alignment horizontal="right" vertical="center"/>
    </xf>
    <xf numFmtId="37" fontId="29" fillId="0" borderId="0" xfId="44" applyFont="1" applyAlignment="1">
      <alignment horizontal="left"/>
    </xf>
    <xf numFmtId="37" fontId="44" fillId="0" borderId="0" xfId="44" applyFont="1" applyAlignment="1">
      <alignment horizontal="left"/>
    </xf>
    <xf numFmtId="37" fontId="41" fillId="0" borderId="0" xfId="44" applyFont="1" applyAlignment="1">
      <alignment horizontal="centerContinuous" vertical="center"/>
    </xf>
    <xf numFmtId="199" fontId="28" fillId="0" borderId="12" xfId="44" applyNumberFormat="1" applyFont="1" applyBorder="1" applyAlignment="1">
      <alignment vertical="center"/>
    </xf>
    <xf numFmtId="0" fontId="35" fillId="0" borderId="0" xfId="45" applyFont="1" applyAlignment="1">
      <alignment horizontal="left" vertical="top"/>
    </xf>
    <xf numFmtId="0" fontId="44" fillId="0" borderId="0" xfId="45" applyFont="1" applyAlignment="1">
      <alignment horizontal="left" vertical="top"/>
    </xf>
    <xf numFmtId="193" fontId="28" fillId="0" borderId="0" xfId="45" applyNumberFormat="1" applyFont="1" applyAlignment="1">
      <alignment horizontal="right" vertical="center"/>
    </xf>
    <xf numFmtId="37" fontId="35" fillId="0" borderId="0" xfId="40" applyNumberFormat="1" applyFont="1" applyAlignment="1">
      <alignment vertical="center"/>
    </xf>
    <xf numFmtId="0" fontId="44" fillId="0" borderId="0" xfId="40" applyFont="1" applyAlignment="1">
      <alignment horizontal="left" vertical="top"/>
    </xf>
    <xf numFmtId="195" fontId="28" fillId="0" borderId="0" xfId="40" applyNumberFormat="1" applyFont="1"/>
    <xf numFmtId="1" fontId="40" fillId="0" borderId="0" xfId="0" quotePrefix="1" applyNumberFormat="1" applyFont="1" applyAlignment="1">
      <alignment horizontal="center" vertical="center"/>
    </xf>
    <xf numFmtId="1" fontId="40" fillId="0" borderId="12" xfId="0" quotePrefix="1" applyNumberFormat="1" applyFont="1" applyBorder="1" applyAlignment="1">
      <alignment horizontal="center" vertical="center"/>
    </xf>
    <xf numFmtId="195" fontId="28" fillId="0" borderId="0" xfId="44" applyNumberFormat="1" applyFont="1" applyAlignment="1">
      <alignment vertical="center"/>
    </xf>
    <xf numFmtId="3" fontId="28" fillId="0" borderId="0" xfId="41" applyNumberFormat="1" applyFont="1" applyAlignment="1">
      <alignment horizontal="center" vertical="center"/>
    </xf>
    <xf numFmtId="195" fontId="28" fillId="0" borderId="12" xfId="38" applyNumberFormat="1" applyFont="1" applyBorder="1" applyAlignment="1">
      <alignment horizontal="right" vertical="center"/>
    </xf>
    <xf numFmtId="199" fontId="30" fillId="18" borderId="0" xfId="38" applyNumberFormat="1" applyFont="1" applyFill="1" applyAlignment="1">
      <alignment vertical="center"/>
    </xf>
    <xf numFmtId="181" fontId="30" fillId="18" borderId="0" xfId="38" applyNumberFormat="1" applyFont="1" applyFill="1" applyAlignment="1">
      <alignment horizontal="center" vertical="center"/>
    </xf>
    <xf numFmtId="188" fontId="28" fillId="18" borderId="0" xfId="38" applyNumberFormat="1" applyFont="1" applyFill="1" applyAlignment="1">
      <alignment horizontal="center" vertical="center"/>
    </xf>
    <xf numFmtId="199" fontId="28" fillId="18" borderId="0" xfId="38" applyNumberFormat="1" applyFont="1" applyFill="1" applyAlignment="1">
      <alignment vertical="center"/>
    </xf>
    <xf numFmtId="201" fontId="30" fillId="0" borderId="0" xfId="40" applyNumberFormat="1" applyFont="1" applyAlignment="1">
      <alignment vertical="center"/>
    </xf>
    <xf numFmtId="201" fontId="28" fillId="0" borderId="0" xfId="40" applyNumberFormat="1" applyFont="1" applyAlignment="1">
      <alignment vertical="center"/>
    </xf>
    <xf numFmtId="199" fontId="30" fillId="0" borderId="0" xfId="40" applyNumberFormat="1" applyFont="1" applyAlignment="1">
      <alignment vertical="center"/>
    </xf>
    <xf numFmtId="195" fontId="28" fillId="0" borderId="0" xfId="41" applyNumberFormat="1" applyFont="1" applyAlignment="1">
      <alignment vertical="center"/>
    </xf>
    <xf numFmtId="195" fontId="28" fillId="0" borderId="12" xfId="41" applyNumberFormat="1" applyFont="1" applyBorder="1" applyAlignment="1">
      <alignment vertical="center"/>
    </xf>
    <xf numFmtId="175" fontId="49" fillId="0" borderId="0" xfId="0" applyNumberFormat="1" applyFont="1" applyAlignment="1">
      <alignment horizontal="center" vertical="center"/>
    </xf>
    <xf numFmtId="175" fontId="49" fillId="0" borderId="12" xfId="0" applyNumberFormat="1" applyFont="1" applyBorder="1" applyAlignment="1">
      <alignment horizontal="center" vertical="center"/>
    </xf>
    <xf numFmtId="0" fontId="28" fillId="0" borderId="12" xfId="38" applyFont="1" applyBorder="1" applyAlignment="1">
      <alignment horizontal="left" vertical="center"/>
    </xf>
    <xf numFmtId="194" fontId="47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205" fontId="49" fillId="0" borderId="0" xfId="42" applyNumberFormat="1" applyFont="1" applyAlignment="1">
      <alignment vertical="center"/>
    </xf>
    <xf numFmtId="173" fontId="47" fillId="0" borderId="0" xfId="42" quotePrefix="1" applyNumberFormat="1" applyFont="1" applyAlignment="1">
      <alignment horizontal="left"/>
    </xf>
    <xf numFmtId="174" fontId="47" fillId="0" borderId="0" xfId="42" applyNumberFormat="1" applyFont="1" applyAlignment="1">
      <alignment vertical="center"/>
    </xf>
    <xf numFmtId="206" fontId="40" fillId="0" borderId="0" xfId="42" applyNumberFormat="1" applyFont="1" applyAlignment="1">
      <alignment vertical="center"/>
    </xf>
    <xf numFmtId="207" fontId="40" fillId="0" borderId="0" xfId="42" applyNumberFormat="1" applyFont="1" applyAlignment="1">
      <alignment vertical="center"/>
    </xf>
    <xf numFmtId="192" fontId="28" fillId="0" borderId="0" xfId="40" applyNumberFormat="1" applyFont="1" applyAlignment="1">
      <alignment horizontal="center"/>
    </xf>
    <xf numFmtId="168" fontId="30" fillId="19" borderId="10" xfId="0" applyFont="1" applyFill="1" applyBorder="1" applyAlignment="1">
      <alignment horizontal="centerContinuous" vertical="center"/>
    </xf>
    <xf numFmtId="168" fontId="30" fillId="19" borderId="10" xfId="0" applyFont="1" applyFill="1" applyBorder="1" applyAlignment="1">
      <alignment horizontal="left" vertical="center"/>
    </xf>
    <xf numFmtId="0" fontId="28" fillId="0" borderId="12" xfId="39" applyFont="1" applyBorder="1" applyAlignment="1">
      <alignment vertical="center"/>
    </xf>
    <xf numFmtId="169" fontId="28" fillId="0" borderId="12" xfId="47" quotePrefix="1" applyFont="1" applyBorder="1" applyAlignment="1">
      <alignment horizontal="left" vertical="center"/>
    </xf>
    <xf numFmtId="4" fontId="28" fillId="0" borderId="12" xfId="35" applyNumberFormat="1" applyFont="1" applyFill="1" applyBorder="1" applyAlignment="1" applyProtection="1">
      <alignment horizontal="center" vertical="center"/>
    </xf>
    <xf numFmtId="169" fontId="28" fillId="0" borderId="12" xfId="45" applyNumberFormat="1" applyFont="1" applyBorder="1" applyAlignment="1">
      <alignment horizontal="left" vertical="center"/>
    </xf>
    <xf numFmtId="196" fontId="28" fillId="0" borderId="12" xfId="35" applyNumberFormat="1" applyFont="1" applyFill="1" applyBorder="1" applyAlignment="1" applyProtection="1">
      <alignment horizontal="right" vertical="center"/>
    </xf>
    <xf numFmtId="200" fontId="28" fillId="0" borderId="12" xfId="35" applyNumberFormat="1" applyFont="1" applyFill="1" applyBorder="1" applyAlignment="1" applyProtection="1">
      <alignment horizontal="right" vertical="center"/>
    </xf>
    <xf numFmtId="199" fontId="28" fillId="0" borderId="12" xfId="35" applyNumberFormat="1" applyFont="1" applyFill="1" applyBorder="1" applyAlignment="1" applyProtection="1">
      <alignment horizontal="right" vertical="center"/>
    </xf>
    <xf numFmtId="195" fontId="28" fillId="0" borderId="12" xfId="45" applyNumberFormat="1" applyFont="1" applyBorder="1" applyAlignment="1">
      <alignment horizontal="right" vertical="center"/>
    </xf>
    <xf numFmtId="195" fontId="28" fillId="0" borderId="12" xfId="35" applyNumberFormat="1" applyFont="1" applyFill="1" applyBorder="1" applyAlignment="1" applyProtection="1">
      <alignment horizontal="right" vertical="center"/>
    </xf>
    <xf numFmtId="199" fontId="28" fillId="0" borderId="12" xfId="45" applyNumberFormat="1" applyFont="1" applyBorder="1" applyAlignment="1">
      <alignment horizontal="right" vertical="center"/>
    </xf>
    <xf numFmtId="195" fontId="28" fillId="0" borderId="12" xfId="46" applyNumberFormat="1" applyFont="1" applyBorder="1" applyAlignment="1">
      <alignment horizontal="right" vertical="center"/>
    </xf>
    <xf numFmtId="200" fontId="28" fillId="0" borderId="12" xfId="45" applyNumberFormat="1" applyFont="1" applyBorder="1" applyAlignment="1">
      <alignment horizontal="right" vertical="center"/>
    </xf>
    <xf numFmtId="196" fontId="28" fillId="0" borderId="12" xfId="40" applyNumberFormat="1" applyFont="1" applyBorder="1" applyAlignment="1">
      <alignment vertical="center"/>
    </xf>
    <xf numFmtId="201" fontId="28" fillId="0" borderId="12" xfId="40" applyNumberFormat="1" applyFont="1" applyBorder="1" applyAlignment="1">
      <alignment vertical="center"/>
    </xf>
    <xf numFmtId="197" fontId="28" fillId="0" borderId="12" xfId="40" applyNumberFormat="1" applyFont="1" applyBorder="1" applyAlignment="1">
      <alignment vertical="center"/>
    </xf>
    <xf numFmtId="0" fontId="30" fillId="0" borderId="12" xfId="40" applyFont="1" applyBorder="1" applyAlignment="1">
      <alignment vertical="center"/>
    </xf>
    <xf numFmtId="199" fontId="30" fillId="19" borderId="0" xfId="38" applyNumberFormat="1" applyFont="1" applyFill="1" applyAlignment="1">
      <alignment vertical="center"/>
    </xf>
    <xf numFmtId="195" fontId="30" fillId="19" borderId="0" xfId="38" applyNumberFormat="1" applyFont="1" applyFill="1" applyAlignment="1">
      <alignment vertical="center"/>
    </xf>
    <xf numFmtId="169" fontId="53" fillId="0" borderId="0" xfId="0" quotePrefix="1" applyNumberFormat="1" applyFont="1" applyAlignment="1">
      <alignment horizontal="left" vertical="center"/>
    </xf>
    <xf numFmtId="170" fontId="53" fillId="0" borderId="0" xfId="0" applyNumberFormat="1" applyFont="1" applyAlignment="1">
      <alignment vertical="center"/>
    </xf>
    <xf numFmtId="0" fontId="53" fillId="0" borderId="0" xfId="38" applyFont="1" applyAlignment="1">
      <alignment vertical="center"/>
    </xf>
    <xf numFmtId="169" fontId="53" fillId="0" borderId="0" xfId="0" applyNumberFormat="1" applyFont="1" applyAlignment="1">
      <alignment horizontal="left" vertical="center"/>
    </xf>
    <xf numFmtId="0" fontId="53" fillId="0" borderId="0" xfId="39" applyFont="1" applyAlignment="1">
      <alignment horizontal="fill" vertical="center"/>
    </xf>
    <xf numFmtId="0" fontId="53" fillId="0" borderId="0" xfId="39" applyFont="1" applyAlignment="1">
      <alignment vertical="center"/>
    </xf>
    <xf numFmtId="0" fontId="53" fillId="0" borderId="0" xfId="39" applyFont="1" applyAlignment="1">
      <alignment horizontal="right" vertical="center"/>
    </xf>
    <xf numFmtId="3" fontId="53" fillId="0" borderId="0" xfId="38" applyNumberFormat="1" applyFont="1" applyAlignment="1">
      <alignment horizontal="right" vertical="center"/>
    </xf>
    <xf numFmtId="172" fontId="53" fillId="0" borderId="0" xfId="0" applyNumberFormat="1" applyFont="1" applyAlignment="1">
      <alignment vertical="center"/>
    </xf>
    <xf numFmtId="179" fontId="53" fillId="0" borderId="0" xfId="33" applyNumberFormat="1" applyFont="1" applyFill="1" applyAlignment="1">
      <alignment vertical="center"/>
    </xf>
    <xf numFmtId="179" fontId="55" fillId="0" borderId="0" xfId="33" applyNumberFormat="1" applyFont="1" applyFill="1" applyAlignment="1">
      <alignment vertical="center"/>
    </xf>
    <xf numFmtId="168" fontId="53" fillId="0" borderId="0" xfId="0" applyFont="1" applyAlignment="1">
      <alignment vertical="center"/>
    </xf>
    <xf numFmtId="171" fontId="53" fillId="0" borderId="0" xfId="0" applyNumberFormat="1" applyFont="1" applyAlignment="1">
      <alignment vertical="center"/>
    </xf>
    <xf numFmtId="3" fontId="53" fillId="0" borderId="0" xfId="40" applyNumberFormat="1" applyFont="1" applyAlignment="1">
      <alignment vertical="center"/>
    </xf>
    <xf numFmtId="4" fontId="53" fillId="0" borderId="0" xfId="40" applyNumberFormat="1" applyFont="1" applyAlignment="1">
      <alignment vertical="center"/>
    </xf>
    <xf numFmtId="0" fontId="53" fillId="0" borderId="0" xfId="40" applyFont="1" applyAlignment="1">
      <alignment vertical="center"/>
    </xf>
    <xf numFmtId="3" fontId="53" fillId="0" borderId="0" xfId="40" applyNumberFormat="1" applyFont="1" applyAlignment="1">
      <alignment horizontal="right" vertical="center"/>
    </xf>
    <xf numFmtId="185" fontId="53" fillId="0" borderId="0" xfId="40" applyNumberFormat="1" applyFont="1" applyAlignment="1">
      <alignment vertical="center"/>
    </xf>
    <xf numFmtId="203" fontId="53" fillId="0" borderId="0" xfId="40" applyNumberFormat="1" applyFont="1" applyAlignment="1">
      <alignment vertical="center"/>
    </xf>
    <xf numFmtId="0" fontId="53" fillId="0" borderId="0" xfId="40" quotePrefix="1" applyFont="1" applyAlignment="1">
      <alignment horizontal="left" vertical="center"/>
    </xf>
    <xf numFmtId="0" fontId="55" fillId="0" borderId="0" xfId="45" applyFont="1" applyAlignment="1">
      <alignment horizontal="centerContinuous" vertical="center"/>
    </xf>
    <xf numFmtId="0" fontId="56" fillId="0" borderId="0" xfId="45" applyFont="1" applyAlignment="1">
      <alignment vertical="center"/>
    </xf>
    <xf numFmtId="0" fontId="53" fillId="0" borderId="0" xfId="45" applyFont="1" applyAlignment="1">
      <alignment vertical="center"/>
    </xf>
    <xf numFmtId="3" fontId="30" fillId="0" borderId="0" xfId="35" applyNumberFormat="1" applyFont="1" applyFill="1" applyBorder="1" applyAlignment="1" applyProtection="1">
      <alignment horizontal="right" vertical="center"/>
    </xf>
    <xf numFmtId="3" fontId="28" fillId="0" borderId="0" xfId="46" applyNumberFormat="1" applyFont="1" applyAlignment="1">
      <alignment horizontal="right" vertical="center"/>
    </xf>
    <xf numFmtId="3" fontId="28" fillId="0" borderId="12" xfId="45" applyNumberFormat="1" applyFont="1" applyBorder="1" applyAlignment="1">
      <alignment horizontal="right" vertical="center"/>
    </xf>
    <xf numFmtId="3" fontId="28" fillId="0" borderId="12" xfId="46" applyNumberFormat="1" applyFont="1" applyBorder="1" applyAlignment="1">
      <alignment horizontal="right" vertical="center"/>
    </xf>
    <xf numFmtId="169" fontId="53" fillId="0" borderId="0" xfId="41" applyFont="1" applyAlignment="1">
      <alignment vertical="center"/>
    </xf>
    <xf numFmtId="3" fontId="53" fillId="0" borderId="0" xfId="41" applyNumberFormat="1" applyFont="1" applyAlignment="1">
      <alignment vertical="center"/>
    </xf>
    <xf numFmtId="175" fontId="53" fillId="0" borderId="0" xfId="41" applyNumberFormat="1" applyFont="1" applyAlignment="1">
      <alignment vertical="center"/>
    </xf>
    <xf numFmtId="186" fontId="53" fillId="0" borderId="0" xfId="41" applyNumberFormat="1" applyFont="1" applyAlignment="1">
      <alignment vertical="center"/>
    </xf>
    <xf numFmtId="169" fontId="53" fillId="0" borderId="0" xfId="42" applyFont="1" applyAlignment="1">
      <alignment vertical="center"/>
    </xf>
    <xf numFmtId="169" fontId="53" fillId="0" borderId="0" xfId="42" quotePrefix="1" applyFont="1" applyAlignment="1">
      <alignment horizontal="left" vertical="center"/>
    </xf>
    <xf numFmtId="199" fontId="28" fillId="0" borderId="12" xfId="38" applyNumberFormat="1" applyFont="1" applyBorder="1" applyAlignment="1">
      <alignment horizontal="right" vertical="center"/>
    </xf>
    <xf numFmtId="181" fontId="28" fillId="0" borderId="12" xfId="38" applyNumberFormat="1" applyFont="1" applyBorder="1" applyAlignment="1">
      <alignment horizontal="center" vertical="center"/>
    </xf>
    <xf numFmtId="199" fontId="28" fillId="0" borderId="12" xfId="38" applyNumberFormat="1" applyFont="1" applyBorder="1" applyAlignment="1">
      <alignment vertical="center"/>
    </xf>
    <xf numFmtId="188" fontId="28" fillId="0" borderId="12" xfId="38" applyNumberFormat="1" applyFont="1" applyBorder="1" applyAlignment="1">
      <alignment horizontal="center" vertical="center"/>
    </xf>
    <xf numFmtId="187" fontId="53" fillId="0" borderId="0" xfId="38" applyNumberFormat="1" applyFont="1" applyAlignment="1">
      <alignment vertical="center"/>
    </xf>
    <xf numFmtId="188" fontId="53" fillId="0" borderId="0" xfId="38" applyNumberFormat="1" applyFont="1" applyAlignment="1">
      <alignment vertical="center"/>
    </xf>
    <xf numFmtId="181" fontId="53" fillId="0" borderId="0" xfId="38" applyNumberFormat="1" applyFont="1" applyAlignment="1">
      <alignment vertical="center"/>
    </xf>
    <xf numFmtId="187" fontId="55" fillId="0" borderId="0" xfId="38" applyNumberFormat="1" applyFont="1" applyAlignment="1">
      <alignment vertical="center"/>
    </xf>
    <xf numFmtId="187" fontId="55" fillId="0" borderId="0" xfId="38" quotePrefix="1" applyNumberFormat="1" applyFont="1" applyAlignment="1">
      <alignment horizontal="left" vertical="center"/>
    </xf>
    <xf numFmtId="181" fontId="55" fillId="0" borderId="0" xfId="38" applyNumberFormat="1" applyFont="1" applyAlignment="1">
      <alignment horizontal="right" vertical="center"/>
    </xf>
    <xf numFmtId="169" fontId="57" fillId="0" borderId="0" xfId="42" quotePrefix="1" applyFont="1" applyAlignment="1">
      <alignment horizontal="left"/>
    </xf>
    <xf numFmtId="169" fontId="57" fillId="0" borderId="0" xfId="42" applyFont="1"/>
    <xf numFmtId="3" fontId="57" fillId="0" borderId="0" xfId="42" applyNumberFormat="1" applyFont="1"/>
    <xf numFmtId="169" fontId="57" fillId="0" borderId="0" xfId="42" applyFont="1" applyAlignment="1">
      <alignment horizontal="left"/>
    </xf>
    <xf numFmtId="3" fontId="57" fillId="0" borderId="0" xfId="42" quotePrefix="1" applyNumberFormat="1" applyFont="1" applyAlignment="1">
      <alignment horizontal="left"/>
    </xf>
    <xf numFmtId="3" fontId="57" fillId="0" borderId="0" xfId="42" applyNumberFormat="1" applyFont="1" applyAlignment="1">
      <alignment horizontal="left"/>
    </xf>
    <xf numFmtId="169" fontId="57" fillId="0" borderId="0" xfId="0" quotePrefix="1" applyNumberFormat="1" applyFont="1" applyAlignment="1">
      <alignment horizontal="left"/>
    </xf>
    <xf numFmtId="37" fontId="59" fillId="0" borderId="0" xfId="42" applyNumberFormat="1" applyFont="1"/>
    <xf numFmtId="174" fontId="57" fillId="0" borderId="0" xfId="42" applyNumberFormat="1" applyFont="1" applyAlignment="1">
      <alignment horizontal="center" vertical="center"/>
    </xf>
    <xf numFmtId="173" fontId="57" fillId="0" borderId="0" xfId="42" quotePrefix="1" applyNumberFormat="1" applyFont="1" applyAlignment="1">
      <alignment horizontal="left"/>
    </xf>
    <xf numFmtId="169" fontId="57" fillId="0" borderId="0" xfId="0" quotePrefix="1" applyNumberFormat="1" applyFont="1" applyAlignment="1">
      <alignment horizontal="left" vertical="center"/>
    </xf>
    <xf numFmtId="3" fontId="57" fillId="0" borderId="0" xfId="41" applyNumberFormat="1" applyFont="1"/>
    <xf numFmtId="171" fontId="57" fillId="0" borderId="0" xfId="42" applyNumberFormat="1" applyFont="1"/>
    <xf numFmtId="169" fontId="57" fillId="0" borderId="0" xfId="40" quotePrefix="1" applyNumberFormat="1" applyFont="1" applyAlignment="1">
      <alignment horizontal="left" vertical="center"/>
    </xf>
    <xf numFmtId="169" fontId="57" fillId="0" borderId="0" xfId="41" applyFont="1"/>
    <xf numFmtId="0" fontId="57" fillId="0" borderId="0" xfId="40" applyFont="1"/>
    <xf numFmtId="169" fontId="57" fillId="0" borderId="0" xfId="42" applyFont="1" applyAlignment="1">
      <alignment horizontal="left" vertical="center"/>
    </xf>
    <xf numFmtId="3" fontId="57" fillId="0" borderId="0" xfId="42" applyNumberFormat="1" applyFont="1" applyAlignment="1">
      <alignment vertical="center"/>
    </xf>
    <xf numFmtId="169" fontId="57" fillId="0" borderId="0" xfId="42" quotePrefix="1" applyFont="1" applyAlignment="1">
      <alignment horizontal="left" vertical="center"/>
    </xf>
    <xf numFmtId="169" fontId="57" fillId="0" borderId="0" xfId="42" applyFont="1" applyAlignment="1">
      <alignment vertical="center"/>
    </xf>
    <xf numFmtId="37" fontId="57" fillId="0" borderId="0" xfId="42" applyNumberFormat="1" applyFont="1" applyAlignment="1">
      <alignment vertical="center"/>
    </xf>
    <xf numFmtId="174" fontId="57" fillId="0" borderId="0" xfId="42" applyNumberFormat="1" applyFont="1" applyAlignment="1">
      <alignment vertical="center"/>
    </xf>
    <xf numFmtId="168" fontId="57" fillId="0" borderId="0" xfId="0" applyFont="1" applyAlignment="1">
      <alignment vertical="center"/>
    </xf>
    <xf numFmtId="3" fontId="57" fillId="0" borderId="0" xfId="0" applyNumberFormat="1" applyFont="1" applyAlignment="1">
      <alignment vertical="center"/>
    </xf>
    <xf numFmtId="37" fontId="57" fillId="0" borderId="0" xfId="0" applyNumberFormat="1" applyFont="1" applyAlignment="1">
      <alignment vertical="center"/>
    </xf>
    <xf numFmtId="169" fontId="53" fillId="0" borderId="0" xfId="41" quotePrefix="1" applyFont="1" applyAlignment="1">
      <alignment horizontal="left" vertical="center"/>
    </xf>
    <xf numFmtId="176" fontId="53" fillId="0" borderId="0" xfId="41" applyNumberFormat="1" applyFont="1" applyAlignment="1">
      <alignment horizontal="right" vertical="center"/>
    </xf>
    <xf numFmtId="2" fontId="55" fillId="0" borderId="0" xfId="40" applyNumberFormat="1" applyFont="1" applyAlignment="1">
      <alignment vertical="center"/>
    </xf>
    <xf numFmtId="0" fontId="55" fillId="0" borderId="0" xfId="40" quotePrefix="1" applyFont="1" applyAlignment="1">
      <alignment horizontal="left" vertical="center"/>
    </xf>
    <xf numFmtId="0" fontId="55" fillId="0" borderId="0" xfId="40" applyFont="1" applyAlignment="1">
      <alignment vertical="center"/>
    </xf>
    <xf numFmtId="169" fontId="53" fillId="0" borderId="0" xfId="40" quotePrefix="1" applyNumberFormat="1" applyFont="1" applyAlignment="1">
      <alignment horizontal="left" vertical="center"/>
    </xf>
    <xf numFmtId="3" fontId="53" fillId="0" borderId="0" xfId="40" quotePrefix="1" applyNumberFormat="1" applyFont="1" applyAlignment="1">
      <alignment vertical="center"/>
    </xf>
    <xf numFmtId="37" fontId="53" fillId="0" borderId="0" xfId="44" applyFont="1" applyAlignment="1">
      <alignment vertical="center"/>
    </xf>
    <xf numFmtId="0" fontId="53" fillId="0" borderId="0" xfId="40" applyFont="1" applyAlignment="1">
      <alignment horizontal="left" vertical="center"/>
    </xf>
    <xf numFmtId="192" fontId="28" fillId="0" borderId="12" xfId="45" applyNumberFormat="1" applyFont="1" applyBorder="1" applyAlignment="1">
      <alignment horizontal="right" vertical="center"/>
    </xf>
    <xf numFmtId="0" fontId="53" fillId="0" borderId="0" xfId="38" applyFont="1"/>
    <xf numFmtId="0" fontId="55" fillId="0" borderId="0" xfId="45" applyFont="1" applyAlignment="1">
      <alignment horizontal="center"/>
    </xf>
    <xf numFmtId="169" fontId="53" fillId="0" borderId="0" xfId="0" quotePrefix="1" applyNumberFormat="1" applyFont="1" applyAlignment="1">
      <alignment horizontal="left"/>
    </xf>
    <xf numFmtId="0" fontId="56" fillId="0" borderId="0" xfId="45" applyFont="1"/>
    <xf numFmtId="3" fontId="53" fillId="0" borderId="0" xfId="38" applyNumberFormat="1" applyFont="1" applyAlignment="1">
      <alignment horizontal="right"/>
    </xf>
    <xf numFmtId="3" fontId="28" fillId="0" borderId="15" xfId="40" applyNumberFormat="1" applyFont="1" applyBorder="1" applyAlignment="1">
      <alignment vertical="center"/>
    </xf>
    <xf numFmtId="200" fontId="30" fillId="0" borderId="0" xfId="40" applyNumberFormat="1" applyFont="1" applyAlignment="1">
      <alignment vertical="center"/>
    </xf>
    <xf numFmtId="200" fontId="28" fillId="0" borderId="0" xfId="40" applyNumberFormat="1" applyFont="1" applyAlignment="1">
      <alignment horizontal="right" vertical="center"/>
    </xf>
    <xf numFmtId="200" fontId="28" fillId="0" borderId="12" xfId="40" applyNumberFormat="1" applyFont="1" applyBorder="1" applyAlignment="1">
      <alignment horizontal="right" vertical="center"/>
    </xf>
    <xf numFmtId="196" fontId="28" fillId="0" borderId="0" xfId="40" applyNumberFormat="1" applyFont="1" applyAlignment="1">
      <alignment horizontal="right" vertical="center"/>
    </xf>
    <xf numFmtId="196" fontId="28" fillId="0" borderId="12" xfId="40" applyNumberFormat="1" applyFont="1" applyBorder="1" applyAlignment="1">
      <alignment horizontal="right" vertical="center"/>
    </xf>
    <xf numFmtId="208" fontId="30" fillId="0" borderId="0" xfId="40" applyNumberFormat="1" applyFont="1" applyAlignment="1">
      <alignment horizontal="right" vertical="center"/>
    </xf>
    <xf numFmtId="208" fontId="28" fillId="0" borderId="0" xfId="40" applyNumberFormat="1" applyFont="1" applyAlignment="1">
      <alignment horizontal="right" vertical="center"/>
    </xf>
    <xf numFmtId="208" fontId="28" fillId="0" borderId="12" xfId="40" applyNumberFormat="1" applyFont="1" applyBorder="1" applyAlignment="1">
      <alignment horizontal="right" vertical="center"/>
    </xf>
    <xf numFmtId="0" fontId="30" fillId="0" borderId="0" xfId="40" quotePrefix="1" applyFont="1" applyAlignment="1">
      <alignment horizontal="left"/>
    </xf>
    <xf numFmtId="0" fontId="28" fillId="0" borderId="0" xfId="40" applyFont="1"/>
    <xf numFmtId="0" fontId="30" fillId="0" borderId="0" xfId="40" applyFont="1"/>
    <xf numFmtId="192" fontId="28" fillId="0" borderId="0" xfId="40" applyNumberFormat="1" applyFont="1"/>
    <xf numFmtId="0" fontId="28" fillId="0" borderId="0" xfId="40" quotePrefix="1" applyFont="1" applyAlignment="1">
      <alignment horizontal="left"/>
    </xf>
    <xf numFmtId="175" fontId="28" fillId="0" borderId="0" xfId="40" applyNumberFormat="1" applyFont="1"/>
    <xf numFmtId="181" fontId="28" fillId="0" borderId="0" xfId="40" applyNumberFormat="1" applyFont="1"/>
    <xf numFmtId="1" fontId="28" fillId="0" borderId="0" xfId="40" applyNumberFormat="1" applyFont="1"/>
    <xf numFmtId="195" fontId="28" fillId="0" borderId="0" xfId="40" applyNumberFormat="1" applyFont="1" applyAlignment="1">
      <alignment horizontal="right"/>
    </xf>
    <xf numFmtId="0" fontId="28" fillId="0" borderId="0" xfId="40" applyFont="1" applyAlignment="1">
      <alignment horizontal="left"/>
    </xf>
    <xf numFmtId="202" fontId="28" fillId="0" borderId="0" xfId="40" applyNumberFormat="1" applyFont="1"/>
    <xf numFmtId="174" fontId="28" fillId="0" borderId="0" xfId="40" applyNumberFormat="1" applyFont="1"/>
    <xf numFmtId="203" fontId="28" fillId="0" borderId="0" xfId="40" applyNumberFormat="1" applyFont="1"/>
    <xf numFmtId="203" fontId="28" fillId="0" borderId="0" xfId="40" applyNumberFormat="1" applyFont="1" applyAlignment="1">
      <alignment horizontal="right"/>
    </xf>
    <xf numFmtId="4" fontId="28" fillId="0" borderId="0" xfId="40" applyNumberFormat="1" applyFont="1"/>
    <xf numFmtId="3" fontId="28" fillId="0" borderId="0" xfId="40" applyNumberFormat="1" applyFont="1"/>
    <xf numFmtId="175" fontId="30" fillId="0" borderId="0" xfId="40" applyNumberFormat="1" applyFont="1"/>
    <xf numFmtId="189" fontId="28" fillId="0" borderId="0" xfId="40" applyNumberFormat="1" applyFont="1"/>
    <xf numFmtId="169" fontId="40" fillId="0" borderId="12" xfId="42" quotePrefix="1" applyFont="1" applyBorder="1" applyAlignment="1">
      <alignment horizontal="center" vertical="center"/>
    </xf>
    <xf numFmtId="193" fontId="28" fillId="0" borderId="0" xfId="40" applyNumberFormat="1" applyFont="1" applyAlignment="1">
      <alignment vertical="center"/>
    </xf>
    <xf numFmtId="203" fontId="28" fillId="0" borderId="0" xfId="40" applyNumberFormat="1" applyFont="1" applyAlignment="1">
      <alignment vertical="center"/>
    </xf>
    <xf numFmtId="195" fontId="28" fillId="0" borderId="0" xfId="45" applyNumberFormat="1" applyFont="1" applyAlignment="1">
      <alignment vertical="center"/>
    </xf>
    <xf numFmtId="199" fontId="28" fillId="0" borderId="0" xfId="45" applyNumberFormat="1" applyFont="1" applyAlignment="1">
      <alignment vertical="center"/>
    </xf>
    <xf numFmtId="200" fontId="28" fillId="0" borderId="0" xfId="45" applyNumberFormat="1" applyFont="1" applyAlignment="1">
      <alignment vertical="center"/>
    </xf>
    <xf numFmtId="192" fontId="28" fillId="0" borderId="0" xfId="40" applyNumberFormat="1" applyFont="1" applyAlignment="1">
      <alignment vertical="center"/>
    </xf>
    <xf numFmtId="192" fontId="28" fillId="0" borderId="0" xfId="45" applyNumberFormat="1" applyFont="1" applyAlignment="1">
      <alignment vertical="center"/>
    </xf>
    <xf numFmtId="193" fontId="28" fillId="0" borderId="0" xfId="45" applyNumberFormat="1" applyFont="1" applyAlignment="1">
      <alignment vertical="center"/>
    </xf>
    <xf numFmtId="174" fontId="53" fillId="0" borderId="0" xfId="40" applyNumberFormat="1" applyFont="1" applyAlignment="1">
      <alignment vertical="center"/>
    </xf>
    <xf numFmtId="3" fontId="33" fillId="0" borderId="0" xfId="39" applyNumberFormat="1" applyFont="1" applyAlignment="1">
      <alignment vertical="center"/>
    </xf>
    <xf numFmtId="0" fontId="33" fillId="0" borderId="0" xfId="39" applyFont="1" applyAlignment="1">
      <alignment vertical="center"/>
    </xf>
    <xf numFmtId="3" fontId="28" fillId="0" borderId="0" xfId="35" applyNumberFormat="1" applyFont="1" applyFill="1" applyBorder="1" applyAlignment="1" applyProtection="1">
      <alignment horizontal="right" vertical="center"/>
    </xf>
    <xf numFmtId="3" fontId="28" fillId="0" borderId="12" xfId="35" applyNumberFormat="1" applyFont="1" applyFill="1" applyBorder="1" applyAlignment="1" applyProtection="1">
      <alignment horizontal="right" vertical="center"/>
    </xf>
    <xf numFmtId="169" fontId="30" fillId="0" borderId="0" xfId="41" applyFont="1" applyAlignment="1">
      <alignment vertical="center"/>
    </xf>
    <xf numFmtId="169" fontId="64" fillId="0" borderId="0" xfId="42" applyFont="1" applyAlignment="1">
      <alignment horizontal="right" vertical="center"/>
    </xf>
    <xf numFmtId="173" fontId="40" fillId="0" borderId="12" xfId="42" applyNumberFormat="1" applyFont="1" applyBorder="1" applyAlignment="1">
      <alignment horizontal="center"/>
    </xf>
    <xf numFmtId="3" fontId="55" fillId="0" borderId="0" xfId="40" applyNumberFormat="1" applyFont="1" applyAlignment="1">
      <alignment horizontal="center" vertical="center"/>
    </xf>
    <xf numFmtId="174" fontId="57" fillId="0" borderId="0" xfId="41" applyNumberFormat="1" applyFont="1"/>
    <xf numFmtId="174" fontId="47" fillId="0" borderId="0" xfId="41" applyNumberFormat="1" applyFont="1"/>
    <xf numFmtId="174" fontId="47" fillId="0" borderId="0" xfId="42" applyNumberFormat="1" applyFont="1"/>
    <xf numFmtId="171" fontId="57" fillId="0" borderId="0" xfId="42" applyNumberFormat="1" applyFont="1" applyAlignment="1">
      <alignment horizontal="center"/>
    </xf>
    <xf numFmtId="190" fontId="28" fillId="0" borderId="0" xfId="44" applyNumberFormat="1" applyFont="1" applyAlignment="1">
      <alignment vertical="center"/>
    </xf>
    <xf numFmtId="209" fontId="28" fillId="0" borderId="0" xfId="41" applyNumberFormat="1" applyFont="1" applyAlignment="1">
      <alignment vertical="center"/>
    </xf>
    <xf numFmtId="209" fontId="28" fillId="0" borderId="12" xfId="41" applyNumberFormat="1" applyFont="1" applyBorder="1" applyAlignment="1">
      <alignment vertical="center"/>
    </xf>
    <xf numFmtId="174" fontId="67" fillId="0" borderId="0" xfId="41" applyNumberFormat="1" applyFont="1"/>
    <xf numFmtId="174" fontId="67" fillId="0" borderId="0" xfId="42" applyNumberFormat="1" applyFont="1"/>
    <xf numFmtId="4" fontId="49" fillId="0" borderId="0" xfId="42" applyNumberFormat="1" applyFont="1" applyAlignment="1">
      <alignment vertical="center"/>
    </xf>
    <xf numFmtId="210" fontId="49" fillId="0" borderId="0" xfId="42" applyNumberFormat="1" applyFont="1" applyAlignment="1">
      <alignment vertical="center"/>
    </xf>
    <xf numFmtId="4" fontId="40" fillId="0" borderId="0" xfId="42" applyNumberFormat="1" applyFont="1" applyAlignment="1">
      <alignment vertical="center"/>
    </xf>
    <xf numFmtId="174" fontId="40" fillId="0" borderId="0" xfId="42" applyNumberFormat="1" applyFont="1" applyAlignment="1">
      <alignment vertical="center"/>
    </xf>
    <xf numFmtId="211" fontId="28" fillId="0" borderId="0" xfId="36" applyNumberFormat="1" applyFont="1" applyFill="1" applyAlignment="1" applyProtection="1">
      <alignment vertical="center"/>
    </xf>
    <xf numFmtId="212" fontId="28" fillId="0" borderId="0" xfId="40" applyNumberFormat="1" applyFont="1" applyAlignment="1">
      <alignment vertical="center"/>
    </xf>
    <xf numFmtId="174" fontId="33" fillId="0" borderId="0" xfId="40" applyNumberFormat="1" applyFont="1" applyAlignment="1">
      <alignment vertical="center"/>
    </xf>
    <xf numFmtId="1" fontId="28" fillId="0" borderId="0" xfId="40" applyNumberFormat="1" applyFont="1" applyAlignment="1">
      <alignment vertical="center"/>
    </xf>
    <xf numFmtId="177" fontId="30" fillId="20" borderId="11" xfId="32" quotePrefix="1" applyNumberFormat="1" applyFont="1" applyFill="1" applyBorder="1" applyAlignment="1" applyProtection="1">
      <alignment horizontal="center" vertical="center"/>
    </xf>
    <xf numFmtId="3" fontId="30" fillId="20" borderId="11" xfId="32" quotePrefix="1" applyNumberFormat="1" applyFont="1" applyFill="1" applyBorder="1" applyAlignment="1" applyProtection="1">
      <alignment horizontal="center" vertical="center"/>
    </xf>
    <xf numFmtId="49" fontId="30" fillId="20" borderId="11" xfId="32" quotePrefix="1" applyNumberFormat="1" applyFont="1" applyFill="1" applyBorder="1" applyAlignment="1" applyProtection="1">
      <alignment horizontal="center" vertical="center"/>
    </xf>
    <xf numFmtId="49" fontId="30" fillId="20" borderId="10" xfId="38" applyNumberFormat="1" applyFont="1" applyFill="1" applyBorder="1" applyAlignment="1">
      <alignment horizontal="center" vertical="center"/>
    </xf>
    <xf numFmtId="190" fontId="30" fillId="20" borderId="10" xfId="38" applyNumberFormat="1" applyFont="1" applyFill="1" applyBorder="1" applyAlignment="1">
      <alignment horizontal="center" vertical="center"/>
    </xf>
    <xf numFmtId="168" fontId="37" fillId="20" borderId="13" xfId="0" applyFont="1" applyFill="1" applyBorder="1" applyAlignment="1">
      <alignment horizontal="center" vertical="center" wrapText="1"/>
    </xf>
    <xf numFmtId="168" fontId="30" fillId="21" borderId="10" xfId="0" applyFont="1" applyFill="1" applyBorder="1" applyAlignment="1">
      <alignment horizontal="centerContinuous" vertical="center"/>
    </xf>
    <xf numFmtId="175" fontId="30" fillId="21" borderId="10" xfId="32" quotePrefix="1" applyNumberFormat="1" applyFont="1" applyFill="1" applyBorder="1" applyAlignment="1" applyProtection="1">
      <alignment horizontal="right" vertical="center"/>
    </xf>
    <xf numFmtId="175" fontId="30" fillId="21" borderId="11" xfId="32" quotePrefix="1" applyNumberFormat="1" applyFont="1" applyFill="1" applyBorder="1" applyAlignment="1" applyProtection="1">
      <alignment horizontal="right" vertical="center"/>
    </xf>
    <xf numFmtId="192" fontId="30" fillId="21" borderId="11" xfId="32" quotePrefix="1" applyNumberFormat="1" applyFont="1" applyFill="1" applyBorder="1" applyAlignment="1" applyProtection="1">
      <alignment horizontal="right" vertical="center"/>
    </xf>
    <xf numFmtId="168" fontId="30" fillId="21" borderId="11" xfId="0" applyFont="1" applyFill="1" applyBorder="1" applyAlignment="1">
      <alignment horizontal="center" vertical="center"/>
    </xf>
    <xf numFmtId="175" fontId="30" fillId="21" borderId="10" xfId="0" applyNumberFormat="1" applyFont="1" applyFill="1" applyBorder="1" applyAlignment="1">
      <alignment vertical="center"/>
    </xf>
    <xf numFmtId="183" fontId="30" fillId="21" borderId="11" xfId="36" applyNumberFormat="1" applyFont="1" applyFill="1" applyBorder="1" applyAlignment="1" applyProtection="1">
      <alignment vertical="center"/>
    </xf>
    <xf numFmtId="192" fontId="30" fillId="21" borderId="11" xfId="36" applyNumberFormat="1" applyFont="1" applyFill="1" applyBorder="1" applyAlignment="1" applyProtection="1">
      <alignment vertical="center"/>
    </xf>
    <xf numFmtId="184" fontId="30" fillId="21" borderId="10" xfId="32" quotePrefix="1" applyNumberFormat="1" applyFont="1" applyFill="1" applyBorder="1" applyAlignment="1" applyProtection="1">
      <alignment horizontal="right" vertical="center"/>
    </xf>
    <xf numFmtId="198" fontId="30" fillId="21" borderId="10" xfId="32" quotePrefix="1" applyNumberFormat="1" applyFont="1" applyFill="1" applyBorder="1" applyAlignment="1" applyProtection="1">
      <alignment horizontal="right" vertical="center"/>
    </xf>
    <xf numFmtId="168" fontId="32" fillId="21" borderId="10" xfId="0" applyFont="1" applyFill="1" applyBorder="1" applyAlignment="1">
      <alignment vertical="center"/>
    </xf>
    <xf numFmtId="3" fontId="30" fillId="21" borderId="0" xfId="40" applyNumberFormat="1" applyFont="1" applyFill="1" applyAlignment="1">
      <alignment vertical="center"/>
    </xf>
    <xf numFmtId="174" fontId="30" fillId="21" borderId="0" xfId="40" applyNumberFormat="1" applyFont="1" applyFill="1" applyAlignment="1">
      <alignment vertical="center"/>
    </xf>
    <xf numFmtId="4" fontId="30" fillId="21" borderId="10" xfId="40" applyNumberFormat="1" applyFont="1" applyFill="1" applyBorder="1" applyAlignment="1">
      <alignment vertical="center"/>
    </xf>
    <xf numFmtId="175" fontId="30" fillId="21" borderId="0" xfId="40" applyNumberFormat="1" applyFont="1" applyFill="1" applyAlignment="1">
      <alignment vertical="center"/>
    </xf>
    <xf numFmtId="3" fontId="30" fillId="21" borderId="15" xfId="40" applyNumberFormat="1" applyFont="1" applyFill="1" applyBorder="1" applyAlignment="1">
      <alignment vertical="center"/>
    </xf>
    <xf numFmtId="4" fontId="30" fillId="21" borderId="12" xfId="40" applyNumberFormat="1" applyFont="1" applyFill="1" applyBorder="1" applyAlignment="1">
      <alignment vertical="center"/>
    </xf>
    <xf numFmtId="0" fontId="30" fillId="21" borderId="11" xfId="40" applyFont="1" applyFill="1" applyBorder="1" applyAlignment="1">
      <alignment horizontal="center" vertical="center"/>
    </xf>
    <xf numFmtId="199" fontId="30" fillId="21" borderId="11" xfId="40" applyNumberFormat="1" applyFont="1" applyFill="1" applyBorder="1" applyAlignment="1">
      <alignment vertical="center"/>
    </xf>
    <xf numFmtId="0" fontId="41" fillId="21" borderId="11" xfId="40" applyFont="1" applyFill="1" applyBorder="1" applyAlignment="1">
      <alignment horizontal="center" vertical="center"/>
    </xf>
    <xf numFmtId="199" fontId="41" fillId="21" borderId="11" xfId="40" applyNumberFormat="1" applyFont="1" applyFill="1" applyBorder="1" applyAlignment="1">
      <alignment vertical="center"/>
    </xf>
    <xf numFmtId="200" fontId="41" fillId="21" borderId="11" xfId="40" applyNumberFormat="1" applyFont="1" applyFill="1" applyBorder="1" applyAlignment="1">
      <alignment vertical="center"/>
    </xf>
    <xf numFmtId="175" fontId="41" fillId="21" borderId="11" xfId="40" applyNumberFormat="1" applyFont="1" applyFill="1" applyBorder="1" applyAlignment="1">
      <alignment horizontal="center" vertical="center"/>
    </xf>
    <xf numFmtId="196" fontId="41" fillId="21" borderId="11" xfId="40" applyNumberFormat="1" applyFont="1" applyFill="1" applyBorder="1" applyAlignment="1">
      <alignment vertical="center"/>
    </xf>
    <xf numFmtId="197" fontId="41" fillId="21" borderId="11" xfId="40" applyNumberFormat="1" applyFont="1" applyFill="1" applyBorder="1" applyAlignment="1">
      <alignment vertical="center"/>
    </xf>
    <xf numFmtId="201" fontId="41" fillId="21" borderId="11" xfId="40" applyNumberFormat="1" applyFont="1" applyFill="1" applyBorder="1" applyAlignment="1">
      <alignment vertical="center"/>
    </xf>
    <xf numFmtId="208" fontId="41" fillId="21" borderId="11" xfId="40" applyNumberFormat="1" applyFont="1" applyFill="1" applyBorder="1" applyAlignment="1">
      <alignment horizontal="right" vertical="center"/>
    </xf>
    <xf numFmtId="195" fontId="30" fillId="21" borderId="0" xfId="40" applyNumberFormat="1" applyFont="1" applyFill="1" applyAlignment="1">
      <alignment vertical="center"/>
    </xf>
    <xf numFmtId="195" fontId="30" fillId="21" borderId="12" xfId="40" applyNumberFormat="1" applyFont="1" applyFill="1" applyBorder="1" applyAlignment="1">
      <alignment vertical="center"/>
    </xf>
    <xf numFmtId="195" fontId="30" fillId="21" borderId="11" xfId="35" applyNumberFormat="1" applyFont="1" applyFill="1" applyBorder="1" applyAlignment="1" applyProtection="1">
      <alignment horizontal="right" vertical="center"/>
    </xf>
    <xf numFmtId="3" fontId="30" fillId="21" borderId="11" xfId="35" applyNumberFormat="1" applyFont="1" applyFill="1" applyBorder="1" applyAlignment="1" applyProtection="1">
      <alignment horizontal="right" vertical="center"/>
    </xf>
    <xf numFmtId="4" fontId="30" fillId="21" borderId="11" xfId="35" applyNumberFormat="1" applyFont="1" applyFill="1" applyBorder="1" applyAlignment="1" applyProtection="1">
      <alignment horizontal="center" vertical="center"/>
    </xf>
    <xf numFmtId="199" fontId="30" fillId="21" borderId="11" xfId="35" applyNumberFormat="1" applyFont="1" applyFill="1" applyBorder="1" applyAlignment="1" applyProtection="1">
      <alignment horizontal="right" vertical="center"/>
    </xf>
    <xf numFmtId="200" fontId="30" fillId="21" borderId="11" xfId="35" applyNumberFormat="1" applyFont="1" applyFill="1" applyBorder="1" applyAlignment="1" applyProtection="1">
      <alignment horizontal="right" vertical="center"/>
    </xf>
    <xf numFmtId="196" fontId="30" fillId="21" borderId="11" xfId="35" applyNumberFormat="1" applyFont="1" applyFill="1" applyBorder="1" applyAlignment="1" applyProtection="1">
      <alignment horizontal="right" vertical="center"/>
    </xf>
    <xf numFmtId="169" fontId="30" fillId="21" borderId="10" xfId="41" applyFont="1" applyFill="1" applyBorder="1" applyAlignment="1">
      <alignment horizontal="center" vertical="center"/>
    </xf>
    <xf numFmtId="195" fontId="30" fillId="21" borderId="10" xfId="41" applyNumberFormat="1" applyFont="1" applyFill="1" applyBorder="1" applyAlignment="1">
      <alignment vertical="center"/>
    </xf>
    <xf numFmtId="3" fontId="30" fillId="21" borderId="10" xfId="41" applyNumberFormat="1" applyFont="1" applyFill="1" applyBorder="1" applyAlignment="1">
      <alignment vertical="center"/>
    </xf>
    <xf numFmtId="195" fontId="30" fillId="21" borderId="0" xfId="41" applyNumberFormat="1" applyFont="1" applyFill="1" applyAlignment="1">
      <alignment vertical="center"/>
    </xf>
    <xf numFmtId="195" fontId="30" fillId="21" borderId="12" xfId="41" applyNumberFormat="1" applyFont="1" applyFill="1" applyBorder="1" applyAlignment="1">
      <alignment vertical="center"/>
    </xf>
    <xf numFmtId="169" fontId="41" fillId="21" borderId="10" xfId="41" applyFont="1" applyFill="1" applyBorder="1" applyAlignment="1">
      <alignment horizontal="center" vertical="center"/>
    </xf>
    <xf numFmtId="199" fontId="41" fillId="21" borderId="10" xfId="41" applyNumberFormat="1" applyFont="1" applyFill="1" applyBorder="1" applyAlignment="1">
      <alignment vertical="center"/>
    </xf>
    <xf numFmtId="199" fontId="41" fillId="21" borderId="0" xfId="41" applyNumberFormat="1" applyFont="1" applyFill="1" applyAlignment="1">
      <alignment vertical="center"/>
    </xf>
    <xf numFmtId="199" fontId="41" fillId="21" borderId="12" xfId="41" applyNumberFormat="1" applyFont="1" applyFill="1" applyBorder="1" applyAlignment="1">
      <alignment vertical="center"/>
    </xf>
    <xf numFmtId="174" fontId="41" fillId="21" borderId="10" xfId="41" applyNumberFormat="1" applyFont="1" applyFill="1" applyBorder="1" applyAlignment="1">
      <alignment horizontal="center" vertical="center"/>
    </xf>
    <xf numFmtId="174" fontId="41" fillId="21" borderId="0" xfId="41" applyNumberFormat="1" applyFont="1" applyFill="1" applyAlignment="1">
      <alignment horizontal="center" vertical="center"/>
    </xf>
    <xf numFmtId="174" fontId="41" fillId="21" borderId="12" xfId="41" applyNumberFormat="1" applyFont="1" applyFill="1" applyBorder="1" applyAlignment="1">
      <alignment horizontal="center" vertical="center"/>
    </xf>
    <xf numFmtId="169" fontId="41" fillId="21" borderId="11" xfId="41" applyFont="1" applyFill="1" applyBorder="1" applyAlignment="1">
      <alignment horizontal="center" vertical="center"/>
    </xf>
    <xf numFmtId="199" fontId="41" fillId="21" borderId="11" xfId="41" applyNumberFormat="1" applyFont="1" applyFill="1" applyBorder="1" applyAlignment="1">
      <alignment vertical="center"/>
    </xf>
    <xf numFmtId="169" fontId="41" fillId="21" borderId="11" xfId="41" quotePrefix="1" applyFont="1" applyFill="1" applyBorder="1" applyAlignment="1">
      <alignment horizontal="center" vertical="center"/>
    </xf>
    <xf numFmtId="200" fontId="41" fillId="21" borderId="11" xfId="41" applyNumberFormat="1" applyFont="1" applyFill="1" applyBorder="1" applyAlignment="1">
      <alignment vertical="center"/>
    </xf>
    <xf numFmtId="200" fontId="41" fillId="21" borderId="0" xfId="41" applyNumberFormat="1" applyFont="1" applyFill="1" applyAlignment="1">
      <alignment vertical="center"/>
    </xf>
    <xf numFmtId="200" fontId="41" fillId="21" borderId="12" xfId="41" applyNumberFormat="1" applyFont="1" applyFill="1" applyBorder="1" applyAlignment="1">
      <alignment vertical="center"/>
    </xf>
    <xf numFmtId="169" fontId="41" fillId="21" borderId="10" xfId="45" applyNumberFormat="1" applyFont="1" applyFill="1" applyBorder="1" applyAlignment="1">
      <alignment horizontal="center" vertical="center"/>
    </xf>
    <xf numFmtId="175" fontId="41" fillId="21" borderId="11" xfId="41" applyNumberFormat="1" applyFont="1" applyFill="1" applyBorder="1" applyAlignment="1">
      <alignment horizontal="center" vertical="center"/>
    </xf>
    <xf numFmtId="175" fontId="41" fillId="21" borderId="0" xfId="41" applyNumberFormat="1" applyFont="1" applyFill="1" applyAlignment="1">
      <alignment horizontal="center" vertical="center"/>
    </xf>
    <xf numFmtId="175" fontId="41" fillId="21" borderId="12" xfId="41" applyNumberFormat="1" applyFont="1" applyFill="1" applyBorder="1" applyAlignment="1">
      <alignment horizontal="center" vertical="center"/>
    </xf>
    <xf numFmtId="199" fontId="41" fillId="21" borderId="0" xfId="40" applyNumberFormat="1" applyFont="1" applyFill="1" applyAlignment="1">
      <alignment vertical="center"/>
    </xf>
    <xf numFmtId="199" fontId="41" fillId="21" borderId="12" xfId="40" applyNumberFormat="1" applyFont="1" applyFill="1" applyBorder="1" applyAlignment="1">
      <alignment vertical="center"/>
    </xf>
    <xf numFmtId="0" fontId="41" fillId="21" borderId="11" xfId="40" quotePrefix="1" applyFont="1" applyFill="1" applyBorder="1" applyAlignment="1">
      <alignment horizontal="center" vertical="center"/>
    </xf>
    <xf numFmtId="200" fontId="41" fillId="21" borderId="0" xfId="40" applyNumberFormat="1" applyFont="1" applyFill="1" applyAlignment="1">
      <alignment vertical="center"/>
    </xf>
    <xf numFmtId="200" fontId="41" fillId="21" borderId="12" xfId="40" applyNumberFormat="1" applyFont="1" applyFill="1" applyBorder="1" applyAlignment="1">
      <alignment vertical="center"/>
    </xf>
    <xf numFmtId="175" fontId="41" fillId="21" borderId="0" xfId="40" applyNumberFormat="1" applyFont="1" applyFill="1" applyAlignment="1">
      <alignment horizontal="center" vertical="center"/>
    </xf>
    <xf numFmtId="175" fontId="41" fillId="21" borderId="12" xfId="40" applyNumberFormat="1" applyFont="1" applyFill="1" applyBorder="1" applyAlignment="1">
      <alignment horizontal="center" vertical="center"/>
    </xf>
    <xf numFmtId="195" fontId="41" fillId="21" borderId="11" xfId="41" applyNumberFormat="1" applyFont="1" applyFill="1" applyBorder="1" applyAlignment="1">
      <alignment vertical="center"/>
    </xf>
    <xf numFmtId="3" fontId="41" fillId="21" borderId="11" xfId="41" applyNumberFormat="1" applyFont="1" applyFill="1" applyBorder="1" applyAlignment="1">
      <alignment vertical="center"/>
    </xf>
    <xf numFmtId="195" fontId="41" fillId="21" borderId="0" xfId="41" applyNumberFormat="1" applyFont="1" applyFill="1" applyAlignment="1">
      <alignment vertical="center"/>
    </xf>
    <xf numFmtId="195" fontId="41" fillId="21" borderId="12" xfId="41" applyNumberFormat="1" applyFont="1" applyFill="1" applyBorder="1" applyAlignment="1">
      <alignment vertical="center"/>
    </xf>
    <xf numFmtId="209" fontId="41" fillId="21" borderId="11" xfId="41" applyNumberFormat="1" applyFont="1" applyFill="1" applyBorder="1" applyAlignment="1">
      <alignment vertical="center"/>
    </xf>
    <xf numFmtId="209" fontId="41" fillId="21" borderId="0" xfId="41" applyNumberFormat="1" applyFont="1" applyFill="1" applyAlignment="1">
      <alignment vertical="center"/>
    </xf>
    <xf numFmtId="209" fontId="41" fillId="21" borderId="12" xfId="41" applyNumberFormat="1" applyFont="1" applyFill="1" applyBorder="1" applyAlignment="1">
      <alignment vertical="center"/>
    </xf>
    <xf numFmtId="195" fontId="41" fillId="21" borderId="0" xfId="41" applyNumberFormat="1" applyFont="1" applyFill="1" applyAlignment="1">
      <alignment horizontal="right" vertical="center"/>
    </xf>
    <xf numFmtId="195" fontId="41" fillId="21" borderId="12" xfId="41" applyNumberFormat="1" applyFont="1" applyFill="1" applyBorder="1" applyAlignment="1">
      <alignment horizontal="right" vertical="center"/>
    </xf>
    <xf numFmtId="200" fontId="41" fillId="21" borderId="0" xfId="41" applyNumberFormat="1" applyFont="1" applyFill="1" applyAlignment="1">
      <alignment horizontal="right" vertical="center"/>
    </xf>
    <xf numFmtId="200" fontId="41" fillId="21" borderId="12" xfId="41" applyNumberFormat="1" applyFont="1" applyFill="1" applyBorder="1" applyAlignment="1">
      <alignment horizontal="right" vertical="center"/>
    </xf>
    <xf numFmtId="174" fontId="41" fillId="21" borderId="11" xfId="41" applyNumberFormat="1" applyFont="1" applyFill="1" applyBorder="1" applyAlignment="1">
      <alignment horizontal="center" vertical="center"/>
    </xf>
    <xf numFmtId="199" fontId="41" fillId="21" borderId="0" xfId="41" applyNumberFormat="1" applyFont="1" applyFill="1" applyAlignment="1">
      <alignment horizontal="right" vertical="center"/>
    </xf>
    <xf numFmtId="199" fontId="41" fillId="21" borderId="12" xfId="41" applyNumberFormat="1" applyFont="1" applyFill="1" applyBorder="1" applyAlignment="1">
      <alignment horizontal="right" vertical="center"/>
    </xf>
    <xf numFmtId="198" fontId="41" fillId="21" borderId="11" xfId="41" applyNumberFormat="1" applyFont="1" applyFill="1" applyBorder="1" applyAlignment="1">
      <alignment vertical="center"/>
    </xf>
    <xf numFmtId="193" fontId="41" fillId="21" borderId="11" xfId="41" applyNumberFormat="1" applyFont="1" applyFill="1" applyBorder="1" applyAlignment="1">
      <alignment vertical="center"/>
    </xf>
    <xf numFmtId="198" fontId="41" fillId="21" borderId="0" xfId="41" applyNumberFormat="1" applyFont="1" applyFill="1" applyAlignment="1">
      <alignment horizontal="right" vertical="center"/>
    </xf>
    <xf numFmtId="198" fontId="41" fillId="21" borderId="0" xfId="41" applyNumberFormat="1" applyFont="1" applyFill="1" applyAlignment="1">
      <alignment vertical="center"/>
    </xf>
    <xf numFmtId="198" fontId="41" fillId="21" borderId="12" xfId="41" applyNumberFormat="1" applyFont="1" applyFill="1" applyBorder="1" applyAlignment="1">
      <alignment horizontal="right" vertical="center"/>
    </xf>
    <xf numFmtId="169" fontId="30" fillId="21" borderId="10" xfId="42" applyFont="1" applyFill="1" applyBorder="1" applyAlignment="1">
      <alignment horizontal="center" vertical="center"/>
    </xf>
    <xf numFmtId="169" fontId="49" fillId="21" borderId="11" xfId="42" applyFont="1" applyFill="1" applyBorder="1" applyAlignment="1">
      <alignment horizontal="center" vertical="center"/>
    </xf>
    <xf numFmtId="199" fontId="49" fillId="21" borderId="11" xfId="42" applyNumberFormat="1" applyFont="1" applyFill="1" applyBorder="1" applyAlignment="1">
      <alignment vertical="center"/>
    </xf>
    <xf numFmtId="169" fontId="40" fillId="21" borderId="0" xfId="42" applyFont="1" applyFill="1"/>
    <xf numFmtId="175" fontId="49" fillId="21" borderId="0" xfId="0" applyNumberFormat="1" applyFont="1" applyFill="1" applyAlignment="1">
      <alignment horizontal="center" vertical="center"/>
    </xf>
    <xf numFmtId="175" fontId="49" fillId="21" borderId="12" xfId="0" applyNumberFormat="1" applyFont="1" applyFill="1" applyBorder="1" applyAlignment="1">
      <alignment horizontal="center" vertical="center"/>
    </xf>
    <xf numFmtId="169" fontId="30" fillId="21" borderId="11" xfId="41" applyFont="1" applyFill="1" applyBorder="1" applyAlignment="1">
      <alignment horizontal="center" vertical="center"/>
    </xf>
    <xf numFmtId="4" fontId="30" fillId="21" borderId="11" xfId="41" applyNumberFormat="1" applyFont="1" applyFill="1" applyBorder="1" applyAlignment="1">
      <alignment horizontal="center" vertical="center"/>
    </xf>
    <xf numFmtId="0" fontId="30" fillId="21" borderId="10" xfId="40" applyFont="1" applyFill="1" applyBorder="1" applyAlignment="1">
      <alignment horizontal="center" vertical="center"/>
    </xf>
    <xf numFmtId="2" fontId="30" fillId="21" borderId="10" xfId="40" applyNumberFormat="1" applyFont="1" applyFill="1" applyBorder="1" applyAlignment="1">
      <alignment horizontal="center" vertical="center"/>
    </xf>
    <xf numFmtId="0" fontId="41" fillId="21" borderId="10" xfId="40" applyFont="1" applyFill="1" applyBorder="1" applyAlignment="1">
      <alignment horizontal="center" vertical="center"/>
    </xf>
    <xf numFmtId="2" fontId="41" fillId="21" borderId="11" xfId="40" applyNumberFormat="1" applyFont="1" applyFill="1" applyBorder="1" applyAlignment="1">
      <alignment horizontal="center" vertical="center"/>
    </xf>
    <xf numFmtId="2" fontId="41" fillId="21" borderId="10" xfId="40" applyNumberFormat="1" applyFont="1" applyFill="1" applyBorder="1" applyAlignment="1">
      <alignment horizontal="center" vertical="center"/>
    </xf>
    <xf numFmtId="37" fontId="41" fillId="21" borderId="11" xfId="44" applyFont="1" applyFill="1" applyBorder="1" applyAlignment="1">
      <alignment horizontal="center" vertical="center"/>
    </xf>
    <xf numFmtId="37" fontId="41" fillId="21" borderId="11" xfId="44" applyFont="1" applyFill="1" applyBorder="1" applyAlignment="1">
      <alignment vertical="center"/>
    </xf>
    <xf numFmtId="195" fontId="41" fillId="21" borderId="11" xfId="44" applyNumberFormat="1" applyFont="1" applyFill="1" applyBorder="1" applyAlignment="1">
      <alignment vertical="center"/>
    </xf>
    <xf numFmtId="37" fontId="28" fillId="21" borderId="0" xfId="44" applyFont="1" applyFill="1" applyAlignment="1">
      <alignment vertical="center"/>
    </xf>
    <xf numFmtId="195" fontId="28" fillId="21" borderId="0" xfId="44" applyNumberFormat="1" applyFont="1" applyFill="1" applyAlignment="1">
      <alignment vertical="center"/>
    </xf>
    <xf numFmtId="37" fontId="30" fillId="21" borderId="0" xfId="44" applyFont="1" applyFill="1" applyAlignment="1">
      <alignment horizontal="left"/>
    </xf>
    <xf numFmtId="195" fontId="30" fillId="21" borderId="0" xfId="44" applyNumberFormat="1" applyFont="1" applyFill="1"/>
    <xf numFmtId="37" fontId="41" fillId="21" borderId="0" xfId="44" applyFont="1" applyFill="1" applyAlignment="1">
      <alignment vertical="center"/>
    </xf>
    <xf numFmtId="37" fontId="41" fillId="21" borderId="12" xfId="44" applyFont="1" applyFill="1" applyBorder="1" applyAlignment="1">
      <alignment vertical="center"/>
    </xf>
    <xf numFmtId="37" fontId="30" fillId="21" borderId="0" xfId="44" applyFont="1" applyFill="1" applyAlignment="1">
      <alignment horizontal="left" vertical="center"/>
    </xf>
    <xf numFmtId="195" fontId="30" fillId="21" borderId="0" xfId="44" applyNumberFormat="1" applyFont="1" applyFill="1" applyAlignment="1">
      <alignment vertical="center"/>
    </xf>
    <xf numFmtId="195" fontId="41" fillId="21" borderId="0" xfId="44" applyNumberFormat="1" applyFont="1" applyFill="1"/>
    <xf numFmtId="195" fontId="41" fillId="21" borderId="0" xfId="44" applyNumberFormat="1" applyFont="1" applyFill="1" applyAlignment="1">
      <alignment vertical="center"/>
    </xf>
    <xf numFmtId="3" fontId="28" fillId="21" borderId="10" xfId="35" applyNumberFormat="1" applyFont="1" applyFill="1" applyBorder="1" applyAlignment="1" applyProtection="1">
      <alignment vertical="center"/>
    </xf>
    <xf numFmtId="175" fontId="28" fillId="21" borderId="10" xfId="35" applyNumberFormat="1" applyFont="1" applyFill="1" applyBorder="1" applyAlignment="1" applyProtection="1">
      <alignment vertical="center"/>
    </xf>
    <xf numFmtId="177" fontId="30" fillId="20" borderId="10" xfId="32" quotePrefix="1" applyNumberFormat="1" applyFont="1" applyFill="1" applyBorder="1" applyAlignment="1" applyProtection="1">
      <alignment horizontal="center" vertical="center"/>
    </xf>
    <xf numFmtId="3" fontId="30" fillId="20" borderId="10" xfId="32" quotePrefix="1" applyNumberFormat="1" applyFont="1" applyFill="1" applyBorder="1" applyAlignment="1" applyProtection="1">
      <alignment horizontal="center" vertical="center"/>
    </xf>
    <xf numFmtId="49" fontId="30" fillId="20" borderId="10" xfId="32" quotePrefix="1" applyNumberFormat="1" applyFont="1" applyFill="1" applyBorder="1" applyAlignment="1" applyProtection="1">
      <alignment horizontal="center" vertical="center"/>
    </xf>
    <xf numFmtId="49" fontId="30" fillId="20" borderId="13" xfId="38" applyNumberFormat="1" applyFont="1" applyFill="1" applyBorder="1" applyAlignment="1">
      <alignment horizontal="center" vertical="center"/>
    </xf>
    <xf numFmtId="37" fontId="30" fillId="20" borderId="13" xfId="38" applyNumberFormat="1" applyFont="1" applyFill="1" applyBorder="1" applyAlignment="1">
      <alignment horizontal="center" vertical="center"/>
    </xf>
    <xf numFmtId="190" fontId="30" fillId="20" borderId="13" xfId="38" applyNumberFormat="1" applyFont="1" applyFill="1" applyBorder="1" applyAlignment="1">
      <alignment horizontal="center" vertical="center"/>
    </xf>
    <xf numFmtId="3" fontId="30" fillId="21" borderId="11" xfId="38" quotePrefix="1" applyNumberFormat="1" applyFont="1" applyFill="1" applyBorder="1" applyAlignment="1">
      <alignment horizontal="center" vertical="center"/>
    </xf>
    <xf numFmtId="0" fontId="30" fillId="20" borderId="10" xfId="38" applyFont="1" applyFill="1" applyBorder="1" applyAlignment="1">
      <alignment horizontal="center" vertical="center"/>
    </xf>
    <xf numFmtId="0" fontId="30" fillId="20" borderId="10" xfId="38" applyFont="1" applyFill="1" applyBorder="1" applyAlignment="1">
      <alignment horizontal="center" vertical="center" wrapText="1"/>
    </xf>
    <xf numFmtId="0" fontId="30" fillId="20" borderId="13" xfId="39" applyFont="1" applyFill="1" applyBorder="1" applyAlignment="1" applyProtection="1">
      <alignment horizontal="center" vertical="center" wrapText="1"/>
      <protection locked="0"/>
    </xf>
    <xf numFmtId="0" fontId="30" fillId="20" borderId="13" xfId="39" applyFont="1" applyFill="1" applyBorder="1" applyAlignment="1">
      <alignment horizontal="center" vertical="center"/>
    </xf>
    <xf numFmtId="170" fontId="30" fillId="20" borderId="13" xfId="45" quotePrefix="1" applyNumberFormat="1" applyFont="1" applyFill="1" applyBorder="1" applyAlignment="1">
      <alignment horizontal="center" vertical="center"/>
    </xf>
    <xf numFmtId="175" fontId="28" fillId="0" borderId="0" xfId="39" applyNumberFormat="1" applyFont="1" applyAlignment="1">
      <alignment vertical="center"/>
    </xf>
    <xf numFmtId="174" fontId="28" fillId="0" borderId="0" xfId="39" applyNumberFormat="1" applyFont="1" applyAlignment="1">
      <alignment vertical="center"/>
    </xf>
    <xf numFmtId="2" fontId="28" fillId="0" borderId="10" xfId="39" applyNumberFormat="1" applyFont="1" applyBorder="1" applyAlignment="1">
      <alignment vertical="center"/>
    </xf>
    <xf numFmtId="4" fontId="28" fillId="0" borderId="10" xfId="39" applyNumberFormat="1" applyFont="1" applyBorder="1" applyAlignment="1" applyProtection="1">
      <alignment vertical="center"/>
      <protection locked="0"/>
    </xf>
    <xf numFmtId="2" fontId="28" fillId="0" borderId="10" xfId="39" applyNumberFormat="1" applyFont="1" applyBorder="1" applyAlignment="1">
      <alignment horizontal="right" vertical="center"/>
    </xf>
    <xf numFmtId="4" fontId="28" fillId="0" borderId="12" xfId="39" applyNumberFormat="1" applyFont="1" applyBorder="1" applyAlignment="1" applyProtection="1">
      <alignment vertical="center"/>
      <protection locked="0"/>
    </xf>
    <xf numFmtId="3" fontId="30" fillId="20" borderId="13" xfId="40" applyNumberFormat="1" applyFont="1" applyFill="1" applyBorder="1" applyAlignment="1">
      <alignment horizontal="center" vertical="center" wrapText="1"/>
    </xf>
    <xf numFmtId="3" fontId="30" fillId="20" borderId="13" xfId="40" applyNumberFormat="1" applyFont="1" applyFill="1" applyBorder="1" applyAlignment="1">
      <alignment horizontal="center" vertical="center"/>
    </xf>
    <xf numFmtId="0" fontId="30" fillId="20" borderId="13" xfId="40" applyFont="1" applyFill="1" applyBorder="1" applyAlignment="1">
      <alignment horizontal="center" vertical="center"/>
    </xf>
    <xf numFmtId="0" fontId="41" fillId="20" borderId="13" xfId="40" applyFont="1" applyFill="1" applyBorder="1" applyAlignment="1">
      <alignment horizontal="center" vertical="center"/>
    </xf>
    <xf numFmtId="0" fontId="41" fillId="20" borderId="13" xfId="40" applyFont="1" applyFill="1" applyBorder="1" applyAlignment="1">
      <alignment horizontal="center" vertical="center" wrapText="1"/>
    </xf>
    <xf numFmtId="0" fontId="41" fillId="20" borderId="13" xfId="40" quotePrefix="1" applyFont="1" applyFill="1" applyBorder="1" applyAlignment="1">
      <alignment horizontal="center" vertical="center" wrapText="1"/>
    </xf>
    <xf numFmtId="170" fontId="41" fillId="20" borderId="13" xfId="45" quotePrefix="1" applyNumberFormat="1" applyFont="1" applyFill="1" applyBorder="1" applyAlignment="1">
      <alignment horizontal="center" vertical="center"/>
    </xf>
    <xf numFmtId="169" fontId="30" fillId="20" borderId="13" xfId="41" applyFont="1" applyFill="1" applyBorder="1" applyAlignment="1">
      <alignment horizontal="center" vertical="center"/>
    </xf>
    <xf numFmtId="169" fontId="30" fillId="20" borderId="13" xfId="41" quotePrefix="1" applyFont="1" applyFill="1" applyBorder="1" applyAlignment="1">
      <alignment horizontal="center" vertical="center"/>
    </xf>
    <xf numFmtId="169" fontId="41" fillId="20" borderId="13" xfId="41" applyFont="1" applyFill="1" applyBorder="1" applyAlignment="1">
      <alignment horizontal="center" vertical="center"/>
    </xf>
    <xf numFmtId="169" fontId="41" fillId="20" borderId="13" xfId="41" quotePrefix="1" applyFont="1" applyFill="1" applyBorder="1" applyAlignment="1">
      <alignment horizontal="center" vertical="center"/>
    </xf>
    <xf numFmtId="3" fontId="41" fillId="20" borderId="13" xfId="41" quotePrefix="1" applyNumberFormat="1" applyFont="1" applyFill="1" applyBorder="1" applyAlignment="1">
      <alignment horizontal="center" vertical="center"/>
    </xf>
    <xf numFmtId="3" fontId="41" fillId="20" borderId="13" xfId="41" applyNumberFormat="1" applyFont="1" applyFill="1" applyBorder="1" applyAlignment="1">
      <alignment horizontal="center" vertical="center"/>
    </xf>
    <xf numFmtId="175" fontId="41" fillId="20" borderId="13" xfId="41" quotePrefix="1" applyNumberFormat="1" applyFont="1" applyFill="1" applyBorder="1" applyAlignment="1">
      <alignment horizontal="center" vertical="center"/>
    </xf>
    <xf numFmtId="175" fontId="41" fillId="20" borderId="13" xfId="41" applyNumberFormat="1" applyFont="1" applyFill="1" applyBorder="1" applyAlignment="1">
      <alignment horizontal="center" vertical="center"/>
    </xf>
    <xf numFmtId="0" fontId="41" fillId="20" borderId="13" xfId="40" quotePrefix="1" applyFont="1" applyFill="1" applyBorder="1" applyAlignment="1">
      <alignment horizontal="center" vertical="center"/>
    </xf>
    <xf numFmtId="169" fontId="30" fillId="20" borderId="13" xfId="42" applyFont="1" applyFill="1" applyBorder="1" applyAlignment="1">
      <alignment horizontal="center" vertical="center"/>
    </xf>
    <xf numFmtId="169" fontId="30" fillId="20" borderId="10" xfId="42" applyFont="1" applyFill="1" applyBorder="1" applyAlignment="1">
      <alignment horizontal="center" vertical="center"/>
    </xf>
    <xf numFmtId="169" fontId="41" fillId="20" borderId="10" xfId="42" applyFont="1" applyFill="1" applyBorder="1" applyAlignment="1">
      <alignment horizontal="center" vertical="center"/>
    </xf>
    <xf numFmtId="0" fontId="30" fillId="20" borderId="13" xfId="38" applyFont="1" applyFill="1" applyBorder="1" applyAlignment="1">
      <alignment horizontal="center" vertical="center"/>
    </xf>
    <xf numFmtId="0" fontId="30" fillId="20" borderId="13" xfId="38" quotePrefix="1" applyFont="1" applyFill="1" applyBorder="1" applyAlignment="1">
      <alignment horizontal="center" vertical="center"/>
    </xf>
    <xf numFmtId="169" fontId="49" fillId="20" borderId="0" xfId="42" applyFont="1" applyFill="1" applyAlignment="1">
      <alignment horizontal="center"/>
    </xf>
    <xf numFmtId="169" fontId="49" fillId="20" borderId="10" xfId="42" applyFont="1" applyFill="1" applyBorder="1" applyAlignment="1">
      <alignment horizontal="center" vertical="center"/>
    </xf>
    <xf numFmtId="169" fontId="49" fillId="20" borderId="10" xfId="42" applyFont="1" applyFill="1" applyBorder="1" applyAlignment="1">
      <alignment horizontal="center" vertical="top"/>
    </xf>
    <xf numFmtId="169" fontId="49" fillId="20" borderId="10" xfId="42" quotePrefix="1" applyFont="1" applyFill="1" applyBorder="1" applyAlignment="1">
      <alignment horizontal="center" vertical="top"/>
    </xf>
    <xf numFmtId="169" fontId="49" fillId="20" borderId="10" xfId="42" applyFont="1" applyFill="1" applyBorder="1" applyAlignment="1">
      <alignment vertical="center"/>
    </xf>
    <xf numFmtId="169" fontId="49" fillId="20" borderId="10" xfId="42" applyFont="1" applyFill="1" applyBorder="1" applyAlignment="1">
      <alignment horizontal="left" vertical="center"/>
    </xf>
    <xf numFmtId="169" fontId="49" fillId="20" borderId="0" xfId="42" quotePrefix="1" applyFont="1" applyFill="1" applyAlignment="1">
      <alignment horizontal="center"/>
    </xf>
    <xf numFmtId="169" fontId="49" fillId="20" borderId="0" xfId="42" applyFont="1" applyFill="1" applyAlignment="1">
      <alignment horizontal="center" vertical="center"/>
    </xf>
    <xf numFmtId="168" fontId="49" fillId="20" borderId="14" xfId="0" applyFont="1" applyFill="1" applyBorder="1" applyAlignment="1">
      <alignment horizontal="center" vertical="center"/>
    </xf>
    <xf numFmtId="168" fontId="49" fillId="20" borderId="14" xfId="0" applyFont="1" applyFill="1" applyBorder="1" applyAlignment="1">
      <alignment vertical="center"/>
    </xf>
    <xf numFmtId="168" fontId="49" fillId="20" borderId="0" xfId="0" applyFont="1" applyFill="1" applyAlignment="1">
      <alignment horizontal="center" vertical="center"/>
    </xf>
    <xf numFmtId="168" fontId="49" fillId="20" borderId="10" xfId="0" applyFont="1" applyFill="1" applyBorder="1" applyAlignment="1">
      <alignment horizontal="center" vertical="center"/>
    </xf>
    <xf numFmtId="168" fontId="49" fillId="20" borderId="10" xfId="0" applyFont="1" applyFill="1" applyBorder="1" applyAlignment="1">
      <alignment vertical="center"/>
    </xf>
    <xf numFmtId="168" fontId="49" fillId="20" borderId="10" xfId="0" quotePrefix="1" applyFont="1" applyFill="1" applyBorder="1" applyAlignment="1">
      <alignment horizontal="center" vertical="center"/>
    </xf>
    <xf numFmtId="168" fontId="49" fillId="20" borderId="0" xfId="0" applyFont="1" applyFill="1" applyAlignment="1">
      <alignment vertical="center"/>
    </xf>
    <xf numFmtId="168" fontId="49" fillId="20" borderId="0" xfId="0" applyFont="1" applyFill="1" applyAlignment="1">
      <alignment horizontal="center"/>
    </xf>
    <xf numFmtId="168" fontId="49" fillId="20" borderId="0" xfId="0" applyFont="1" applyFill="1" applyAlignment="1">
      <alignment horizontal="center" vertical="top"/>
    </xf>
    <xf numFmtId="169" fontId="30" fillId="20" borderId="0" xfId="41" applyFont="1" applyFill="1" applyAlignment="1">
      <alignment vertical="center"/>
    </xf>
    <xf numFmtId="169" fontId="30" fillId="20" borderId="10" xfId="41" applyFont="1" applyFill="1" applyBorder="1" applyAlignment="1">
      <alignment horizontal="center" vertical="center"/>
    </xf>
    <xf numFmtId="0" fontId="30" fillId="20" borderId="14" xfId="40" applyFont="1" applyFill="1" applyBorder="1" applyAlignment="1">
      <alignment horizontal="center" vertical="center"/>
    </xf>
    <xf numFmtId="0" fontId="30" fillId="20" borderId="13" xfId="40" applyFont="1" applyFill="1" applyBorder="1" applyAlignment="1">
      <alignment horizontal="centerContinuous" vertical="center"/>
    </xf>
    <xf numFmtId="0" fontId="30" fillId="20" borderId="10" xfId="40" applyFont="1" applyFill="1" applyBorder="1" applyAlignment="1">
      <alignment horizontal="center" vertical="center"/>
    </xf>
    <xf numFmtId="0" fontId="30" fillId="20" borderId="10" xfId="40" quotePrefix="1" applyFont="1" applyFill="1" applyBorder="1" applyAlignment="1">
      <alignment horizontal="center" vertical="center"/>
    </xf>
    <xf numFmtId="0" fontId="30" fillId="20" borderId="13" xfId="40" applyFont="1" applyFill="1" applyBorder="1" applyAlignment="1">
      <alignment horizontal="center" vertical="center" wrapText="1"/>
    </xf>
    <xf numFmtId="37" fontId="41" fillId="20" borderId="13" xfId="44" applyFont="1" applyFill="1" applyBorder="1" applyAlignment="1">
      <alignment horizontal="center" vertical="center"/>
    </xf>
    <xf numFmtId="170" fontId="30" fillId="20" borderId="11" xfId="45" quotePrefix="1" applyNumberFormat="1" applyFont="1" applyFill="1" applyBorder="1" applyAlignment="1">
      <alignment horizontal="right" vertical="center"/>
    </xf>
    <xf numFmtId="170" fontId="30" fillId="20" borderId="11" xfId="45" quotePrefix="1" applyNumberFormat="1" applyFont="1" applyFill="1" applyBorder="1" applyAlignment="1">
      <alignment horizontal="center" vertical="center"/>
    </xf>
    <xf numFmtId="170" fontId="41" fillId="20" borderId="11" xfId="45" quotePrefix="1" applyNumberFormat="1" applyFont="1" applyFill="1" applyBorder="1" applyAlignment="1">
      <alignment horizontal="right" vertical="center"/>
    </xf>
    <xf numFmtId="170" fontId="41" fillId="20" borderId="11" xfId="45" quotePrefix="1" applyNumberFormat="1" applyFont="1" applyFill="1" applyBorder="1" applyAlignment="1">
      <alignment horizontal="center" vertical="center"/>
    </xf>
    <xf numFmtId="0" fontId="49" fillId="20" borderId="13" xfId="58" applyFont="1" applyFill="1" applyBorder="1" applyAlignment="1">
      <alignment horizontal="center" vertical="center" wrapText="1"/>
    </xf>
    <xf numFmtId="173" fontId="40" fillId="0" borderId="0" xfId="58" applyNumberFormat="1" applyFont="1" applyAlignment="1">
      <alignment horizontal="center" vertical="center" wrapText="1"/>
    </xf>
    <xf numFmtId="3" fontId="49" fillId="21" borderId="0" xfId="58" applyNumberFormat="1" applyFont="1" applyFill="1" applyAlignment="1">
      <alignment horizontal="center" vertical="center"/>
    </xf>
    <xf numFmtId="2" fontId="49" fillId="21" borderId="0" xfId="58" applyNumberFormat="1" applyFont="1" applyFill="1" applyAlignment="1">
      <alignment horizontal="center" vertical="center"/>
    </xf>
    <xf numFmtId="0" fontId="49" fillId="21" borderId="0" xfId="58" applyFont="1" applyFill="1" applyAlignment="1">
      <alignment horizontal="center" vertical="center" wrapText="1"/>
    </xf>
    <xf numFmtId="0" fontId="49" fillId="0" borderId="0" xfId="58" applyFont="1" applyAlignment="1">
      <alignment horizontal="center" vertical="center"/>
    </xf>
    <xf numFmtId="0" fontId="65" fillId="0" borderId="0" xfId="58" applyFont="1" applyAlignment="1">
      <alignment horizontal="center" vertical="center"/>
    </xf>
    <xf numFmtId="2" fontId="48" fillId="0" borderId="0" xfId="58" applyNumberFormat="1" applyFont="1" applyAlignment="1">
      <alignment vertical="center"/>
    </xf>
    <xf numFmtId="173" fontId="66" fillId="0" borderId="0" xfId="58" applyNumberFormat="1" applyFont="1" applyAlignment="1">
      <alignment vertical="center"/>
    </xf>
    <xf numFmtId="0" fontId="48" fillId="0" borderId="0" xfId="58" applyFont="1" applyAlignment="1">
      <alignment vertical="center"/>
    </xf>
    <xf numFmtId="3" fontId="40" fillId="0" borderId="0" xfId="58" applyNumberFormat="1" applyFont="1" applyAlignment="1">
      <alignment vertical="center"/>
    </xf>
    <xf numFmtId="175" fontId="40" fillId="0" borderId="0" xfId="58" applyNumberFormat="1" applyFont="1" applyAlignment="1">
      <alignment vertical="center"/>
    </xf>
    <xf numFmtId="173" fontId="40" fillId="0" borderId="0" xfId="58" applyNumberFormat="1" applyFont="1" applyAlignment="1">
      <alignment vertical="center"/>
    </xf>
    <xf numFmtId="2" fontId="40" fillId="0" borderId="0" xfId="58" applyNumberFormat="1" applyFont="1" applyAlignment="1">
      <alignment vertical="center"/>
    </xf>
    <xf numFmtId="175" fontId="40" fillId="0" borderId="0" xfId="58" applyNumberFormat="1" applyFont="1" applyAlignment="1">
      <alignment horizontal="center" vertical="center" wrapText="1"/>
    </xf>
    <xf numFmtId="2" fontId="40" fillId="0" borderId="0" xfId="58" applyNumberFormat="1" applyFont="1" applyAlignment="1">
      <alignment horizontal="center" vertical="center" wrapText="1"/>
    </xf>
    <xf numFmtId="2" fontId="40" fillId="0" borderId="0" xfId="58" applyNumberFormat="1" applyFont="1" applyAlignment="1">
      <alignment horizontal="center" vertical="center"/>
    </xf>
    <xf numFmtId="181" fontId="48" fillId="0" borderId="0" xfId="58" applyNumberFormat="1" applyFont="1" applyAlignment="1">
      <alignment vertical="center"/>
    </xf>
    <xf numFmtId="175" fontId="40" fillId="0" borderId="12" xfId="58" applyNumberFormat="1" applyFont="1" applyBorder="1" applyAlignment="1">
      <alignment horizontal="center" vertical="center" wrapText="1"/>
    </xf>
    <xf numFmtId="173" fontId="40" fillId="0" borderId="12" xfId="58" applyNumberFormat="1" applyFont="1" applyBorder="1" applyAlignment="1">
      <alignment horizontal="center" vertical="center" wrapText="1"/>
    </xf>
    <xf numFmtId="2" fontId="40" fillId="0" borderId="12" xfId="58" applyNumberFormat="1" applyFont="1" applyBorder="1" applyAlignment="1">
      <alignment horizontal="center" vertical="center"/>
    </xf>
    <xf numFmtId="3" fontId="48" fillId="0" borderId="0" xfId="58" applyNumberFormat="1" applyFont="1" applyAlignment="1">
      <alignment vertical="center"/>
    </xf>
    <xf numFmtId="175" fontId="48" fillId="0" borderId="0" xfId="58" applyNumberFormat="1" applyFont="1" applyAlignment="1">
      <alignment vertical="center"/>
    </xf>
    <xf numFmtId="173" fontId="48" fillId="0" borderId="0" xfId="58" applyNumberFormat="1" applyFont="1" applyAlignment="1">
      <alignment vertical="center"/>
    </xf>
    <xf numFmtId="0" fontId="40" fillId="0" borderId="0" xfId="58" applyFont="1" applyAlignment="1">
      <alignment horizontal="center" vertical="center" wrapText="1"/>
    </xf>
    <xf numFmtId="0" fontId="40" fillId="0" borderId="12" xfId="58" applyFont="1" applyBorder="1" applyAlignment="1">
      <alignment horizontal="center" vertical="center" wrapText="1"/>
    </xf>
    <xf numFmtId="3" fontId="49" fillId="20" borderId="13" xfId="58" applyNumberFormat="1" applyFont="1" applyFill="1" applyBorder="1" applyAlignment="1">
      <alignment horizontal="center" vertical="center" wrapText="1"/>
    </xf>
    <xf numFmtId="175" fontId="49" fillId="20" borderId="13" xfId="58" applyNumberFormat="1" applyFont="1" applyFill="1" applyBorder="1" applyAlignment="1">
      <alignment horizontal="center" vertical="center" wrapText="1"/>
    </xf>
    <xf numFmtId="173" fontId="49" fillId="20" borderId="13" xfId="58" applyNumberFormat="1" applyFont="1" applyFill="1" applyBorder="1" applyAlignment="1">
      <alignment horizontal="center" vertical="center" wrapText="1"/>
    </xf>
    <xf numFmtId="2" fontId="49" fillId="20" borderId="13" xfId="58" applyNumberFormat="1" applyFont="1" applyFill="1" applyBorder="1" applyAlignment="1">
      <alignment horizontal="center" vertical="center" wrapText="1"/>
    </xf>
    <xf numFmtId="0" fontId="30" fillId="0" borderId="0" xfId="39" applyFont="1" applyAlignment="1">
      <alignment vertical="center"/>
    </xf>
    <xf numFmtId="0" fontId="30" fillId="0" borderId="10" xfId="39" applyFont="1" applyBorder="1" applyAlignment="1">
      <alignment vertical="center"/>
    </xf>
    <xf numFmtId="3" fontId="40" fillId="0" borderId="0" xfId="40" applyNumberFormat="1" applyFont="1" applyAlignment="1">
      <alignment vertical="center"/>
    </xf>
    <xf numFmtId="3" fontId="40" fillId="0" borderId="10" xfId="40" applyNumberFormat="1" applyFont="1" applyBorder="1" applyAlignment="1">
      <alignment vertical="center"/>
    </xf>
    <xf numFmtId="3" fontId="40" fillId="0" borderId="15" xfId="40" applyNumberFormat="1" applyFont="1" applyBorder="1" applyAlignment="1">
      <alignment vertical="center"/>
    </xf>
    <xf numFmtId="3" fontId="40" fillId="0" borderId="12" xfId="40" applyNumberFormat="1" applyFont="1" applyBorder="1" applyAlignment="1">
      <alignment vertical="center"/>
    </xf>
    <xf numFmtId="199" fontId="30" fillId="21" borderId="11" xfId="38" applyNumberFormat="1" applyFont="1" applyFill="1" applyBorder="1" applyAlignment="1">
      <alignment vertical="center"/>
    </xf>
    <xf numFmtId="199" fontId="28" fillId="0" borderId="0" xfId="0" applyNumberFormat="1" applyFont="1" applyAlignment="1">
      <alignment horizontal="right" vertical="center"/>
    </xf>
    <xf numFmtId="199" fontId="28" fillId="0" borderId="12" xfId="0" applyNumberFormat="1" applyFont="1" applyBorder="1" applyAlignment="1">
      <alignment horizontal="right" vertical="center"/>
    </xf>
    <xf numFmtId="199" fontId="28" fillId="0" borderId="0" xfId="40" applyNumberFormat="1" applyFont="1" applyAlignment="1">
      <alignment horizontal="right" vertical="center"/>
    </xf>
    <xf numFmtId="193" fontId="41" fillId="21" borderId="11" xfId="40" applyNumberFormat="1" applyFont="1" applyFill="1" applyBorder="1" applyAlignment="1">
      <alignment horizontal="center" vertical="center"/>
    </xf>
    <xf numFmtId="193" fontId="30" fillId="0" borderId="0" xfId="40" applyNumberFormat="1" applyFont="1" applyAlignment="1">
      <alignment horizontal="center" vertical="center"/>
    </xf>
    <xf numFmtId="193" fontId="28" fillId="0" borderId="0" xfId="40" applyNumberFormat="1" applyFont="1" applyAlignment="1">
      <alignment horizontal="center" vertical="center"/>
    </xf>
    <xf numFmtId="193" fontId="28" fillId="0" borderId="12" xfId="40" applyNumberFormat="1" applyFont="1" applyBorder="1" applyAlignment="1">
      <alignment horizontal="center" vertical="center"/>
    </xf>
    <xf numFmtId="0" fontId="41" fillId="0" borderId="0" xfId="40" applyFont="1" applyAlignment="1">
      <alignment horizontal="center" vertical="center"/>
    </xf>
    <xf numFmtId="3" fontId="30" fillId="0" borderId="0" xfId="40" applyNumberFormat="1" applyFont="1" applyAlignment="1">
      <alignment horizontal="center" vertical="center"/>
    </xf>
    <xf numFmtId="0" fontId="28" fillId="21" borderId="0" xfId="39" applyFont="1" applyFill="1" applyAlignment="1">
      <alignment horizontal="left" vertical="center"/>
    </xf>
    <xf numFmtId="0" fontId="28" fillId="21" borderId="10" xfId="39" applyFont="1" applyFill="1" applyBorder="1" applyAlignment="1">
      <alignment horizontal="left" vertical="center"/>
    </xf>
    <xf numFmtId="0" fontId="28" fillId="21" borderId="12" xfId="39" applyFont="1" applyFill="1" applyBorder="1" applyAlignment="1">
      <alignment horizontal="left" vertical="center"/>
    </xf>
    <xf numFmtId="0" fontId="30" fillId="0" borderId="12" xfId="39" applyFont="1" applyBorder="1" applyAlignment="1">
      <alignment vertical="center"/>
    </xf>
    <xf numFmtId="0" fontId="33" fillId="0" borderId="0" xfId="39" applyFont="1" applyAlignment="1">
      <alignment horizontal="right" vertical="center"/>
    </xf>
    <xf numFmtId="3" fontId="37" fillId="0" borderId="0" xfId="39" applyNumberFormat="1" applyFont="1" applyAlignment="1">
      <alignment vertical="center"/>
    </xf>
    <xf numFmtId="0" fontId="29" fillId="0" borderId="0" xfId="39" applyFont="1" applyAlignment="1">
      <alignment vertical="center"/>
    </xf>
    <xf numFmtId="0" fontId="29" fillId="0" borderId="0" xfId="39" applyFont="1"/>
    <xf numFmtId="0" fontId="53" fillId="0" borderId="0" xfId="45" applyFont="1"/>
    <xf numFmtId="0" fontId="28" fillId="0" borderId="0" xfId="45" applyFont="1"/>
    <xf numFmtId="3" fontId="28" fillId="0" borderId="0" xfId="45" applyNumberFormat="1" applyFont="1"/>
    <xf numFmtId="0" fontId="33" fillId="0" borderId="0" xfId="45" applyFont="1" applyAlignment="1">
      <alignment horizontal="center"/>
    </xf>
    <xf numFmtId="0" fontId="53" fillId="0" borderId="0" xfId="45" applyFont="1" applyAlignment="1">
      <alignment horizontal="center"/>
    </xf>
    <xf numFmtId="169" fontId="30" fillId="0" borderId="0" xfId="45" applyNumberFormat="1" applyFont="1" applyAlignment="1">
      <alignment vertical="center"/>
    </xf>
    <xf numFmtId="169" fontId="28" fillId="0" borderId="0" xfId="45" applyNumberFormat="1" applyFont="1" applyAlignment="1">
      <alignment vertical="center"/>
    </xf>
    <xf numFmtId="169" fontId="30" fillId="0" borderId="12" xfId="45" applyNumberFormat="1" applyFont="1" applyBorder="1" applyAlignment="1">
      <alignment vertical="center"/>
    </xf>
    <xf numFmtId="169" fontId="28" fillId="0" borderId="12" xfId="45" applyNumberFormat="1" applyFont="1" applyBorder="1" applyAlignment="1">
      <alignment vertical="center"/>
    </xf>
    <xf numFmtId="169" fontId="29" fillId="0" borderId="0" xfId="41" applyFont="1" applyAlignment="1">
      <alignment vertical="center"/>
    </xf>
    <xf numFmtId="0" fontId="29" fillId="0" borderId="0" xfId="40" applyFont="1" applyAlignment="1">
      <alignment vertical="center"/>
    </xf>
    <xf numFmtId="3" fontId="29" fillId="0" borderId="0" xfId="40" applyNumberFormat="1" applyFont="1" applyAlignment="1">
      <alignment vertical="center"/>
    </xf>
    <xf numFmtId="169" fontId="29" fillId="0" borderId="0" xfId="41" quotePrefix="1" applyFont="1" applyAlignment="1">
      <alignment vertical="center"/>
    </xf>
    <xf numFmtId="200" fontId="30" fillId="21" borderId="10" xfId="42" applyNumberFormat="1" applyFont="1" applyFill="1" applyBorder="1" applyAlignment="1">
      <alignment horizontal="right" vertical="center"/>
    </xf>
    <xf numFmtId="200" fontId="28" fillId="0" borderId="0" xfId="42" applyNumberFormat="1" applyFont="1" applyAlignment="1">
      <alignment horizontal="right" vertical="center"/>
    </xf>
    <xf numFmtId="169" fontId="30" fillId="20" borderId="17" xfId="42" applyFont="1" applyFill="1" applyBorder="1" applyAlignment="1">
      <alignment horizontal="center" vertical="center"/>
    </xf>
    <xf numFmtId="37" fontId="41" fillId="20" borderId="17" xfId="42" applyNumberFormat="1" applyFont="1" applyFill="1" applyBorder="1" applyAlignment="1">
      <alignment horizontal="center" vertical="center"/>
    </xf>
    <xf numFmtId="169" fontId="41" fillId="20" borderId="17" xfId="42" applyFont="1" applyFill="1" applyBorder="1" applyAlignment="1">
      <alignment horizontal="center" vertical="center"/>
    </xf>
    <xf numFmtId="213" fontId="30" fillId="21" borderId="10" xfId="42" applyNumberFormat="1" applyFont="1" applyFill="1" applyBorder="1" applyAlignment="1">
      <alignment vertical="center"/>
    </xf>
    <xf numFmtId="213" fontId="28" fillId="0" borderId="0" xfId="42" applyNumberFormat="1" applyFont="1" applyAlignment="1">
      <alignment vertical="center"/>
    </xf>
    <xf numFmtId="213" fontId="28" fillId="0" borderId="12" xfId="42" applyNumberFormat="1" applyFont="1" applyBorder="1" applyAlignment="1">
      <alignment vertical="center"/>
    </xf>
    <xf numFmtId="213" fontId="28" fillId="0" borderId="12" xfId="42" applyNumberFormat="1" applyFont="1" applyBorder="1" applyAlignment="1">
      <alignment horizontal="right" vertical="center"/>
    </xf>
    <xf numFmtId="169" fontId="30" fillId="22" borderId="11" xfId="42" applyFont="1" applyFill="1" applyBorder="1" applyAlignment="1">
      <alignment horizontal="center" vertical="center"/>
    </xf>
    <xf numFmtId="200" fontId="30" fillId="22" borderId="11" xfId="42" applyNumberFormat="1" applyFont="1" applyFill="1" applyBorder="1" applyAlignment="1">
      <alignment horizontal="right" vertical="center"/>
    </xf>
    <xf numFmtId="213" fontId="30" fillId="22" borderId="11" xfId="42" applyNumberFormat="1" applyFont="1" applyFill="1" applyBorder="1" applyAlignment="1">
      <alignment vertical="center"/>
    </xf>
    <xf numFmtId="200" fontId="30" fillId="0" borderId="0" xfId="42" applyNumberFormat="1" applyFont="1" applyAlignment="1">
      <alignment horizontal="right" vertical="center"/>
    </xf>
    <xf numFmtId="0" fontId="30" fillId="22" borderId="11" xfId="38" quotePrefix="1" applyFont="1" applyFill="1" applyBorder="1" applyAlignment="1">
      <alignment horizontal="center" vertical="center"/>
    </xf>
    <xf numFmtId="199" fontId="30" fillId="22" borderId="11" xfId="38" applyNumberFormat="1" applyFont="1" applyFill="1" applyBorder="1" applyAlignment="1">
      <alignment vertical="center"/>
    </xf>
    <xf numFmtId="199" fontId="30" fillId="22" borderId="11" xfId="0" applyNumberFormat="1" applyFont="1" applyFill="1" applyBorder="1" applyAlignment="1">
      <alignment vertical="center"/>
    </xf>
    <xf numFmtId="200" fontId="30" fillId="22" borderId="11" xfId="38" applyNumberFormat="1" applyFont="1" applyFill="1" applyBorder="1" applyAlignment="1">
      <alignment vertical="center"/>
    </xf>
    <xf numFmtId="181" fontId="30" fillId="22" borderId="11" xfId="38" applyNumberFormat="1" applyFont="1" applyFill="1" applyBorder="1" applyAlignment="1">
      <alignment horizontal="center" vertical="center"/>
    </xf>
    <xf numFmtId="195" fontId="30" fillId="22" borderId="11" xfId="38" applyNumberFormat="1" applyFont="1" applyFill="1" applyBorder="1" applyAlignment="1">
      <alignment vertical="center"/>
    </xf>
    <xf numFmtId="195" fontId="30" fillId="22" borderId="11" xfId="0" applyNumberFormat="1" applyFont="1" applyFill="1" applyBorder="1" applyAlignment="1">
      <alignment vertical="center"/>
    </xf>
    <xf numFmtId="188" fontId="30" fillId="22" borderId="11" xfId="38" applyNumberFormat="1" applyFont="1" applyFill="1" applyBorder="1" applyAlignment="1">
      <alignment horizontal="center" vertical="center"/>
    </xf>
    <xf numFmtId="199" fontId="30" fillId="22" borderId="0" xfId="38" applyNumberFormat="1" applyFont="1" applyFill="1" applyAlignment="1">
      <alignment vertical="center"/>
    </xf>
    <xf numFmtId="199" fontId="30" fillId="22" borderId="12" xfId="38" applyNumberFormat="1" applyFont="1" applyFill="1" applyBorder="1" applyAlignment="1">
      <alignment horizontal="right" vertical="center"/>
    </xf>
    <xf numFmtId="181" fontId="30" fillId="22" borderId="0" xfId="38" applyNumberFormat="1" applyFont="1" applyFill="1" applyAlignment="1">
      <alignment horizontal="center" vertical="center"/>
    </xf>
    <xf numFmtId="181" fontId="30" fillId="22" borderId="12" xfId="38" applyNumberFormat="1" applyFont="1" applyFill="1" applyBorder="1" applyAlignment="1">
      <alignment horizontal="center" vertical="center"/>
    </xf>
    <xf numFmtId="195" fontId="30" fillId="22" borderId="0" xfId="38" applyNumberFormat="1" applyFont="1" applyFill="1" applyAlignment="1">
      <alignment vertical="center"/>
    </xf>
    <xf numFmtId="195" fontId="30" fillId="22" borderId="12" xfId="38" applyNumberFormat="1" applyFont="1" applyFill="1" applyBorder="1" applyAlignment="1">
      <alignment horizontal="right" vertical="center"/>
    </xf>
    <xf numFmtId="188" fontId="30" fillId="22" borderId="0" xfId="38" applyNumberFormat="1" applyFont="1" applyFill="1" applyAlignment="1">
      <alignment horizontal="center" vertical="center"/>
    </xf>
    <xf numFmtId="199" fontId="30" fillId="22" borderId="12" xfId="38" applyNumberFormat="1" applyFont="1" applyFill="1" applyBorder="1" applyAlignment="1">
      <alignment vertical="center"/>
    </xf>
    <xf numFmtId="188" fontId="30" fillId="22" borderId="12" xfId="38" applyNumberFormat="1" applyFont="1" applyFill="1" applyBorder="1" applyAlignment="1">
      <alignment horizontal="center" vertical="center"/>
    </xf>
    <xf numFmtId="169" fontId="35" fillId="0" borderId="0" xfId="38" quotePrefix="1" applyNumberFormat="1" applyFont="1" applyAlignment="1">
      <alignment horizontal="left"/>
    </xf>
    <xf numFmtId="3" fontId="49" fillId="21" borderId="0" xfId="42" applyNumberFormat="1" applyFont="1" applyFill="1" applyAlignment="1">
      <alignment horizontal="center" vertical="center"/>
    </xf>
    <xf numFmtId="3" fontId="49" fillId="21" borderId="12" xfId="42" applyNumberFormat="1" applyFont="1" applyFill="1" applyBorder="1" applyAlignment="1">
      <alignment horizontal="center" vertical="center"/>
    </xf>
    <xf numFmtId="175" fontId="49" fillId="21" borderId="0" xfId="42" applyNumberFormat="1" applyFont="1" applyFill="1" applyAlignment="1">
      <alignment horizontal="center" vertical="center"/>
    </xf>
    <xf numFmtId="175" fontId="49" fillId="21" borderId="12" xfId="42" applyNumberFormat="1" applyFont="1" applyFill="1" applyBorder="1" applyAlignment="1">
      <alignment horizontal="center" vertical="center"/>
    </xf>
    <xf numFmtId="169" fontId="49" fillId="0" borderId="12" xfId="42" applyFont="1" applyBorder="1"/>
    <xf numFmtId="196" fontId="49" fillId="21" borderId="11" xfId="42" applyNumberFormat="1" applyFont="1" applyFill="1" applyBorder="1" applyAlignment="1">
      <alignment vertical="center"/>
    </xf>
    <xf numFmtId="196" fontId="40" fillId="0" borderId="0" xfId="42" applyNumberFormat="1" applyFont="1" applyAlignment="1">
      <alignment vertical="center"/>
    </xf>
    <xf numFmtId="196" fontId="40" fillId="0" borderId="12" xfId="42" applyNumberFormat="1" applyFont="1" applyBorder="1" applyAlignment="1">
      <alignment vertical="center"/>
    </xf>
    <xf numFmtId="171" fontId="49" fillId="21" borderId="0" xfId="42" applyNumberFormat="1" applyFont="1" applyFill="1" applyAlignment="1">
      <alignment horizontal="center" vertical="center"/>
    </xf>
    <xf numFmtId="173" fontId="49" fillId="21" borderId="0" xfId="42" applyNumberFormat="1" applyFont="1" applyFill="1" applyAlignment="1">
      <alignment horizontal="center" vertical="center"/>
    </xf>
    <xf numFmtId="173" fontId="49" fillId="21" borderId="12" xfId="42" applyNumberFormat="1" applyFont="1" applyFill="1" applyBorder="1" applyAlignment="1">
      <alignment horizontal="center" vertical="center"/>
    </xf>
    <xf numFmtId="200" fontId="49" fillId="21" borderId="0" xfId="42" applyNumberFormat="1" applyFont="1" applyFill="1" applyAlignment="1">
      <alignment horizontal="right" vertical="center"/>
    </xf>
    <xf numFmtId="200" fontId="40" fillId="0" borderId="0" xfId="42" applyNumberFormat="1" applyFont="1" applyAlignment="1">
      <alignment horizontal="right" vertical="center"/>
    </xf>
    <xf numFmtId="200" fontId="45" fillId="0" borderId="0" xfId="42" applyNumberFormat="1" applyFont="1" applyAlignment="1">
      <alignment horizontal="right" vertical="center"/>
    </xf>
    <xf numFmtId="200" fontId="49" fillId="21" borderId="12" xfId="42" applyNumberFormat="1" applyFont="1" applyFill="1" applyBorder="1" applyAlignment="1">
      <alignment horizontal="right" vertical="center"/>
    </xf>
    <xf numFmtId="200" fontId="40" fillId="0" borderId="12" xfId="42" applyNumberFormat="1" applyFont="1" applyBorder="1" applyAlignment="1">
      <alignment horizontal="right" vertical="center"/>
    </xf>
    <xf numFmtId="201" fontId="49" fillId="21" borderId="11" xfId="42" applyNumberFormat="1" applyFont="1" applyFill="1" applyBorder="1" applyAlignment="1">
      <alignment vertical="center"/>
    </xf>
    <xf numFmtId="201" fontId="40" fillId="0" borderId="0" xfId="42" applyNumberFormat="1" applyFont="1" applyAlignment="1">
      <alignment vertical="center"/>
    </xf>
    <xf numFmtId="201" fontId="40" fillId="0" borderId="12" xfId="42" applyNumberFormat="1" applyFont="1" applyBorder="1" applyAlignment="1">
      <alignment vertical="center"/>
    </xf>
    <xf numFmtId="214" fontId="49" fillId="21" borderId="11" xfId="42" applyNumberFormat="1" applyFont="1" applyFill="1" applyBorder="1" applyAlignment="1">
      <alignment vertical="center"/>
    </xf>
    <xf numFmtId="214" fontId="40" fillId="0" borderId="0" xfId="42" applyNumberFormat="1" applyFont="1" applyAlignment="1">
      <alignment vertical="center"/>
    </xf>
    <xf numFmtId="214" fontId="40" fillId="0" borderId="12" xfId="42" applyNumberFormat="1" applyFont="1" applyBorder="1" applyAlignment="1">
      <alignment vertical="center"/>
    </xf>
    <xf numFmtId="200" fontId="49" fillId="21" borderId="0" xfId="0" applyNumberFormat="1" applyFont="1" applyFill="1" applyAlignment="1">
      <alignment horizontal="right" vertical="center"/>
    </xf>
    <xf numFmtId="200" fontId="49" fillId="0" borderId="0" xfId="0" applyNumberFormat="1" applyFont="1" applyAlignment="1">
      <alignment horizontal="right" vertical="center"/>
    </xf>
    <xf numFmtId="200" fontId="49" fillId="21" borderId="12" xfId="0" applyNumberFormat="1" applyFont="1" applyFill="1" applyBorder="1" applyAlignment="1">
      <alignment horizontal="right" vertical="center"/>
    </xf>
    <xf numFmtId="200" fontId="49" fillId="0" borderId="12" xfId="0" applyNumberFormat="1" applyFont="1" applyBorder="1" applyAlignment="1">
      <alignment horizontal="right" vertical="center"/>
    </xf>
    <xf numFmtId="200" fontId="40" fillId="0" borderId="0" xfId="0" applyNumberFormat="1" applyFont="1" applyAlignment="1">
      <alignment horizontal="right" vertical="center"/>
    </xf>
    <xf numFmtId="200" fontId="40" fillId="0" borderId="12" xfId="0" applyNumberFormat="1" applyFont="1" applyBorder="1" applyAlignment="1">
      <alignment horizontal="right" vertical="center"/>
    </xf>
    <xf numFmtId="200" fontId="49" fillId="23" borderId="0" xfId="0" applyNumberFormat="1" applyFont="1" applyFill="1" applyAlignment="1">
      <alignment horizontal="right" vertical="center"/>
    </xf>
    <xf numFmtId="200" fontId="49" fillId="23" borderId="12" xfId="0" applyNumberFormat="1" applyFont="1" applyFill="1" applyBorder="1" applyAlignment="1">
      <alignment horizontal="right" vertical="center"/>
    </xf>
    <xf numFmtId="175" fontId="49" fillId="23" borderId="0" xfId="0" applyNumberFormat="1" applyFont="1" applyFill="1" applyAlignment="1">
      <alignment horizontal="center" vertical="center"/>
    </xf>
    <xf numFmtId="175" fontId="49" fillId="23" borderId="12" xfId="0" applyNumberFormat="1" applyFont="1" applyFill="1" applyBorder="1" applyAlignment="1">
      <alignment horizontal="center" vertical="center"/>
    </xf>
    <xf numFmtId="2" fontId="30" fillId="22" borderId="10" xfId="40" applyNumberFormat="1" applyFont="1" applyFill="1" applyBorder="1" applyAlignment="1">
      <alignment horizontal="center" vertical="center"/>
    </xf>
    <xf numFmtId="2" fontId="30" fillId="22" borderId="0" xfId="40" applyNumberFormat="1" applyFont="1" applyFill="1" applyAlignment="1">
      <alignment horizontal="center" vertical="center"/>
    </xf>
    <xf numFmtId="2" fontId="30" fillId="22" borderId="12" xfId="40" applyNumberFormat="1" applyFont="1" applyFill="1" applyBorder="1" applyAlignment="1">
      <alignment horizontal="center" vertical="center"/>
    </xf>
    <xf numFmtId="2" fontId="41" fillId="22" borderId="10" xfId="40" applyNumberFormat="1" applyFont="1" applyFill="1" applyBorder="1" applyAlignment="1">
      <alignment horizontal="center" vertical="center"/>
    </xf>
    <xf numFmtId="2" fontId="41" fillId="22" borderId="0" xfId="40" applyNumberFormat="1" applyFont="1" applyFill="1" applyAlignment="1">
      <alignment horizontal="center" vertical="center"/>
    </xf>
    <xf numFmtId="2" fontId="41" fillId="22" borderId="12" xfId="40" applyNumberFormat="1" applyFont="1" applyFill="1" applyBorder="1" applyAlignment="1">
      <alignment horizontal="center" vertical="center"/>
    </xf>
    <xf numFmtId="2" fontId="41" fillId="22" borderId="11" xfId="40" applyNumberFormat="1" applyFont="1" applyFill="1" applyBorder="1" applyAlignment="1">
      <alignment horizontal="center" vertical="center"/>
    </xf>
    <xf numFmtId="195" fontId="30" fillId="23" borderId="0" xfId="44" applyNumberFormat="1" applyFont="1" applyFill="1" applyAlignment="1">
      <alignment vertical="center"/>
    </xf>
    <xf numFmtId="37" fontId="30" fillId="23" borderId="0" xfId="44" applyFont="1" applyFill="1" applyAlignment="1">
      <alignment horizontal="left" vertical="center"/>
    </xf>
    <xf numFmtId="175" fontId="30" fillId="21" borderId="10" xfId="35" applyNumberFormat="1" applyFont="1" applyFill="1" applyBorder="1" applyAlignment="1" applyProtection="1">
      <alignment vertical="center"/>
    </xf>
    <xf numFmtId="175" fontId="30" fillId="0" borderId="0" xfId="35" applyNumberFormat="1" applyFont="1" applyFill="1" applyBorder="1" applyAlignment="1" applyProtection="1">
      <alignment vertical="center"/>
    </xf>
    <xf numFmtId="175" fontId="28" fillId="0" borderId="0" xfId="45" applyNumberFormat="1" applyFont="1" applyAlignment="1">
      <alignment horizontal="right" vertical="center"/>
    </xf>
    <xf numFmtId="175" fontId="28" fillId="0" borderId="0" xfId="45" applyNumberFormat="1" applyFont="1" applyAlignment="1">
      <alignment vertical="center"/>
    </xf>
    <xf numFmtId="175" fontId="30" fillId="0" borderId="0" xfId="35" applyNumberFormat="1" applyFont="1" applyFill="1" applyBorder="1" applyAlignment="1" applyProtection="1">
      <alignment horizontal="right" vertical="center"/>
    </xf>
    <xf numFmtId="175" fontId="41" fillId="21" borderId="10" xfId="35" applyNumberFormat="1" applyFont="1" applyFill="1" applyBorder="1" applyAlignment="1" applyProtection="1">
      <alignment vertical="center"/>
    </xf>
    <xf numFmtId="175" fontId="30" fillId="21" borderId="10" xfId="35" applyNumberFormat="1" applyFont="1" applyFill="1" applyBorder="1" applyAlignment="1" applyProtection="1">
      <alignment horizontal="right" vertical="center"/>
    </xf>
    <xf numFmtId="4" fontId="30" fillId="21" borderId="10" xfId="35" applyNumberFormat="1" applyFont="1" applyFill="1" applyBorder="1" applyAlignment="1" applyProtection="1">
      <alignment vertical="center"/>
    </xf>
    <xf numFmtId="4" fontId="30" fillId="21" borderId="10" xfId="35" applyNumberFormat="1" applyFont="1" applyFill="1" applyBorder="1" applyAlignment="1" applyProtection="1">
      <alignment horizontal="center" vertical="center"/>
    </xf>
    <xf numFmtId="0" fontId="30" fillId="21" borderId="0" xfId="40" applyFont="1" applyFill="1" applyAlignment="1">
      <alignment vertical="center"/>
    </xf>
    <xf numFmtId="174" fontId="30" fillId="21" borderId="12" xfId="40" applyNumberFormat="1" applyFont="1" applyFill="1" applyBorder="1" applyAlignment="1">
      <alignment vertical="center"/>
    </xf>
    <xf numFmtId="173" fontId="49" fillId="21" borderId="0" xfId="58" applyNumberFormat="1" applyFont="1" applyFill="1" applyAlignment="1">
      <alignment horizontal="center" vertical="center" wrapText="1"/>
    </xf>
    <xf numFmtId="181" fontId="28" fillId="0" borderId="0" xfId="38" applyNumberFormat="1" applyFont="1" applyAlignment="1">
      <alignment vertical="center"/>
    </xf>
    <xf numFmtId="0" fontId="36" fillId="0" borderId="0" xfId="40" applyFont="1" applyAlignment="1">
      <alignment vertical="center"/>
    </xf>
    <xf numFmtId="169" fontId="41" fillId="24" borderId="11" xfId="41" applyFont="1" applyFill="1" applyBorder="1" applyAlignment="1">
      <alignment horizontal="center" vertical="center"/>
    </xf>
    <xf numFmtId="195" fontId="41" fillId="24" borderId="11" xfId="41" applyNumberFormat="1" applyFont="1" applyFill="1" applyBorder="1" applyAlignment="1">
      <alignment vertical="center"/>
    </xf>
    <xf numFmtId="199" fontId="41" fillId="24" borderId="11" xfId="41" applyNumberFormat="1" applyFont="1" applyFill="1" applyBorder="1" applyAlignment="1">
      <alignment vertical="center"/>
    </xf>
    <xf numFmtId="199" fontId="41" fillId="25" borderId="0" xfId="41" applyNumberFormat="1" applyFont="1" applyFill="1" applyAlignment="1">
      <alignment vertical="center"/>
    </xf>
    <xf numFmtId="169" fontId="53" fillId="0" borderId="0" xfId="38" quotePrefix="1" applyNumberFormat="1" applyFont="1" applyAlignment="1">
      <alignment horizontal="left" vertical="center"/>
    </xf>
    <xf numFmtId="0" fontId="53" fillId="0" borderId="0" xfId="59" applyFont="1" applyAlignment="1">
      <alignment vertical="center"/>
    </xf>
    <xf numFmtId="0" fontId="33" fillId="0" borderId="0" xfId="59" applyFont="1" applyAlignment="1">
      <alignment vertical="center"/>
    </xf>
    <xf numFmtId="0" fontId="28" fillId="0" borderId="0" xfId="59" applyFont="1" applyAlignment="1">
      <alignment vertical="center"/>
    </xf>
    <xf numFmtId="169" fontId="35" fillId="0" borderId="0" xfId="59" quotePrefix="1" applyNumberFormat="1" applyFont="1"/>
    <xf numFmtId="169" fontId="35" fillId="0" borderId="0" xfId="59" applyNumberFormat="1" applyFont="1" applyAlignment="1">
      <alignment vertical="top"/>
    </xf>
    <xf numFmtId="0" fontId="30" fillId="0" borderId="12" xfId="59" applyFont="1" applyBorder="1" applyAlignment="1">
      <alignment vertical="center"/>
    </xf>
    <xf numFmtId="0" fontId="30" fillId="20" borderId="13" xfId="59" applyFont="1" applyFill="1" applyBorder="1" applyAlignment="1">
      <alignment horizontal="center" vertical="center"/>
    </xf>
    <xf numFmtId="0" fontId="30" fillId="20" borderId="13" xfId="59" quotePrefix="1" applyFont="1" applyFill="1" applyBorder="1" applyAlignment="1">
      <alignment horizontal="center" vertical="center"/>
    </xf>
    <xf numFmtId="0" fontId="30" fillId="22" borderId="11" xfId="59" quotePrefix="1" applyFont="1" applyFill="1" applyBorder="1" applyAlignment="1">
      <alignment horizontal="center" vertical="center"/>
    </xf>
    <xf numFmtId="200" fontId="30" fillId="22" borderId="11" xfId="59" applyNumberFormat="1" applyFont="1" applyFill="1" applyBorder="1" applyAlignment="1">
      <alignment vertical="center"/>
    </xf>
    <xf numFmtId="200" fontId="30" fillId="18" borderId="0" xfId="59" applyNumberFormat="1" applyFont="1" applyFill="1" applyAlignment="1">
      <alignment vertical="center"/>
    </xf>
    <xf numFmtId="200" fontId="28" fillId="0" borderId="0" xfId="59" applyNumberFormat="1" applyFont="1" applyAlignment="1">
      <alignment vertical="center"/>
    </xf>
    <xf numFmtId="200" fontId="30" fillId="22" borderId="0" xfId="59" applyNumberFormat="1" applyFont="1" applyFill="1" applyAlignment="1">
      <alignment vertical="center"/>
    </xf>
    <xf numFmtId="0" fontId="28" fillId="0" borderId="0" xfId="59" applyFont="1" applyAlignment="1">
      <alignment horizontal="left" vertical="center"/>
    </xf>
    <xf numFmtId="0" fontId="28" fillId="0" borderId="12" xfId="59" applyFont="1" applyBorder="1" applyAlignment="1">
      <alignment horizontal="left" vertical="center"/>
    </xf>
    <xf numFmtId="200" fontId="30" fillId="22" borderId="12" xfId="59" applyNumberFormat="1" applyFont="1" applyFill="1" applyBorder="1" applyAlignment="1">
      <alignment horizontal="right" vertical="center"/>
    </xf>
    <xf numFmtId="200" fontId="28" fillId="0" borderId="12" xfId="59" applyNumberFormat="1" applyFont="1" applyBorder="1" applyAlignment="1">
      <alignment horizontal="right" vertical="center"/>
    </xf>
    <xf numFmtId="188" fontId="53" fillId="0" borderId="0" xfId="59" applyNumberFormat="1" applyFont="1" applyAlignment="1">
      <alignment vertical="center"/>
    </xf>
    <xf numFmtId="187" fontId="53" fillId="0" borderId="0" xfId="59" applyNumberFormat="1" applyFont="1" applyAlignment="1">
      <alignment vertical="center"/>
    </xf>
    <xf numFmtId="187" fontId="55" fillId="0" borderId="0" xfId="59" applyNumberFormat="1" applyFont="1" applyAlignment="1">
      <alignment vertical="center"/>
    </xf>
    <xf numFmtId="0" fontId="28" fillId="0" borderId="0" xfId="40" quotePrefix="1" applyFont="1" applyAlignment="1">
      <alignment horizontal="center"/>
    </xf>
    <xf numFmtId="192" fontId="30" fillId="21" borderId="10" xfId="38" applyNumberFormat="1" applyFont="1" applyFill="1" applyBorder="1" applyAlignment="1">
      <alignment horizontal="right" vertical="center"/>
    </xf>
    <xf numFmtId="2" fontId="70" fillId="0" borderId="0" xfId="58" applyNumberFormat="1" applyFont="1" applyAlignment="1">
      <alignment vertical="center"/>
    </xf>
    <xf numFmtId="3" fontId="35" fillId="0" borderId="0" xfId="40" applyNumberFormat="1" applyFont="1" applyAlignment="1">
      <alignment vertical="top"/>
    </xf>
    <xf numFmtId="0" fontId="69" fillId="0" borderId="0" xfId="45" applyFont="1" applyAlignment="1">
      <alignment horizontal="left" vertical="top"/>
    </xf>
    <xf numFmtId="169" fontId="28" fillId="0" borderId="0" xfId="0" applyNumberFormat="1" applyFont="1" applyAlignment="1">
      <alignment vertical="center"/>
    </xf>
    <xf numFmtId="0" fontId="71" fillId="0" borderId="12" xfId="58" applyFont="1" applyBorder="1" applyAlignment="1">
      <alignment vertical="center"/>
    </xf>
    <xf numFmtId="0" fontId="50" fillId="0" borderId="0" xfId="58" applyFont="1" applyAlignment="1">
      <alignment horizontal="left" vertical="center"/>
    </xf>
    <xf numFmtId="174" fontId="40" fillId="0" borderId="0" xfId="42" applyNumberFormat="1" applyFont="1" applyAlignment="1">
      <alignment horizontal="center" vertical="center"/>
    </xf>
    <xf numFmtId="0" fontId="72" fillId="0" borderId="0" xfId="38" applyFont="1" applyAlignment="1">
      <alignment vertical="center"/>
    </xf>
    <xf numFmtId="200" fontId="40" fillId="0" borderId="12" xfId="42" applyNumberFormat="1" applyFont="1" applyBorder="1" applyAlignment="1">
      <alignment vertical="center"/>
    </xf>
    <xf numFmtId="3" fontId="40" fillId="0" borderId="0" xfId="43" applyNumberFormat="1" applyFont="1" applyAlignment="1">
      <alignment vertical="center"/>
    </xf>
    <xf numFmtId="4" fontId="40" fillId="0" borderId="0" xfId="43" applyNumberFormat="1" applyFont="1" applyAlignment="1">
      <alignment vertical="center"/>
    </xf>
    <xf numFmtId="3" fontId="49" fillId="0" borderId="0" xfId="43" applyNumberFormat="1" applyFont="1" applyAlignment="1">
      <alignment vertical="center"/>
    </xf>
    <xf numFmtId="169" fontId="49" fillId="0" borderId="0" xfId="43" applyFont="1" applyAlignment="1">
      <alignment vertical="center"/>
    </xf>
    <xf numFmtId="175" fontId="49" fillId="0" borderId="0" xfId="43" applyNumberFormat="1" applyFont="1" applyAlignment="1">
      <alignment vertical="center"/>
    </xf>
    <xf numFmtId="169" fontId="49" fillId="0" borderId="0" xfId="43" applyFont="1" applyAlignment="1">
      <alignment horizontal="right" vertical="center"/>
    </xf>
    <xf numFmtId="169" fontId="40" fillId="0" borderId="0" xfId="42" applyFont="1" applyAlignment="1">
      <alignment horizontal="right" vertical="center"/>
    </xf>
    <xf numFmtId="3" fontId="64" fillId="0" borderId="0" xfId="43" applyNumberFormat="1" applyFont="1" applyAlignment="1">
      <alignment vertical="center"/>
    </xf>
    <xf numFmtId="3" fontId="48" fillId="0" borderId="0" xfId="43" applyNumberFormat="1" applyFont="1" applyAlignment="1">
      <alignment vertical="center"/>
    </xf>
    <xf numFmtId="3" fontId="40" fillId="0" borderId="0" xfId="42" applyNumberFormat="1" applyFont="1" applyAlignment="1">
      <alignment horizontal="right" vertical="center"/>
    </xf>
    <xf numFmtId="175" fontId="57" fillId="0" borderId="0" xfId="0" applyNumberFormat="1" applyFont="1" applyAlignment="1">
      <alignment vertical="center"/>
    </xf>
    <xf numFmtId="169" fontId="73" fillId="0" borderId="0" xfId="42" applyFont="1" applyAlignment="1">
      <alignment horizontal="center" vertical="center"/>
    </xf>
    <xf numFmtId="3" fontId="40" fillId="0" borderId="0" xfId="58" applyNumberFormat="1" applyFont="1" applyAlignment="1">
      <alignment horizontal="center" vertical="center" wrapText="1"/>
    </xf>
    <xf numFmtId="3" fontId="40" fillId="0" borderId="12" xfId="58" applyNumberFormat="1" applyFont="1" applyBorder="1" applyAlignment="1">
      <alignment horizontal="center" vertical="center" wrapText="1"/>
    </xf>
    <xf numFmtId="170" fontId="40" fillId="0" borderId="0" xfId="42" applyNumberFormat="1" applyFont="1" applyAlignment="1">
      <alignment vertical="center"/>
    </xf>
    <xf numFmtId="192" fontId="28" fillId="0" borderId="0" xfId="46" applyNumberFormat="1" applyFont="1" applyAlignment="1">
      <alignment horizontal="right" vertical="center"/>
    </xf>
    <xf numFmtId="172" fontId="28" fillId="0" borderId="0" xfId="41" applyNumberFormat="1" applyFont="1" applyAlignment="1">
      <alignment horizontal="right" vertical="center"/>
    </xf>
    <xf numFmtId="176" fontId="30" fillId="0" borderId="0" xfId="41" applyNumberFormat="1" applyFont="1" applyAlignment="1">
      <alignment horizontal="right" vertical="center"/>
    </xf>
    <xf numFmtId="0" fontId="38" fillId="0" borderId="0" xfId="40" applyFont="1" applyAlignment="1">
      <alignment vertical="center"/>
    </xf>
    <xf numFmtId="174" fontId="29" fillId="0" borderId="0" xfId="40" applyNumberFormat="1" applyFont="1" applyAlignment="1">
      <alignment vertical="center"/>
    </xf>
    <xf numFmtId="195" fontId="74" fillId="0" borderId="0" xfId="40" applyNumberFormat="1" applyFont="1" applyAlignment="1">
      <alignment vertical="center"/>
    </xf>
    <xf numFmtId="0" fontId="74" fillId="0" borderId="0" xfId="40" applyFont="1" applyAlignment="1">
      <alignment vertical="center"/>
    </xf>
    <xf numFmtId="4" fontId="41" fillId="21" borderId="10" xfId="35" applyNumberFormat="1" applyFont="1" applyFill="1" applyBorder="1" applyAlignment="1" applyProtection="1">
      <alignment horizontal="center" vertical="center"/>
    </xf>
    <xf numFmtId="3" fontId="41" fillId="21" borderId="10" xfId="35" applyNumberFormat="1" applyFont="1" applyFill="1" applyBorder="1" applyAlignment="1" applyProtection="1">
      <alignment vertical="center"/>
    </xf>
    <xf numFmtId="168" fontId="30" fillId="0" borderId="0" xfId="0" applyFont="1" applyAlignment="1">
      <alignment horizontal="center" vertical="center"/>
    </xf>
    <xf numFmtId="215" fontId="41" fillId="21" borderId="11" xfId="40" applyNumberFormat="1" applyFont="1" applyFill="1" applyBorder="1" applyAlignment="1">
      <alignment vertical="center"/>
    </xf>
    <xf numFmtId="215" fontId="30" fillId="0" borderId="0" xfId="40" applyNumberFormat="1" applyFont="1" applyAlignment="1">
      <alignment vertical="center"/>
    </xf>
    <xf numFmtId="215" fontId="28" fillId="0" borderId="0" xfId="40" applyNumberFormat="1" applyFont="1" applyAlignment="1">
      <alignment vertical="center"/>
    </xf>
    <xf numFmtId="215" fontId="28" fillId="0" borderId="12" xfId="40" applyNumberFormat="1" applyFont="1" applyBorder="1" applyAlignment="1">
      <alignment vertical="center"/>
    </xf>
    <xf numFmtId="3" fontId="40" fillId="0" borderId="12" xfId="42" applyNumberFormat="1" applyFont="1" applyBorder="1" applyAlignment="1">
      <alignment horizontal="center" vertical="center"/>
    </xf>
    <xf numFmtId="169" fontId="49" fillId="20" borderId="11" xfId="42" applyFont="1" applyFill="1" applyBorder="1" applyAlignment="1">
      <alignment horizontal="center" vertical="center"/>
    </xf>
    <xf numFmtId="37" fontId="30" fillId="20" borderId="10" xfId="38" applyNumberFormat="1" applyFont="1" applyFill="1" applyBorder="1" applyAlignment="1">
      <alignment horizontal="center" vertical="center"/>
    </xf>
    <xf numFmtId="174" fontId="40" fillId="0" borderId="0" xfId="42" applyNumberFormat="1" applyFont="1"/>
    <xf numFmtId="173" fontId="40" fillId="0" borderId="0" xfId="42" applyNumberFormat="1" applyFont="1" applyAlignment="1">
      <alignment horizontal="center"/>
    </xf>
    <xf numFmtId="204" fontId="28" fillId="0" borderId="0" xfId="0" applyNumberFormat="1" applyFont="1" applyAlignment="1">
      <alignment vertical="center"/>
    </xf>
    <xf numFmtId="216" fontId="41" fillId="21" borderId="11" xfId="40" applyNumberFormat="1" applyFont="1" applyFill="1" applyBorder="1" applyAlignment="1">
      <alignment horizontal="center" vertical="center"/>
    </xf>
    <xf numFmtId="216" fontId="30" fillId="0" borderId="0" xfId="40" applyNumberFormat="1" applyFont="1" applyAlignment="1">
      <alignment horizontal="center" vertical="center"/>
    </xf>
    <xf numFmtId="216" fontId="28" fillId="0" borderId="0" xfId="40" applyNumberFormat="1" applyFont="1" applyAlignment="1">
      <alignment horizontal="center" vertical="center"/>
    </xf>
    <xf numFmtId="216" fontId="28" fillId="0" borderId="12" xfId="40" applyNumberFormat="1" applyFont="1" applyBorder="1" applyAlignment="1">
      <alignment horizontal="center" vertical="center"/>
    </xf>
    <xf numFmtId="3" fontId="49" fillId="0" borderId="0" xfId="42" applyNumberFormat="1" applyFont="1"/>
    <xf numFmtId="170" fontId="40" fillId="0" borderId="0" xfId="42" applyNumberFormat="1" applyFont="1" applyAlignment="1">
      <alignment horizontal="right" vertical="center"/>
    </xf>
    <xf numFmtId="200" fontId="28" fillId="0" borderId="0" xfId="42" applyNumberFormat="1" applyFont="1" applyAlignment="1">
      <alignment horizontal="center" vertical="center"/>
    </xf>
    <xf numFmtId="213" fontId="28" fillId="0" borderId="0" xfId="42" applyNumberFormat="1" applyFont="1" applyAlignment="1">
      <alignment horizontal="center" vertical="center"/>
    </xf>
    <xf numFmtId="200" fontId="28" fillId="25" borderId="0" xfId="42" applyNumberFormat="1" applyFont="1" applyFill="1" applyAlignment="1">
      <alignment horizontal="right" vertical="center"/>
    </xf>
    <xf numFmtId="168" fontId="30" fillId="20" borderId="13" xfId="0" applyFont="1" applyFill="1" applyBorder="1" applyAlignment="1">
      <alignment horizontal="center" vertical="center"/>
    </xf>
    <xf numFmtId="0" fontId="30" fillId="0" borderId="0" xfId="39" applyFont="1" applyAlignment="1">
      <alignment horizontal="left" vertical="center"/>
    </xf>
    <xf numFmtId="3" fontId="30" fillId="0" borderId="15" xfId="40" applyNumberFormat="1" applyFont="1" applyBorder="1" applyAlignment="1">
      <alignment horizontal="left" vertical="center"/>
    </xf>
    <xf numFmtId="3" fontId="30" fillId="0" borderId="0" xfId="40" applyNumberFormat="1" applyFont="1" applyAlignment="1">
      <alignment horizontal="left" vertical="center"/>
    </xf>
    <xf numFmtId="3" fontId="30" fillId="0" borderId="12" xfId="40" applyNumberFormat="1" applyFont="1" applyBorder="1" applyAlignment="1">
      <alignment horizontal="left" vertical="center"/>
    </xf>
    <xf numFmtId="3" fontId="30" fillId="0" borderId="10" xfId="40" applyNumberFormat="1" applyFont="1" applyBorder="1" applyAlignment="1">
      <alignment horizontal="left" vertical="center"/>
    </xf>
    <xf numFmtId="0" fontId="41" fillId="20" borderId="13" xfId="40" applyFont="1" applyFill="1" applyBorder="1" applyAlignment="1">
      <alignment horizontal="center" vertical="center"/>
    </xf>
    <xf numFmtId="0" fontId="30" fillId="20" borderId="13" xfId="45" applyFont="1" applyFill="1" applyBorder="1" applyAlignment="1">
      <alignment horizontal="center" vertical="center"/>
    </xf>
    <xf numFmtId="169" fontId="30" fillId="21" borderId="11" xfId="45" applyNumberFormat="1" applyFont="1" applyFill="1" applyBorder="1" applyAlignment="1">
      <alignment horizontal="center" vertical="center"/>
    </xf>
    <xf numFmtId="0" fontId="41" fillId="20" borderId="13" xfId="45" applyFont="1" applyFill="1" applyBorder="1" applyAlignment="1">
      <alignment horizontal="center" vertical="center"/>
    </xf>
    <xf numFmtId="0" fontId="30" fillId="21" borderId="11" xfId="45" applyFont="1" applyFill="1" applyBorder="1" applyAlignment="1">
      <alignment horizontal="center" vertical="center"/>
    </xf>
    <xf numFmtId="169" fontId="28" fillId="0" borderId="12" xfId="41" applyFont="1" applyBorder="1" applyAlignment="1">
      <alignment horizontal="center" vertical="center"/>
    </xf>
    <xf numFmtId="169" fontId="30" fillId="20" borderId="16" xfId="42" applyFont="1" applyFill="1" applyBorder="1" applyAlignment="1">
      <alignment horizontal="center" vertical="center"/>
    </xf>
    <xf numFmtId="169" fontId="30" fillId="20" borderId="13" xfId="42" applyFont="1" applyFill="1" applyBorder="1" applyAlignment="1">
      <alignment horizontal="center" vertical="center"/>
    </xf>
    <xf numFmtId="169" fontId="30" fillId="20" borderId="18" xfId="42" applyFont="1" applyFill="1" applyBorder="1" applyAlignment="1">
      <alignment horizontal="center" vertical="center"/>
    </xf>
    <xf numFmtId="169" fontId="30" fillId="20" borderId="19" xfId="42" applyFont="1" applyFill="1" applyBorder="1" applyAlignment="1">
      <alignment horizontal="center" vertical="center"/>
    </xf>
    <xf numFmtId="169" fontId="28" fillId="0" borderId="12" xfId="42" applyFont="1" applyBorder="1" applyAlignment="1">
      <alignment horizontal="center" vertical="center"/>
    </xf>
    <xf numFmtId="169" fontId="41" fillId="20" borderId="13" xfId="42" applyFont="1" applyFill="1" applyBorder="1" applyAlignment="1">
      <alignment horizontal="center" vertical="center"/>
    </xf>
    <xf numFmtId="169" fontId="41" fillId="20" borderId="14" xfId="42" applyFont="1" applyFill="1" applyBorder="1" applyAlignment="1">
      <alignment horizontal="center" vertical="center"/>
    </xf>
    <xf numFmtId="169" fontId="41" fillId="20" borderId="10" xfId="42" applyFont="1" applyFill="1" applyBorder="1" applyAlignment="1">
      <alignment horizontal="center" vertical="center"/>
    </xf>
    <xf numFmtId="169" fontId="49" fillId="20" borderId="10" xfId="42" applyFont="1" applyFill="1" applyBorder="1" applyAlignment="1">
      <alignment horizontal="center"/>
    </xf>
    <xf numFmtId="169" fontId="49" fillId="20" borderId="14" xfId="42" applyFont="1" applyFill="1" applyBorder="1" applyAlignment="1">
      <alignment horizontal="center" vertical="center"/>
    </xf>
    <xf numFmtId="169" fontId="49" fillId="20" borderId="10" xfId="42" applyFont="1" applyFill="1" applyBorder="1" applyAlignment="1">
      <alignment horizontal="center" vertical="center"/>
    </xf>
    <xf numFmtId="169" fontId="49" fillId="20" borderId="13" xfId="42" applyFont="1" applyFill="1" applyBorder="1" applyAlignment="1">
      <alignment horizontal="center" vertical="center"/>
    </xf>
    <xf numFmtId="169" fontId="49" fillId="20" borderId="14" xfId="42" quotePrefix="1" applyFont="1" applyFill="1" applyBorder="1" applyAlignment="1">
      <alignment horizontal="center" vertical="center"/>
    </xf>
    <xf numFmtId="169" fontId="49" fillId="20" borderId="10" xfId="42" quotePrefix="1" applyFont="1" applyFill="1" applyBorder="1" applyAlignment="1">
      <alignment horizontal="center" vertical="center"/>
    </xf>
    <xf numFmtId="169" fontId="49" fillId="0" borderId="0" xfId="42" quotePrefix="1" applyFont="1" applyAlignment="1">
      <alignment horizontal="center" vertical="center"/>
    </xf>
    <xf numFmtId="169" fontId="49" fillId="0" borderId="12" xfId="42" quotePrefix="1" applyFont="1" applyBorder="1" applyAlignment="1">
      <alignment horizontal="center" vertical="center"/>
    </xf>
    <xf numFmtId="169" fontId="49" fillId="0" borderId="0" xfId="42" applyFont="1" applyAlignment="1">
      <alignment horizontal="center" vertical="center"/>
    </xf>
    <xf numFmtId="169" fontId="40" fillId="0" borderId="12" xfId="42" quotePrefix="1" applyFont="1" applyBorder="1" applyAlignment="1">
      <alignment horizontal="center" vertical="center"/>
    </xf>
    <xf numFmtId="168" fontId="49" fillId="20" borderId="14" xfId="0" applyFont="1" applyFill="1" applyBorder="1" applyAlignment="1">
      <alignment horizontal="center" vertical="center"/>
    </xf>
    <xf numFmtId="168" fontId="49" fillId="20" borderId="0" xfId="0" applyFont="1" applyFill="1" applyAlignment="1">
      <alignment horizontal="center" vertical="center"/>
    </xf>
    <xf numFmtId="168" fontId="49" fillId="20" borderId="10" xfId="0" applyFont="1" applyFill="1" applyBorder="1" applyAlignment="1">
      <alignment horizontal="center" vertical="center"/>
    </xf>
    <xf numFmtId="168" fontId="49" fillId="20" borderId="13" xfId="0" quotePrefix="1" applyFont="1" applyFill="1" applyBorder="1" applyAlignment="1">
      <alignment horizontal="center" vertical="center"/>
    </xf>
    <xf numFmtId="168" fontId="49" fillId="20" borderId="13" xfId="0" applyFont="1" applyFill="1" applyBorder="1" applyAlignment="1">
      <alignment horizontal="center" vertical="center"/>
    </xf>
    <xf numFmtId="169" fontId="30" fillId="20" borderId="10" xfId="41" quotePrefix="1" applyFont="1" applyFill="1" applyBorder="1" applyAlignment="1">
      <alignment horizontal="center" vertical="center"/>
    </xf>
    <xf numFmtId="169" fontId="30" fillId="20" borderId="13" xfId="41" applyFont="1" applyFill="1" applyBorder="1" applyAlignment="1">
      <alignment horizontal="center" vertical="center"/>
    </xf>
    <xf numFmtId="169" fontId="30" fillId="20" borderId="14" xfId="41" applyFont="1" applyFill="1" applyBorder="1" applyAlignment="1">
      <alignment horizontal="center" vertical="center"/>
    </xf>
    <xf numFmtId="169" fontId="30" fillId="20" borderId="10" xfId="41" applyFont="1" applyFill="1" applyBorder="1" applyAlignment="1">
      <alignment horizontal="center" vertical="center"/>
    </xf>
    <xf numFmtId="0" fontId="30" fillId="20" borderId="14" xfId="40" applyFont="1" applyFill="1" applyBorder="1" applyAlignment="1">
      <alignment horizontal="center" vertical="center"/>
    </xf>
    <xf numFmtId="0" fontId="30" fillId="20" borderId="10" xfId="40" applyFont="1" applyFill="1" applyBorder="1" applyAlignment="1">
      <alignment horizontal="center" vertical="center"/>
    </xf>
    <xf numFmtId="0" fontId="28" fillId="0" borderId="0" xfId="40" applyFont="1" applyAlignment="1">
      <alignment horizontal="center" vertical="center"/>
    </xf>
    <xf numFmtId="0" fontId="30" fillId="20" borderId="13" xfId="40" applyFont="1" applyFill="1" applyBorder="1" applyAlignment="1">
      <alignment horizontal="center" vertical="center"/>
    </xf>
    <xf numFmtId="169" fontId="41" fillId="21" borderId="11" xfId="45" applyNumberFormat="1" applyFont="1" applyFill="1" applyBorder="1" applyAlignment="1">
      <alignment horizontal="center" vertical="center"/>
    </xf>
    <xf numFmtId="0" fontId="30" fillId="20" borderId="10" xfId="45" applyFont="1" applyFill="1" applyBorder="1" applyAlignment="1">
      <alignment horizontal="center" vertical="center"/>
    </xf>
    <xf numFmtId="0" fontId="41" fillId="20" borderId="10" xfId="45" applyFont="1" applyFill="1" applyBorder="1" applyAlignment="1">
      <alignment horizontal="center" vertical="center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Euro" xfId="30" xr:uid="{00000000-0005-0000-0000-00001D000000}"/>
    <cellStyle name="Incorrecto" xfId="31" builtinId="27" customBuiltin="1"/>
    <cellStyle name="Millares" xfId="32" builtinId="3"/>
    <cellStyle name="Millares [0]" xfId="33" builtinId="6"/>
    <cellStyle name="Millares 2" xfId="34" xr:uid="{00000000-0005-0000-0000-000021000000}"/>
    <cellStyle name="Millares 3" xfId="35" xr:uid="{00000000-0005-0000-0000-000022000000}"/>
    <cellStyle name="Millares_Cuadro N° 1,1-a,1-b" xfId="36" xr:uid="{00000000-0005-0000-0000-000023000000}"/>
    <cellStyle name="Neutral" xfId="37" builtinId="28" customBuiltin="1"/>
    <cellStyle name="Normal" xfId="0" builtinId="0"/>
    <cellStyle name="Normal 10" xfId="58" xr:uid="{52588B5D-9FA4-4A5A-A807-7966D6D32D5C}"/>
    <cellStyle name="Normal 2" xfId="38" xr:uid="{00000000-0005-0000-0000-000026000000}"/>
    <cellStyle name="Normal 2 2" xfId="59" xr:uid="{2371EFBA-C6A8-44A8-8D6F-B13ED4C844F0}"/>
    <cellStyle name="Normal 3" xfId="39" xr:uid="{00000000-0005-0000-0000-000027000000}"/>
    <cellStyle name="Normal 4" xfId="40" xr:uid="{00000000-0005-0000-0000-000028000000}"/>
    <cellStyle name="Normal 5" xfId="41" xr:uid="{00000000-0005-0000-0000-000029000000}"/>
    <cellStyle name="Normal 6" xfId="42" xr:uid="{00000000-0005-0000-0000-00002A000000}"/>
    <cellStyle name="Normal 7" xfId="43" xr:uid="{00000000-0005-0000-0000-00002B000000}"/>
    <cellStyle name="Normal 8" xfId="44" xr:uid="{00000000-0005-0000-0000-00002C000000}"/>
    <cellStyle name="Normal 9" xfId="45" xr:uid="{00000000-0005-0000-0000-00002D000000}"/>
    <cellStyle name="Normal_C-002_a" xfId="46" xr:uid="{00000000-0005-0000-0000-00002E000000}"/>
    <cellStyle name="Normal_Hoja1" xfId="47" xr:uid="{00000000-0005-0000-0000-000030000000}"/>
    <cellStyle name="Notas" xfId="48" builtinId="10" customBuiltin="1"/>
    <cellStyle name="Porcentaje 2" xfId="49" xr:uid="{00000000-0005-0000-0000-000032000000}"/>
    <cellStyle name="Salida" xfId="50" builtinId="21" customBuiltin="1"/>
    <cellStyle name="Texto de advertencia" xfId="51" builtinId="11" customBuiltin="1"/>
    <cellStyle name="Texto explicativo" xfId="52" builtinId="53" customBuiltin="1"/>
    <cellStyle name="Título" xfId="53" builtinId="15" customBuiltin="1"/>
    <cellStyle name="Título 1" xfId="54" xr:uid="{00000000-0005-0000-0000-000037000000}"/>
    <cellStyle name="Título 2" xfId="55" builtinId="17" customBuiltin="1"/>
    <cellStyle name="Título 3" xfId="56" builtinId="18" customBuiltin="1"/>
    <cellStyle name="Total" xfId="5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6E1D2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4C9A0"/>
      <color rgb="FFFEE8DB"/>
      <color rgb="FFFAE4D6"/>
      <color rgb="FFFDF0E5"/>
      <color rgb="FFFAE5D7"/>
      <color rgb="FFECE3D9"/>
      <color rgb="FFD3BAA4"/>
      <color rgb="FFC9BAB2"/>
      <color rgb="FFD3BFA7"/>
      <color rgb="FFC6DD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calcChain" Target="calcChain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externalLink" Target="externalLinks/externalLink3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externalLink" Target="externalLinks/externalLink4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B67-C54C-AADD-AD7335DCC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262888"/>
        <c:axId val="115219608"/>
      </c:lineChart>
      <c:catAx>
        <c:axId val="256262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5219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21960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62628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718-BE45-8315-4477CA4A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917584"/>
        <c:axId val="163145680"/>
      </c:lineChart>
      <c:catAx>
        <c:axId val="25791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3145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314568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9175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BB0-664A-B728-756736B43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221000"/>
        <c:axId val="164102528"/>
      </c:lineChart>
      <c:catAx>
        <c:axId val="255221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4102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410252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221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BE8-8249-9A14-8F1B510C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35536"/>
        <c:axId val="165101568"/>
      </c:lineChart>
      <c:catAx>
        <c:axId val="16503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5101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510156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50355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162-0646-982A-568A37A2E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787400"/>
        <c:axId val="256297832"/>
      </c:lineChart>
      <c:catAx>
        <c:axId val="256787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6297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6297832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6787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E3-194E-BCF9-6ECBF4AAC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69544"/>
        <c:axId val="255669936"/>
      </c:lineChart>
      <c:catAx>
        <c:axId val="255669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69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5669936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69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EC1-764B-9A3A-494B31375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70720"/>
        <c:axId val="255671112"/>
      </c:lineChart>
      <c:catAx>
        <c:axId val="25567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1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5671112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07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ACC-DB4B-BC81-FE83F9BD0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71896"/>
        <c:axId val="255672288"/>
      </c:lineChart>
      <c:catAx>
        <c:axId val="255671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2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567228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18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B46-E54C-AB1C-9B0619C27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72680"/>
        <c:axId val="257383288"/>
      </c:lineChart>
      <c:catAx>
        <c:axId val="255672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3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738328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26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'[4]ALP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'[4]ALP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1A-F340-B55C-5C3642FF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384072"/>
        <c:axId val="257384464"/>
      </c:lineChart>
      <c:catAx>
        <c:axId val="257384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44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57384464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40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'[4]ALP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'[4]ALP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E-0F43-8883-8535F678B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386032"/>
        <c:axId val="257386424"/>
      </c:lineChart>
      <c:catAx>
        <c:axId val="25738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642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57386424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60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'[4]ALP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'[4]ALP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7-794D-88EB-4212FA330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387600"/>
        <c:axId val="257389560"/>
      </c:lineChart>
      <c:catAx>
        <c:axId val="25738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956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5738956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76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6422109" name="Gráfico 1">
          <a:extLst>
            <a:ext uri="{FF2B5EF4-FFF2-40B4-BE49-F238E27FC236}">
              <a16:creationId xmlns:a16="http://schemas.microsoft.com/office/drawing/2014/main" id="{CC3C6AD9-6D25-FA45-922E-29711D137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6422110" name="Gráfico 2">
          <a:extLst>
            <a:ext uri="{FF2B5EF4-FFF2-40B4-BE49-F238E27FC236}">
              <a16:creationId xmlns:a16="http://schemas.microsoft.com/office/drawing/2014/main" id="{DF9E610A-5AEF-0342-A718-7703E311F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37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6425181" name="Gráfico 1">
          <a:extLst>
            <a:ext uri="{FF2B5EF4-FFF2-40B4-BE49-F238E27FC236}">
              <a16:creationId xmlns:a16="http://schemas.microsoft.com/office/drawing/2014/main" id="{471F76FA-170A-1449-822B-AB02DFE24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37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6425182" name="Gráfico 2">
          <a:extLst>
            <a:ext uri="{FF2B5EF4-FFF2-40B4-BE49-F238E27FC236}">
              <a16:creationId xmlns:a16="http://schemas.microsoft.com/office/drawing/2014/main" id="{9DFC6B18-CC73-D34D-A48E-C2A297E2C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37</xdr:row>
      <xdr:rowOff>0</xdr:rowOff>
    </xdr:from>
    <xdr:to>
      <xdr:col>32</xdr:col>
      <xdr:colOff>0</xdr:colOff>
      <xdr:row>37</xdr:row>
      <xdr:rowOff>0</xdr:rowOff>
    </xdr:to>
    <xdr:graphicFrame macro="">
      <xdr:nvGraphicFramePr>
        <xdr:cNvPr id="6428253" name="Gráfico 1">
          <a:extLst>
            <a:ext uri="{FF2B5EF4-FFF2-40B4-BE49-F238E27FC236}">
              <a16:creationId xmlns:a16="http://schemas.microsoft.com/office/drawing/2014/main" id="{742AE11D-5163-0F41-AF21-5646280A8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37</xdr:row>
      <xdr:rowOff>0</xdr:rowOff>
    </xdr:from>
    <xdr:to>
      <xdr:col>32</xdr:col>
      <xdr:colOff>0</xdr:colOff>
      <xdr:row>37</xdr:row>
      <xdr:rowOff>0</xdr:rowOff>
    </xdr:to>
    <xdr:graphicFrame macro="">
      <xdr:nvGraphicFramePr>
        <xdr:cNvPr id="6428254" name="Gráfico 2">
          <a:extLst>
            <a:ext uri="{FF2B5EF4-FFF2-40B4-BE49-F238E27FC236}">
              <a16:creationId xmlns:a16="http://schemas.microsoft.com/office/drawing/2014/main" id="{7E4DB0BB-E1D0-6347-9E7A-2FBB3A8DD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graphicFrame macro="">
      <xdr:nvGraphicFramePr>
        <xdr:cNvPr id="13102" name="Gráfico 1">
          <a:extLst>
            <a:ext uri="{FF2B5EF4-FFF2-40B4-BE49-F238E27FC236}">
              <a16:creationId xmlns:a16="http://schemas.microsoft.com/office/drawing/2014/main" id="{498CE5B0-EC76-1A43-A0AD-F529E0507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14126" name="Gráfico 1">
          <a:extLst>
            <a:ext uri="{FF2B5EF4-FFF2-40B4-BE49-F238E27FC236}">
              <a16:creationId xmlns:a16="http://schemas.microsoft.com/office/drawing/2014/main" id="{32FABAAF-BF8C-284A-8507-5010605A7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15150" name="Gráfico 1">
          <a:extLst>
            <a:ext uri="{FF2B5EF4-FFF2-40B4-BE49-F238E27FC236}">
              <a16:creationId xmlns:a16="http://schemas.microsoft.com/office/drawing/2014/main" id="{5CAF96AC-9A03-3C48-BEA1-EE721B969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5389" name="Gráfico 1">
          <a:extLst>
            <a:ext uri="{FF2B5EF4-FFF2-40B4-BE49-F238E27FC236}">
              <a16:creationId xmlns:a16="http://schemas.microsoft.com/office/drawing/2014/main" id="{E99173EF-56CB-5246-91DE-ADD26A99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6413" name="Gráfico 1">
          <a:extLst>
            <a:ext uri="{FF2B5EF4-FFF2-40B4-BE49-F238E27FC236}">
              <a16:creationId xmlns:a16="http://schemas.microsoft.com/office/drawing/2014/main" id="{88AE0823-A211-CD4F-83E9-87915A18D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7437" name="Gráfico 1">
          <a:extLst>
            <a:ext uri="{FF2B5EF4-FFF2-40B4-BE49-F238E27FC236}">
              <a16:creationId xmlns:a16="http://schemas.microsoft.com/office/drawing/2014/main" id="{138F7FFC-D2F1-A342-A132-BF1ECC541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:/mis%20documentos/PECUARIO2000/COLO12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leon/Desktop/PECUARIO%202023/2023/POBLACION/POB_PEC_%202000-2025%20(Espec.%20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leon/Desktop/PECUARIO%202023/2024/VACAS-LECHE%20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LEON/Prod-4/WINDOWS/Profiles/randrade/Escritorio/C-ALPACA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YPPOLLO"/>
      <sheetName val="PROD-POLLO"/>
      <sheetName val="PROD-POLLO%"/>
      <sheetName val="RES-PROD-POLL"/>
      <sheetName val="CDPTOPOLLO"/>
      <sheetName val="CYPPADRES"/>
      <sheetName val="PPADPON"/>
      <sheetName val="res-padpon"/>
      <sheetName val="CDPTOPADRE"/>
      <sheetName val="CYPPONED"/>
      <sheetName val="CDPTOPONE"/>
      <sheetName val="CYPPAPOS"/>
      <sheetName val="CDPTOPAPOST"/>
      <sheetName val="movpoll"/>
      <sheetName val="COL.RES"/>
      <sheetName val="cuad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... 2025"/>
      <sheetName val="DASH... 2024"/>
      <sheetName val="DASH... 2023"/>
      <sheetName val="DASH... 2022 "/>
      <sheetName val="Ave"/>
      <sheetName val="Ovi"/>
      <sheetName val="Por"/>
      <sheetName val="Vac"/>
      <sheetName val="Cap"/>
      <sheetName val="Alp"/>
      <sheetName val="lla"/>
      <sheetName val="CUY"/>
      <sheetName val="Blanco"/>
      <sheetName val="DASH... POB 2000"/>
      <sheetName val="DASH... 2001"/>
      <sheetName val="DASH... 2002"/>
      <sheetName val="DASH... 2003"/>
      <sheetName val="DASH... 2004"/>
      <sheetName val="DASH... 2005"/>
      <sheetName val="DASH... 2006"/>
      <sheetName val="DASH... 2007"/>
      <sheetName val="DASH... 2008"/>
      <sheetName val="DASH... 2009"/>
      <sheetName val="DASH... 2010"/>
      <sheetName val="DASH... 2011"/>
      <sheetName val="DASH... 2012"/>
      <sheetName val="DASH... 2013"/>
      <sheetName val="DASH... 2014"/>
      <sheetName val="DASH... 2015"/>
      <sheetName val="DASH... 2016"/>
      <sheetName val="DASH... 2017"/>
      <sheetName val="DASH... 2018"/>
      <sheetName val="DASH... 2019"/>
      <sheetName val="DASH... 2020"/>
      <sheetName val="DASH... 2021"/>
      <sheetName val="DASH... 2022"/>
    </sheetNames>
    <sheetDataSet>
      <sheetData sheetId="0"/>
      <sheetData sheetId="1"/>
      <sheetData sheetId="2"/>
      <sheetData sheetId="3"/>
      <sheetData sheetId="4">
        <row r="9">
          <cell r="Z9">
            <v>183726</v>
          </cell>
        </row>
        <row r="10">
          <cell r="Z10">
            <v>3987073</v>
          </cell>
        </row>
        <row r="11">
          <cell r="Z11">
            <v>2510903</v>
          </cell>
        </row>
        <row r="12">
          <cell r="Z12">
            <v>25756805</v>
          </cell>
        </row>
        <row r="13">
          <cell r="Z13">
            <v>899534</v>
          </cell>
        </row>
        <row r="14">
          <cell r="Z14">
            <v>380157</v>
          </cell>
        </row>
        <row r="15">
          <cell r="Z15">
            <v>211090</v>
          </cell>
        </row>
        <row r="16">
          <cell r="Z16">
            <v>308287</v>
          </cell>
        </row>
        <row r="17">
          <cell r="Z17">
            <v>1532411</v>
          </cell>
        </row>
        <row r="18">
          <cell r="Z18">
            <v>2756581</v>
          </cell>
        </row>
        <row r="19">
          <cell r="Z19">
            <v>95986273</v>
          </cell>
        </row>
        <row r="20">
          <cell r="Z20">
            <v>17289061</v>
          </cell>
        </row>
        <row r="21">
          <cell r="Z21">
            <v>1750227</v>
          </cell>
        </row>
        <row r="22">
          <cell r="Z22">
            <v>136729</v>
          </cell>
        </row>
        <row r="23">
          <cell r="Z23">
            <v>2560292</v>
          </cell>
        </row>
        <row r="24">
          <cell r="Z24">
            <v>385113</v>
          </cell>
        </row>
        <row r="25">
          <cell r="Z25">
            <v>18305583</v>
          </cell>
        </row>
        <row r="26">
          <cell r="Z26">
            <v>63294</v>
          </cell>
        </row>
        <row r="27">
          <cell r="Z27">
            <v>1190149</v>
          </cell>
        </row>
        <row r="28">
          <cell r="Z28">
            <v>576207</v>
          </cell>
        </row>
        <row r="29">
          <cell r="Z29">
            <v>304190</v>
          </cell>
        </row>
        <row r="30">
          <cell r="Z30">
            <v>186221</v>
          </cell>
        </row>
        <row r="31">
          <cell r="Z31">
            <v>117969</v>
          </cell>
        </row>
        <row r="32">
          <cell r="Z32">
            <v>1204044</v>
          </cell>
        </row>
        <row r="33">
          <cell r="Z33">
            <v>1549260</v>
          </cell>
        </row>
        <row r="34">
          <cell r="Z34">
            <v>4907574</v>
          </cell>
        </row>
        <row r="35">
          <cell r="Z35">
            <v>4195254</v>
          </cell>
        </row>
        <row r="36">
          <cell r="Z36">
            <v>6230589</v>
          </cell>
        </row>
        <row r="37">
          <cell r="Z37">
            <v>497838</v>
          </cell>
        </row>
      </sheetData>
      <sheetData sheetId="5">
        <row r="9">
          <cell r="Z9">
            <v>9937</v>
          </cell>
        </row>
        <row r="10">
          <cell r="Z10">
            <v>243119</v>
          </cell>
        </row>
        <row r="11">
          <cell r="Z11">
            <v>73114</v>
          </cell>
        </row>
        <row r="12">
          <cell r="Z12">
            <v>368772</v>
          </cell>
        </row>
        <row r="13">
          <cell r="Z13">
            <v>483612</v>
          </cell>
        </row>
        <row r="14">
          <cell r="Z14">
            <v>343627</v>
          </cell>
        </row>
        <row r="15">
          <cell r="Z15">
            <v>102439</v>
          </cell>
        </row>
        <row r="16">
          <cell r="Z16">
            <v>37546</v>
          </cell>
        </row>
        <row r="17">
          <cell r="Z17">
            <v>28823</v>
          </cell>
        </row>
        <row r="18">
          <cell r="Z18">
            <v>671255</v>
          </cell>
        </row>
        <row r="19">
          <cell r="Z19">
            <v>320363</v>
          </cell>
        </row>
        <row r="20">
          <cell r="Z20">
            <v>29991</v>
          </cell>
        </row>
        <row r="21">
          <cell r="Z21">
            <v>527045</v>
          </cell>
        </row>
        <row r="22">
          <cell r="Z22">
            <v>682406</v>
          </cell>
        </row>
        <row r="23">
          <cell r="Z23">
            <v>1751173</v>
          </cell>
        </row>
        <row r="24">
          <cell r="Z24">
            <v>622856</v>
          </cell>
        </row>
        <row r="25">
          <cell r="Z25">
            <v>200495</v>
          </cell>
        </row>
        <row r="26">
          <cell r="Z26">
            <v>48013</v>
          </cell>
        </row>
        <row r="27">
          <cell r="Z27">
            <v>35840</v>
          </cell>
        </row>
        <row r="28">
          <cell r="Z28">
            <v>605887</v>
          </cell>
        </row>
        <row r="29">
          <cell r="Z29">
            <v>454520</v>
          </cell>
        </row>
        <row r="30">
          <cell r="Z30">
            <v>311289</v>
          </cell>
        </row>
        <row r="31">
          <cell r="Z31">
            <v>143231</v>
          </cell>
        </row>
        <row r="32">
          <cell r="Z32">
            <v>1392545</v>
          </cell>
        </row>
        <row r="33">
          <cell r="Z33">
            <v>2695590</v>
          </cell>
        </row>
        <row r="34">
          <cell r="Z34">
            <v>9134</v>
          </cell>
        </row>
        <row r="35">
          <cell r="Z35">
            <v>11274</v>
          </cell>
        </row>
        <row r="36">
          <cell r="Z36">
            <v>8195</v>
          </cell>
        </row>
        <row r="37">
          <cell r="Z37">
            <v>4124</v>
          </cell>
        </row>
      </sheetData>
      <sheetData sheetId="6">
        <row r="9">
          <cell r="Z9">
            <v>30138</v>
          </cell>
        </row>
        <row r="10">
          <cell r="Z10">
            <v>178258</v>
          </cell>
        </row>
        <row r="11">
          <cell r="Z11">
            <v>70216</v>
          </cell>
        </row>
        <row r="12">
          <cell r="Z12">
            <v>113846</v>
          </cell>
        </row>
        <row r="13">
          <cell r="Z13">
            <v>291070</v>
          </cell>
        </row>
        <row r="14">
          <cell r="Z14">
            <v>78064</v>
          </cell>
        </row>
        <row r="15">
          <cell r="Z15">
            <v>102639</v>
          </cell>
        </row>
        <row r="16">
          <cell r="Z16">
            <v>110367</v>
          </cell>
        </row>
        <row r="17">
          <cell r="Z17">
            <v>101595</v>
          </cell>
        </row>
        <row r="18">
          <cell r="Z18">
            <v>195378</v>
          </cell>
        </row>
        <row r="19">
          <cell r="Z19">
            <v>505821</v>
          </cell>
        </row>
        <row r="20">
          <cell r="Z20">
            <v>206409</v>
          </cell>
        </row>
        <row r="21">
          <cell r="Z21">
            <v>402369</v>
          </cell>
        </row>
        <row r="22">
          <cell r="Z22">
            <v>54128</v>
          </cell>
        </row>
        <row r="23">
          <cell r="Z23">
            <v>205337</v>
          </cell>
        </row>
        <row r="24">
          <cell r="Z24">
            <v>156236</v>
          </cell>
        </row>
        <row r="25">
          <cell r="Z25">
            <v>133853</v>
          </cell>
        </row>
        <row r="26">
          <cell r="Z26">
            <v>13189</v>
          </cell>
        </row>
        <row r="27">
          <cell r="Z27">
            <v>38937</v>
          </cell>
        </row>
        <row r="28">
          <cell r="Z28">
            <v>120620</v>
          </cell>
        </row>
        <row r="29">
          <cell r="Z29">
            <v>137124</v>
          </cell>
        </row>
        <row r="30">
          <cell r="Z30">
            <v>48361</v>
          </cell>
        </row>
        <row r="31">
          <cell r="Z31">
            <v>88763</v>
          </cell>
        </row>
        <row r="32">
          <cell r="Z32">
            <v>122046</v>
          </cell>
        </row>
        <row r="33">
          <cell r="Z33">
            <v>120010</v>
          </cell>
        </row>
        <row r="34">
          <cell r="Z34">
            <v>179557</v>
          </cell>
        </row>
        <row r="35">
          <cell r="Z35">
            <v>84245</v>
          </cell>
        </row>
        <row r="36">
          <cell r="Z36">
            <v>46211</v>
          </cell>
        </row>
        <row r="37">
          <cell r="Z37">
            <v>13075</v>
          </cell>
        </row>
      </sheetData>
      <sheetData sheetId="7">
        <row r="9">
          <cell r="Z9">
            <v>20364</v>
          </cell>
        </row>
        <row r="10">
          <cell r="Z10">
            <v>258181</v>
          </cell>
        </row>
        <row r="11">
          <cell r="Z11">
            <v>112932</v>
          </cell>
        </row>
        <row r="12">
          <cell r="Z12">
            <v>234527</v>
          </cell>
        </row>
        <row r="13">
          <cell r="Z13">
            <v>662221</v>
          </cell>
        </row>
        <row r="14">
          <cell r="Z14">
            <v>265069</v>
          </cell>
        </row>
        <row r="15">
          <cell r="Z15">
            <v>274372</v>
          </cell>
        </row>
        <row r="16">
          <cell r="Z16">
            <v>122780</v>
          </cell>
        </row>
        <row r="17">
          <cell r="Z17">
            <v>405462</v>
          </cell>
        </row>
        <row r="18">
          <cell r="Z18">
            <v>307203</v>
          </cell>
        </row>
        <row r="19">
          <cell r="Z19">
            <v>269830</v>
          </cell>
        </row>
        <row r="20">
          <cell r="Z20">
            <v>56209</v>
          </cell>
        </row>
        <row r="21">
          <cell r="Z21">
            <v>287557</v>
          </cell>
        </row>
        <row r="22">
          <cell r="Z22">
            <v>117698</v>
          </cell>
        </row>
        <row r="23">
          <cell r="Z23">
            <v>343821</v>
          </cell>
        </row>
        <row r="24">
          <cell r="Z24">
            <v>177820</v>
          </cell>
        </row>
        <row r="25">
          <cell r="Z25">
            <v>215870</v>
          </cell>
        </row>
        <row r="26">
          <cell r="Z26">
            <v>23187</v>
          </cell>
        </row>
        <row r="27">
          <cell r="Z27">
            <v>18974</v>
          </cell>
        </row>
        <row r="28">
          <cell r="Z28">
            <v>430462</v>
          </cell>
        </row>
        <row r="29">
          <cell r="Z29">
            <v>292266</v>
          </cell>
        </row>
        <row r="30">
          <cell r="Z30">
            <v>187569</v>
          </cell>
        </row>
        <row r="31">
          <cell r="Z31">
            <v>104697</v>
          </cell>
        </row>
        <row r="32">
          <cell r="Z32">
            <v>443245</v>
          </cell>
        </row>
        <row r="33">
          <cell r="Z33">
            <v>746265</v>
          </cell>
        </row>
        <row r="34">
          <cell r="Z34">
            <v>216646</v>
          </cell>
        </row>
        <row r="35">
          <cell r="Z35">
            <v>75963</v>
          </cell>
        </row>
        <row r="36">
          <cell r="Z36">
            <v>65346</v>
          </cell>
        </row>
        <row r="37">
          <cell r="Z37">
            <v>60117</v>
          </cell>
        </row>
      </sheetData>
      <sheetData sheetId="8">
        <row r="9">
          <cell r="Z9">
            <v>78919</v>
          </cell>
        </row>
        <row r="10">
          <cell r="Z10">
            <v>323221</v>
          </cell>
        </row>
        <row r="11">
          <cell r="Z11">
            <v>104933</v>
          </cell>
        </row>
        <row r="12">
          <cell r="Z12">
            <v>85406</v>
          </cell>
        </row>
        <row r="13">
          <cell r="Z13">
            <v>104655</v>
          </cell>
        </row>
        <row r="14">
          <cell r="Z14">
            <v>65783</v>
          </cell>
        </row>
        <row r="15">
          <cell r="Z15">
            <v>20725</v>
          </cell>
        </row>
        <row r="16">
          <cell r="Z16">
            <v>18147</v>
          </cell>
        </row>
        <row r="17">
          <cell r="Z17">
            <v>15675</v>
          </cell>
        </row>
        <row r="18">
          <cell r="Z18">
            <v>168104</v>
          </cell>
        </row>
        <row r="19">
          <cell r="Z19">
            <v>160346</v>
          </cell>
        </row>
        <row r="20">
          <cell r="Z20">
            <v>79929</v>
          </cell>
        </row>
        <row r="21">
          <cell r="Z21">
            <v>101634</v>
          </cell>
        </row>
        <row r="22">
          <cell r="Z22">
            <v>6402</v>
          </cell>
        </row>
        <row r="23">
          <cell r="Z23">
            <v>16063</v>
          </cell>
        </row>
        <row r="24">
          <cell r="Z24">
            <v>187149</v>
          </cell>
        </row>
        <row r="25">
          <cell r="Z25">
            <v>29379</v>
          </cell>
        </row>
        <row r="26">
          <cell r="Z26">
            <v>8299</v>
          </cell>
        </row>
        <row r="27">
          <cell r="Z27">
            <v>17006</v>
          </cell>
        </row>
        <row r="28">
          <cell r="Z28">
            <v>134961</v>
          </cell>
        </row>
        <row r="29">
          <cell r="Z29">
            <v>104351</v>
          </cell>
        </row>
        <row r="30">
          <cell r="Z30">
            <v>51378</v>
          </cell>
        </row>
        <row r="31">
          <cell r="Z31">
            <v>52973</v>
          </cell>
        </row>
        <row r="32">
          <cell r="Z32">
            <v>22168</v>
          </cell>
        </row>
        <row r="33">
          <cell r="Z33">
            <v>0</v>
          </cell>
        </row>
        <row r="34">
          <cell r="Z34">
            <v>0</v>
          </cell>
        </row>
        <row r="35">
          <cell r="Z35">
            <v>227</v>
          </cell>
        </row>
        <row r="36">
          <cell r="Z36">
            <v>194</v>
          </cell>
        </row>
        <row r="37">
          <cell r="Z37">
            <v>242</v>
          </cell>
        </row>
      </sheetData>
      <sheetData sheetId="9">
        <row r="9">
          <cell r="AA9">
            <v>0</v>
          </cell>
        </row>
        <row r="10">
          <cell r="AA10">
            <v>118</v>
          </cell>
        </row>
        <row r="11">
          <cell r="AA11">
            <v>0</v>
          </cell>
        </row>
        <row r="12">
          <cell r="AA12">
            <v>7669</v>
          </cell>
        </row>
        <row r="13">
          <cell r="AA13">
            <v>1206</v>
          </cell>
        </row>
        <row r="14">
          <cell r="AA14">
            <v>1206</v>
          </cell>
        </row>
        <row r="15">
          <cell r="AA15">
            <v>0</v>
          </cell>
        </row>
        <row r="16">
          <cell r="AA16">
            <v>0</v>
          </cell>
        </row>
        <row r="17">
          <cell r="AA17">
            <v>0</v>
          </cell>
        </row>
        <row r="18">
          <cell r="AA18">
            <v>11114</v>
          </cell>
        </row>
        <row r="19">
          <cell r="AA19">
            <v>48722</v>
          </cell>
        </row>
        <row r="20">
          <cell r="AA20">
            <v>0</v>
          </cell>
        </row>
        <row r="21">
          <cell r="AA21">
            <v>6932</v>
          </cell>
        </row>
        <row r="22">
          <cell r="AA22">
            <v>132253</v>
          </cell>
        </row>
        <row r="23">
          <cell r="AA23">
            <v>124380</v>
          </cell>
        </row>
        <row r="24">
          <cell r="AA24">
            <v>268724</v>
          </cell>
        </row>
        <row r="25">
          <cell r="AA25">
            <v>487250</v>
          </cell>
        </row>
        <row r="26">
          <cell r="AA26">
            <v>145767</v>
          </cell>
        </row>
        <row r="27">
          <cell r="AA27">
            <v>79882</v>
          </cell>
        </row>
        <row r="28">
          <cell r="AA28">
            <v>323317</v>
          </cell>
        </row>
        <row r="29">
          <cell r="AA29">
            <v>213451</v>
          </cell>
        </row>
        <row r="30">
          <cell r="AA30">
            <v>192829</v>
          </cell>
        </row>
        <row r="31">
          <cell r="AA31">
            <v>20622</v>
          </cell>
        </row>
        <row r="32">
          <cell r="AA32">
            <v>677045</v>
          </cell>
        </row>
        <row r="33">
          <cell r="AA33">
            <v>2017990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>
            <v>0</v>
          </cell>
        </row>
        <row r="37">
          <cell r="AA37">
            <v>0</v>
          </cell>
        </row>
      </sheetData>
      <sheetData sheetId="10">
        <row r="9">
          <cell r="Z9">
            <v>0</v>
          </cell>
        </row>
        <row r="10">
          <cell r="Z10">
            <v>0</v>
          </cell>
        </row>
        <row r="11">
          <cell r="Z11">
            <v>0</v>
          </cell>
        </row>
        <row r="12">
          <cell r="Z12">
            <v>0</v>
          </cell>
        </row>
        <row r="13">
          <cell r="Z13">
            <v>0</v>
          </cell>
        </row>
        <row r="14">
          <cell r="Z14">
            <v>0</v>
          </cell>
        </row>
        <row r="15">
          <cell r="Z15">
            <v>0</v>
          </cell>
        </row>
        <row r="16">
          <cell r="Z16">
            <v>0</v>
          </cell>
        </row>
        <row r="17">
          <cell r="Z17">
            <v>0</v>
          </cell>
        </row>
        <row r="18">
          <cell r="Z18">
            <v>0</v>
          </cell>
        </row>
        <row r="19">
          <cell r="Z19">
            <v>17886</v>
          </cell>
        </row>
        <row r="20">
          <cell r="Z20">
            <v>0</v>
          </cell>
        </row>
        <row r="21">
          <cell r="Z21">
            <v>3570</v>
          </cell>
        </row>
        <row r="22">
          <cell r="Z22">
            <v>45686</v>
          </cell>
        </row>
        <row r="23">
          <cell r="Z23">
            <v>72513</v>
          </cell>
        </row>
        <row r="24">
          <cell r="Z24">
            <v>130683</v>
          </cell>
        </row>
        <row r="25">
          <cell r="Z25">
            <v>97639</v>
          </cell>
        </row>
        <row r="26">
          <cell r="Z26">
            <v>37812</v>
          </cell>
        </row>
        <row r="27">
          <cell r="Z27">
            <v>27860</v>
          </cell>
        </row>
        <row r="28">
          <cell r="Z28">
            <v>79048</v>
          </cell>
        </row>
        <row r="29">
          <cell r="Z29">
            <v>73490</v>
          </cell>
        </row>
        <row r="30">
          <cell r="Z30">
            <v>55123</v>
          </cell>
        </row>
        <row r="31">
          <cell r="Z31">
            <v>18367</v>
          </cell>
        </row>
        <row r="32">
          <cell r="Z32">
            <v>138750</v>
          </cell>
        </row>
        <row r="33">
          <cell r="Z33">
            <v>331970</v>
          </cell>
        </row>
        <row r="34">
          <cell r="Z34">
            <v>0</v>
          </cell>
        </row>
        <row r="35">
          <cell r="Z35">
            <v>0</v>
          </cell>
        </row>
        <row r="36">
          <cell r="Z36">
            <v>0</v>
          </cell>
        </row>
        <row r="37">
          <cell r="Z3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>
        <row r="11">
          <cell r="C11">
            <v>314.33333333333331</v>
          </cell>
        </row>
        <row r="14">
          <cell r="C14">
            <v>25670.095350957748</v>
          </cell>
        </row>
        <row r="17">
          <cell r="C17">
            <v>18164.166666666668</v>
          </cell>
        </row>
        <row r="20">
          <cell r="C20">
            <v>58533.25</v>
          </cell>
        </row>
        <row r="23">
          <cell r="C23">
            <v>170496.75</v>
          </cell>
        </row>
        <row r="26">
          <cell r="C26">
            <v>99441</v>
          </cell>
        </row>
        <row r="29">
          <cell r="C29">
            <v>65188.416666666664</v>
          </cell>
        </row>
        <row r="32">
          <cell r="C32">
            <v>5867.333333333333</v>
          </cell>
        </row>
        <row r="35">
          <cell r="C35">
            <v>81402.666666666672</v>
          </cell>
        </row>
        <row r="38">
          <cell r="C38">
            <v>19937</v>
          </cell>
        </row>
        <row r="41">
          <cell r="C41">
            <v>74349.171666666662</v>
          </cell>
        </row>
        <row r="44">
          <cell r="C44">
            <v>19764.083333333332</v>
          </cell>
        </row>
        <row r="47">
          <cell r="C47">
            <v>42467.666666666664</v>
          </cell>
        </row>
        <row r="60">
          <cell r="C60">
            <v>32505.405277135305</v>
          </cell>
        </row>
        <row r="63">
          <cell r="C63">
            <v>41903</v>
          </cell>
        </row>
        <row r="66">
          <cell r="C66">
            <v>12742.75</v>
          </cell>
        </row>
        <row r="69">
          <cell r="C69">
            <v>64832.916666666664</v>
          </cell>
        </row>
        <row r="72">
          <cell r="C72">
            <v>5771.9375567614625</v>
          </cell>
        </row>
        <row r="75">
          <cell r="C75">
            <v>5459.8375000000005</v>
          </cell>
        </row>
        <row r="78">
          <cell r="C78">
            <v>28580.216666666664</v>
          </cell>
        </row>
        <row r="81">
          <cell r="C81">
            <v>28414.916666666668</v>
          </cell>
        </row>
        <row r="84">
          <cell r="C84">
            <v>17412.666666666668</v>
          </cell>
        </row>
        <row r="87">
          <cell r="C87">
            <v>11002.25</v>
          </cell>
        </row>
        <row r="90">
          <cell r="C90">
            <v>81970.133333333331</v>
          </cell>
        </row>
        <row r="93">
          <cell r="C93">
            <v>95466.25</v>
          </cell>
        </row>
        <row r="96">
          <cell r="C96">
            <v>20404.276540261602</v>
          </cell>
        </row>
        <row r="99">
          <cell r="C99">
            <v>1134.1666666666667</v>
          </cell>
        </row>
        <row r="102">
          <cell r="C102">
            <v>2711.5</v>
          </cell>
        </row>
        <row r="105">
          <cell r="C105">
            <v>910.5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P 02-01"/>
      <sheetName val="C-95-97"/>
    </sheetNames>
    <sheetDataSet>
      <sheetData sheetId="0" refreshError="1">
        <row r="118">
          <cell r="T118" t="str">
            <v>ene</v>
          </cell>
          <cell r="U118" t="str">
            <v>feb</v>
          </cell>
          <cell r="V118" t="str">
            <v>mar</v>
          </cell>
          <cell r="W118" t="str">
            <v>abr</v>
          </cell>
          <cell r="X118" t="str">
            <v>may</v>
          </cell>
          <cell r="Y118" t="str">
            <v>jun</v>
          </cell>
          <cell r="Z118" t="str">
            <v>jul</v>
          </cell>
          <cell r="AA118" t="str">
            <v>ago</v>
          </cell>
          <cell r="AB118" t="str">
            <v>set</v>
          </cell>
          <cell r="AC118" t="str">
            <v>oct</v>
          </cell>
          <cell r="AD118" t="str">
            <v>nov</v>
          </cell>
          <cell r="AE118" t="str">
            <v>dic</v>
          </cell>
        </row>
        <row r="120">
          <cell r="T120">
            <v>5.7350236468733575</v>
          </cell>
          <cell r="U120">
            <v>6.9653179190751455</v>
          </cell>
          <cell r="V120">
            <v>7.6228323699421967</v>
          </cell>
          <cell r="W120">
            <v>10.407251707829742</v>
          </cell>
          <cell r="X120">
            <v>11.617840252233316</v>
          </cell>
          <cell r="Y120">
            <v>11.584997372569628</v>
          </cell>
          <cell r="Z120">
            <v>10.949487651077247</v>
          </cell>
          <cell r="AA120">
            <v>8.920126116657908</v>
          </cell>
          <cell r="AB120">
            <v>8.2294403573305317</v>
          </cell>
          <cell r="AC120">
            <v>6.8181818181818175</v>
          </cell>
          <cell r="AD120">
            <v>5.5599710982658959</v>
          </cell>
          <cell r="AE120">
            <v>5.5895296899632161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A1"/>
  <sheetViews>
    <sheetView zoomScale="136" zoomScaleNormal="136" workbookViewId="0"/>
  </sheetViews>
  <sheetFormatPr baseColWidth="10" defaultRowHeight="13"/>
  <sheetData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Hoja2">
    <tabColor theme="4" tint="-0.249977111117893"/>
  </sheetPr>
  <dimension ref="A1:AI92"/>
  <sheetViews>
    <sheetView showGridLines="0" topLeftCell="A67" zoomScaleNormal="100" workbookViewId="0">
      <selection activeCell="J68" sqref="J68:AA70"/>
    </sheetView>
  </sheetViews>
  <sheetFormatPr baseColWidth="10" defaultColWidth="11" defaultRowHeight="13.25" customHeight="1"/>
  <cols>
    <col min="1" max="1" width="1" style="17" customWidth="1"/>
    <col min="2" max="2" width="15.19921875" style="17" customWidth="1"/>
    <col min="3" max="3" width="7.3984375" style="17" hidden="1" customWidth="1"/>
    <col min="4" max="6" width="6.3984375" style="17" hidden="1" customWidth="1"/>
    <col min="7" max="7" width="7.19921875" style="17" hidden="1" customWidth="1"/>
    <col min="8" max="8" width="7.3984375" style="17" hidden="1" customWidth="1"/>
    <col min="9" max="9" width="7.19921875" style="17" hidden="1" customWidth="1"/>
    <col min="10" max="27" width="7" style="17" customWidth="1"/>
    <col min="28" max="28" width="5.59765625" style="17" customWidth="1"/>
    <col min="29" max="16384" width="11" style="17"/>
  </cols>
  <sheetData>
    <row r="1" spans="1:35" ht="1.25" customHeight="1">
      <c r="C1" s="39"/>
      <c r="D1" s="39"/>
    </row>
    <row r="2" spans="1:35" ht="15" customHeight="1">
      <c r="A2" s="53" t="s">
        <v>466</v>
      </c>
      <c r="B2" s="51"/>
    </row>
    <row r="3" spans="1:35" ht="12">
      <c r="A3" s="52" t="s">
        <v>202</v>
      </c>
      <c r="B3" s="51"/>
      <c r="AD3" s="44"/>
      <c r="AE3" s="44"/>
      <c r="AF3" s="44"/>
      <c r="AG3" s="44"/>
      <c r="AH3" s="44"/>
      <c r="AI3" s="44"/>
    </row>
    <row r="4" spans="1:35" ht="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35" ht="24">
      <c r="A5" s="1012" t="s">
        <v>167</v>
      </c>
      <c r="B5" s="1012"/>
      <c r="C5" s="594" t="s">
        <v>0</v>
      </c>
      <c r="D5" s="594" t="s">
        <v>1</v>
      </c>
      <c r="E5" s="594" t="s">
        <v>2</v>
      </c>
      <c r="F5" s="595">
        <v>2003</v>
      </c>
      <c r="G5" s="595">
        <v>2004</v>
      </c>
      <c r="H5" s="595">
        <v>2005</v>
      </c>
      <c r="I5" s="595">
        <v>2006</v>
      </c>
      <c r="J5" s="596" t="s">
        <v>440</v>
      </c>
      <c r="K5" s="596" t="s">
        <v>441</v>
      </c>
      <c r="L5" s="596" t="s">
        <v>442</v>
      </c>
      <c r="M5" s="596" t="s">
        <v>443</v>
      </c>
      <c r="N5" s="596" t="s">
        <v>274</v>
      </c>
      <c r="O5" s="596" t="s">
        <v>275</v>
      </c>
      <c r="P5" s="596" t="s">
        <v>276</v>
      </c>
      <c r="Q5" s="596" t="s">
        <v>277</v>
      </c>
      <c r="R5" s="596" t="s">
        <v>278</v>
      </c>
      <c r="S5" s="596" t="s">
        <v>279</v>
      </c>
      <c r="T5" s="597" t="s">
        <v>280</v>
      </c>
      <c r="U5" s="597" t="s">
        <v>273</v>
      </c>
      <c r="V5" s="597" t="s">
        <v>444</v>
      </c>
      <c r="W5" s="597" t="s">
        <v>445</v>
      </c>
      <c r="X5" s="597" t="s">
        <v>446</v>
      </c>
      <c r="Y5" s="597" t="s">
        <v>447</v>
      </c>
      <c r="Z5" s="999">
        <v>2023</v>
      </c>
      <c r="AA5" s="598" t="s">
        <v>464</v>
      </c>
      <c r="AB5" s="599" t="s">
        <v>608</v>
      </c>
    </row>
    <row r="6" spans="1:35" ht="16" customHeight="1">
      <c r="A6" s="429" t="s">
        <v>165</v>
      </c>
      <c r="B6" s="600"/>
      <c r="C6" s="601">
        <v>17474.3</v>
      </c>
      <c r="D6" s="601">
        <v>17601.8</v>
      </c>
      <c r="E6" s="601">
        <v>18603.599999999999</v>
      </c>
      <c r="F6" s="601">
        <v>18969.3</v>
      </c>
      <c r="G6" s="602">
        <v>19096</v>
      </c>
      <c r="H6" s="602">
        <v>20511.900000000001</v>
      </c>
      <c r="I6" s="602">
        <v>22151.7</v>
      </c>
      <c r="J6" s="603">
        <v>22808.208501213518</v>
      </c>
      <c r="K6" s="603">
        <v>24741.748960556532</v>
      </c>
      <c r="L6" s="603">
        <v>25379.07563377362</v>
      </c>
      <c r="M6" s="603">
        <v>26407.360038934894</v>
      </c>
      <c r="N6" s="603">
        <v>27861.202616537863</v>
      </c>
      <c r="O6" s="603">
        <v>29537.879657094232</v>
      </c>
      <c r="P6" s="603">
        <v>30131.56115509156</v>
      </c>
      <c r="Q6" s="603">
        <v>30697.658229949269</v>
      </c>
      <c r="R6" s="603">
        <v>31893.695389577522</v>
      </c>
      <c r="S6" s="603">
        <v>32598.008490244152</v>
      </c>
      <c r="T6" s="603">
        <v>33558.831860097947</v>
      </c>
      <c r="U6" s="603">
        <v>36138.105236908166</v>
      </c>
      <c r="V6" s="603">
        <v>37418.529198304917</v>
      </c>
      <c r="W6" s="603">
        <v>37803.565761003068</v>
      </c>
      <c r="X6" s="603">
        <v>39559.208575543351</v>
      </c>
      <c r="Y6" s="603">
        <v>41353.209785984174</v>
      </c>
      <c r="Z6" s="603">
        <v>40417.305754561421</v>
      </c>
      <c r="AA6" s="603">
        <v>42685.441325276217</v>
      </c>
      <c r="AB6" s="604">
        <f>((AA6/Z6)-1)*100</f>
        <v>5.6117930880605904</v>
      </c>
      <c r="AC6" s="992"/>
    </row>
    <row r="7" spans="1:35" ht="16" customHeight="1">
      <c r="A7" s="429" t="s">
        <v>166</v>
      </c>
      <c r="B7" s="600"/>
      <c r="C7" s="601">
        <v>11577.1</v>
      </c>
      <c r="D7" s="601">
        <v>11537.3</v>
      </c>
      <c r="E7" s="601">
        <v>12282.8</v>
      </c>
      <c r="F7" s="601">
        <v>12444.9</v>
      </c>
      <c r="G7" s="602">
        <v>12391.7</v>
      </c>
      <c r="H7" s="602">
        <v>13289.3</v>
      </c>
      <c r="I7" s="602">
        <v>14340.7</v>
      </c>
      <c r="J7" s="603">
        <v>14533.197853420028</v>
      </c>
      <c r="K7" s="603">
        <v>15862.084010994875</v>
      </c>
      <c r="L7" s="603">
        <v>15991.165246821263</v>
      </c>
      <c r="M7" s="603">
        <v>16615.994127011429</v>
      </c>
      <c r="N7" s="603">
        <v>17377.296612269434</v>
      </c>
      <c r="O7" s="603">
        <v>18471.166060237192</v>
      </c>
      <c r="P7" s="603">
        <v>18672.44321872326</v>
      </c>
      <c r="Q7" s="603">
        <v>18832.948256087846</v>
      </c>
      <c r="R7" s="603">
        <v>19407.572281897013</v>
      </c>
      <c r="S7" s="603">
        <v>19606.725048065717</v>
      </c>
      <c r="T7" s="958">
        <v>20205.448906015408</v>
      </c>
      <c r="U7" s="958">
        <v>22039.849680929205</v>
      </c>
      <c r="V7" s="958">
        <v>22755.490492847133</v>
      </c>
      <c r="W7" s="958">
        <v>23398.86511227275</v>
      </c>
      <c r="X7" s="958">
        <v>24866.703095896948</v>
      </c>
      <c r="Y7" s="958">
        <v>26300.764932359922</v>
      </c>
      <c r="Z7" s="958">
        <v>25350.558609340551</v>
      </c>
      <c r="AA7" s="958">
        <v>27152.273922991262</v>
      </c>
      <c r="AB7" s="604">
        <f>((AA7/Z7)-1)*100</f>
        <v>7.107201625872106</v>
      </c>
      <c r="AC7" s="992"/>
    </row>
    <row r="8" spans="1:35" ht="16" customHeight="1">
      <c r="A8" s="429" t="s">
        <v>3</v>
      </c>
      <c r="B8" s="600"/>
      <c r="C8" s="605">
        <v>5897.2</v>
      </c>
      <c r="D8" s="605">
        <v>6064.5</v>
      </c>
      <c r="E8" s="605">
        <v>6320.8</v>
      </c>
      <c r="F8" s="605">
        <v>6524.4</v>
      </c>
      <c r="G8" s="606">
        <v>6704.3</v>
      </c>
      <c r="H8" s="606">
        <v>7222.6</v>
      </c>
      <c r="I8" s="606">
        <v>7811</v>
      </c>
      <c r="J8" s="607">
        <v>8275.0106477934896</v>
      </c>
      <c r="K8" s="607">
        <v>8879.6649495616566</v>
      </c>
      <c r="L8" s="607">
        <v>9387.9103869523569</v>
      </c>
      <c r="M8" s="607">
        <v>9791.3659119234635</v>
      </c>
      <c r="N8" s="607">
        <v>10483.90600426843</v>
      </c>
      <c r="O8" s="607">
        <v>11066.71359685704</v>
      </c>
      <c r="P8" s="607">
        <v>11459.1179363683</v>
      </c>
      <c r="Q8" s="607">
        <v>11864.709973861423</v>
      </c>
      <c r="R8" s="607">
        <v>12486.123107680509</v>
      </c>
      <c r="S8" s="607">
        <v>12991.283442178436</v>
      </c>
      <c r="T8" s="607">
        <v>13353.382954082541</v>
      </c>
      <c r="U8" s="607">
        <v>14098.255555978962</v>
      </c>
      <c r="V8" s="607">
        <v>14663.038705457782</v>
      </c>
      <c r="W8" s="607">
        <v>14404.700648730317</v>
      </c>
      <c r="X8" s="607">
        <v>14692.505479646401</v>
      </c>
      <c r="Y8" s="607">
        <v>15052.444853624249</v>
      </c>
      <c r="Z8" s="607">
        <v>15066.747145220876</v>
      </c>
      <c r="AA8" s="607">
        <v>15533.167402284949</v>
      </c>
      <c r="AB8" s="604">
        <f>((AA8/Z8)-1)*100</f>
        <v>3.0956931351437733</v>
      </c>
    </row>
    <row r="9" spans="1:35" ht="3" customHeight="1">
      <c r="A9" s="1"/>
      <c r="B9" s="2"/>
      <c r="C9" s="3"/>
      <c r="D9" s="3"/>
      <c r="E9" s="3"/>
      <c r="F9" s="3"/>
      <c r="G9" s="3"/>
      <c r="H9" s="3"/>
      <c r="I9" s="3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41"/>
    </row>
    <row r="10" spans="1:35" ht="15" customHeight="1">
      <c r="A10" s="1"/>
      <c r="B10" s="2" t="s">
        <v>182</v>
      </c>
      <c r="C10" s="4">
        <f t="shared" ref="C10:I10" si="0">SUM(C11:C13)</f>
        <v>2892.6</v>
      </c>
      <c r="D10" s="4">
        <f t="shared" si="0"/>
        <v>2958.5</v>
      </c>
      <c r="E10" s="4">
        <f t="shared" si="0"/>
        <v>3140.8999999999996</v>
      </c>
      <c r="F10" s="4">
        <f t="shared" si="0"/>
        <v>3262.9</v>
      </c>
      <c r="G10" s="4">
        <f t="shared" si="0"/>
        <v>3280.1</v>
      </c>
      <c r="H10" s="4">
        <f t="shared" si="0"/>
        <v>3623.2</v>
      </c>
      <c r="I10" s="4">
        <f t="shared" si="0"/>
        <v>4017.6000000000004</v>
      </c>
      <c r="J10" s="191">
        <f t="shared" ref="J10:U10" si="1">J11+J13</f>
        <v>4330.6000000000004</v>
      </c>
      <c r="K10" s="191">
        <f t="shared" si="1"/>
        <v>4847.7</v>
      </c>
      <c r="L10" s="191">
        <f t="shared" si="1"/>
        <v>5254.6</v>
      </c>
      <c r="M10" s="191">
        <f t="shared" si="1"/>
        <v>5560.0999999999995</v>
      </c>
      <c r="N10" s="191">
        <f t="shared" si="1"/>
        <v>6092.8</v>
      </c>
      <c r="O10" s="191">
        <f t="shared" si="1"/>
        <v>6526.6</v>
      </c>
      <c r="P10" s="191">
        <f t="shared" si="1"/>
        <v>6835.4</v>
      </c>
      <c r="Q10" s="191">
        <f t="shared" si="1"/>
        <v>7152.1</v>
      </c>
      <c r="R10" s="191">
        <f t="shared" si="1"/>
        <v>7724.4</v>
      </c>
      <c r="S10" s="191">
        <f t="shared" si="1"/>
        <v>8184.5</v>
      </c>
      <c r="T10" s="191">
        <f t="shared" si="1"/>
        <v>8482.7999999999993</v>
      </c>
      <c r="U10" s="191">
        <f t="shared" si="1"/>
        <v>9139.7999999999993</v>
      </c>
      <c r="V10" s="191">
        <f>V11+V13</f>
        <v>9596.8060000000005</v>
      </c>
      <c r="W10" s="191">
        <f>W11+W13</f>
        <v>9444.1610000000001</v>
      </c>
      <c r="X10" s="191">
        <f t="shared" ref="X10" si="2">X11+X13</f>
        <v>9593.4760000000006</v>
      </c>
      <c r="Y10" s="191">
        <f t="shared" ref="Y10:AA10" si="3">Y11+Y13</f>
        <v>9844.8040533672956</v>
      </c>
      <c r="Z10" s="191">
        <f t="shared" si="3"/>
        <v>9750.6282717861232</v>
      </c>
      <c r="AA10" s="191">
        <f t="shared" si="3"/>
        <v>10101.112796350926</v>
      </c>
      <c r="AB10" s="42">
        <f>((AA10/Z10)-1)*100</f>
        <v>3.5944814507896439</v>
      </c>
    </row>
    <row r="11" spans="1:35" ht="15" customHeight="1">
      <c r="A11" s="5">
        <v>1</v>
      </c>
      <c r="B11" s="6" t="s">
        <v>4</v>
      </c>
      <c r="C11" s="4">
        <v>2340.6</v>
      </c>
      <c r="D11" s="4">
        <v>2376.6</v>
      </c>
      <c r="E11" s="4">
        <v>2551.1999999999998</v>
      </c>
      <c r="F11" s="4">
        <v>2651.8</v>
      </c>
      <c r="G11" s="4">
        <v>2655</v>
      </c>
      <c r="H11" s="4">
        <v>2983.5</v>
      </c>
      <c r="I11" s="4">
        <v>3259.4</v>
      </c>
      <c r="J11" s="191">
        <v>3534.8</v>
      </c>
      <c r="K11" s="191">
        <v>4024.4</v>
      </c>
      <c r="L11" s="191">
        <v>4424.6000000000004</v>
      </c>
      <c r="M11" s="191">
        <v>4679.3999999999996</v>
      </c>
      <c r="N11" s="191">
        <v>5111.6000000000004</v>
      </c>
      <c r="O11" s="191">
        <v>5556.6</v>
      </c>
      <c r="P11" s="191">
        <v>5754.9</v>
      </c>
      <c r="Q11" s="191">
        <v>6044.3</v>
      </c>
      <c r="R11" s="191">
        <v>6531.3</v>
      </c>
      <c r="S11" s="191">
        <v>6945.9</v>
      </c>
      <c r="T11" s="191">
        <v>7199.8</v>
      </c>
      <c r="U11" s="191">
        <v>7742.8</v>
      </c>
      <c r="V11" s="191">
        <v>8087.8779999999997</v>
      </c>
      <c r="W11" s="191">
        <v>7907.3050000000003</v>
      </c>
      <c r="X11" s="191">
        <v>8036.2740000000003</v>
      </c>
      <c r="Y11" s="191">
        <v>8266.4437279108715</v>
      </c>
      <c r="Z11" s="191">
        <v>8173.2921929689146</v>
      </c>
      <c r="AA11" s="191">
        <v>8530.0726808812069</v>
      </c>
      <c r="AB11" s="42">
        <f t="shared" ref="AB11:AB23" si="4">((AA11/Z11)-1)*100</f>
        <v>4.3651992304791554</v>
      </c>
    </row>
    <row r="12" spans="1:35" ht="15" customHeight="1">
      <c r="A12" s="5"/>
      <c r="B12" s="962" t="s">
        <v>456</v>
      </c>
      <c r="C12" s="4"/>
      <c r="D12" s="4"/>
      <c r="E12" s="4"/>
      <c r="F12" s="4"/>
      <c r="G12" s="4"/>
      <c r="H12" s="4"/>
      <c r="I12" s="4"/>
      <c r="J12" s="191">
        <v>3273.1</v>
      </c>
      <c r="K12" s="191">
        <v>3727.9</v>
      </c>
      <c r="L12" s="191">
        <v>4121.7</v>
      </c>
      <c r="M12" s="191">
        <v>4362.7</v>
      </c>
      <c r="N12" s="191">
        <v>4582.8999999999996</v>
      </c>
      <c r="O12" s="191">
        <v>5195.8</v>
      </c>
      <c r="P12" s="191">
        <v>5394.3</v>
      </c>
      <c r="Q12" s="191">
        <v>5657.9</v>
      </c>
      <c r="R12" s="191">
        <v>6101.3</v>
      </c>
      <c r="S12" s="191">
        <v>6448.2</v>
      </c>
      <c r="T12" s="191">
        <v>6719.3</v>
      </c>
      <c r="U12" s="191">
        <v>7257.1</v>
      </c>
      <c r="V12" s="191">
        <v>7579.0429999999997</v>
      </c>
      <c r="W12" s="191">
        <v>7415.8819999999996</v>
      </c>
      <c r="X12" s="191">
        <v>7520.4690000000001</v>
      </c>
      <c r="Y12" s="191">
        <v>7739.0314095669246</v>
      </c>
      <c r="Z12" s="191">
        <v>7657.1129037921191</v>
      </c>
      <c r="AA12" s="191">
        <v>7967.3291508422162</v>
      </c>
      <c r="AB12" s="42">
        <f t="shared" si="4"/>
        <v>4.0513474327440679</v>
      </c>
    </row>
    <row r="13" spans="1:35" ht="15" customHeight="1">
      <c r="A13" s="5"/>
      <c r="B13" s="6" t="s">
        <v>406</v>
      </c>
      <c r="C13" s="4">
        <v>552</v>
      </c>
      <c r="D13" s="4">
        <v>581.9</v>
      </c>
      <c r="E13" s="4">
        <v>589.70000000000005</v>
      </c>
      <c r="F13" s="4">
        <v>611.1</v>
      </c>
      <c r="G13" s="4">
        <v>625.1</v>
      </c>
      <c r="H13" s="4">
        <v>639.70000000000005</v>
      </c>
      <c r="I13" s="4">
        <v>758.2</v>
      </c>
      <c r="J13" s="191">
        <v>795.8</v>
      </c>
      <c r="K13" s="191">
        <v>823.3</v>
      </c>
      <c r="L13" s="191">
        <v>830</v>
      </c>
      <c r="M13" s="191">
        <v>880.7</v>
      </c>
      <c r="N13" s="191">
        <v>981.2</v>
      </c>
      <c r="O13" s="191">
        <v>970</v>
      </c>
      <c r="P13" s="191">
        <v>1080.5</v>
      </c>
      <c r="Q13" s="191">
        <v>1107.8</v>
      </c>
      <c r="R13" s="191">
        <v>1193.0999999999999</v>
      </c>
      <c r="S13" s="191">
        <v>1238.5999999999999</v>
      </c>
      <c r="T13" s="191">
        <v>1283</v>
      </c>
      <c r="U13" s="191">
        <v>1397</v>
      </c>
      <c r="V13" s="191">
        <v>1508.9280000000001</v>
      </c>
      <c r="W13" s="191">
        <v>1536.856</v>
      </c>
      <c r="X13" s="191">
        <v>1557.202</v>
      </c>
      <c r="Y13" s="191">
        <v>1578.3603254564234</v>
      </c>
      <c r="Z13" s="191">
        <v>1577.3360788172088</v>
      </c>
      <c r="AA13" s="191">
        <v>1571.0401154697192</v>
      </c>
      <c r="AB13" s="42">
        <f t="shared" si="4"/>
        <v>-0.3991516730036837</v>
      </c>
    </row>
    <row r="14" spans="1:35" ht="15" customHeight="1">
      <c r="A14" s="5">
        <v>2</v>
      </c>
      <c r="B14" s="6" t="s">
        <v>5</v>
      </c>
      <c r="C14" s="4">
        <v>378.7</v>
      </c>
      <c r="D14" s="4">
        <v>388.4</v>
      </c>
      <c r="E14" s="4">
        <v>383.2</v>
      </c>
      <c r="F14" s="4">
        <v>389.2</v>
      </c>
      <c r="G14" s="4">
        <v>410.8</v>
      </c>
      <c r="H14" s="4">
        <v>410.6</v>
      </c>
      <c r="I14" s="4">
        <v>413.3</v>
      </c>
      <c r="J14" s="191">
        <v>412.5</v>
      </c>
      <c r="K14" s="191">
        <v>406.5</v>
      </c>
      <c r="L14" s="191">
        <v>407.8</v>
      </c>
      <c r="M14" s="191">
        <v>410.4</v>
      </c>
      <c r="N14" s="191">
        <v>417.6</v>
      </c>
      <c r="O14" s="191">
        <v>430.3</v>
      </c>
      <c r="P14" s="191">
        <v>425.5</v>
      </c>
      <c r="Q14" s="191">
        <v>419.6</v>
      </c>
      <c r="R14" s="191">
        <v>404.2</v>
      </c>
      <c r="S14" s="191">
        <v>413.9</v>
      </c>
      <c r="T14" s="191">
        <v>407.8</v>
      </c>
      <c r="U14" s="191">
        <v>410.4</v>
      </c>
      <c r="V14" s="191">
        <v>411.76799999999997</v>
      </c>
      <c r="W14" s="191">
        <v>395.15499999999997</v>
      </c>
      <c r="X14" s="191">
        <v>405.40899999999999</v>
      </c>
      <c r="Y14" s="191">
        <v>408.78638051588325</v>
      </c>
      <c r="Z14" s="191">
        <v>410.66447053539594</v>
      </c>
      <c r="AA14" s="191">
        <v>409.87158615136536</v>
      </c>
      <c r="AB14" s="42">
        <f t="shared" si="4"/>
        <v>-0.19307352861493987</v>
      </c>
    </row>
    <row r="15" spans="1:35" ht="15" customHeight="1">
      <c r="A15" s="5">
        <v>3</v>
      </c>
      <c r="B15" s="6" t="s">
        <v>6</v>
      </c>
      <c r="C15" s="4">
        <v>433.8</v>
      </c>
      <c r="D15" s="4">
        <v>442.2</v>
      </c>
      <c r="E15" s="4">
        <v>438.5</v>
      </c>
      <c r="F15" s="4">
        <v>439.5</v>
      </c>
      <c r="G15" s="4">
        <v>468.6</v>
      </c>
      <c r="H15" s="4">
        <v>494</v>
      </c>
      <c r="I15" s="4">
        <v>516.6</v>
      </c>
      <c r="J15" s="191">
        <v>542.70000000000005</v>
      </c>
      <c r="K15" s="191">
        <v>545.9</v>
      </c>
      <c r="L15" s="191">
        <v>543.6</v>
      </c>
      <c r="M15" s="191">
        <v>548.1</v>
      </c>
      <c r="N15" s="191">
        <v>557.20000000000005</v>
      </c>
      <c r="O15" s="191">
        <v>579.79999999999995</v>
      </c>
      <c r="P15" s="191">
        <v>605</v>
      </c>
      <c r="Q15" s="191">
        <v>641.6</v>
      </c>
      <c r="R15" s="191">
        <v>677.3</v>
      </c>
      <c r="S15" s="191">
        <v>708</v>
      </c>
      <c r="T15" s="191">
        <v>747.5</v>
      </c>
      <c r="U15" s="191">
        <v>781.6</v>
      </c>
      <c r="V15" s="191">
        <v>821.01300000000003</v>
      </c>
      <c r="W15" s="191">
        <v>805.12199999999996</v>
      </c>
      <c r="X15" s="191">
        <v>834.71299999999997</v>
      </c>
      <c r="Y15" s="191">
        <v>859.61391179710074</v>
      </c>
      <c r="Z15" s="191">
        <v>949.86218423386356</v>
      </c>
      <c r="AA15" s="191">
        <v>992.97989224844923</v>
      </c>
      <c r="AB15" s="42">
        <f t="shared" si="4"/>
        <v>4.5393646289185963</v>
      </c>
    </row>
    <row r="16" spans="1:35" ht="15" customHeight="1">
      <c r="A16" s="5">
        <v>4</v>
      </c>
      <c r="B16" s="6" t="s">
        <v>7</v>
      </c>
      <c r="C16" s="4">
        <v>1114.0999999999999</v>
      </c>
      <c r="D16" s="4">
        <v>1114.3</v>
      </c>
      <c r="E16" s="4">
        <v>1147.4000000000001</v>
      </c>
      <c r="F16" s="4">
        <v>1174.2</v>
      </c>
      <c r="G16" s="4">
        <v>1227.9000000000001</v>
      </c>
      <c r="H16" s="4">
        <v>1304.4000000000001</v>
      </c>
      <c r="I16" s="4">
        <v>1382.1</v>
      </c>
      <c r="J16" s="191">
        <v>1396.3</v>
      </c>
      <c r="K16" s="191">
        <v>1397</v>
      </c>
      <c r="L16" s="191">
        <v>1408.9</v>
      </c>
      <c r="M16" s="191">
        <v>1470.2</v>
      </c>
      <c r="N16" s="191">
        <v>1531.9</v>
      </c>
      <c r="O16" s="191">
        <v>1596.3</v>
      </c>
      <c r="P16" s="191">
        <v>1651.6</v>
      </c>
      <c r="Q16" s="191">
        <v>1678.5</v>
      </c>
      <c r="R16" s="191">
        <v>1676.7</v>
      </c>
      <c r="S16" s="191">
        <v>1648.4</v>
      </c>
      <c r="T16" s="191">
        <v>1614.4</v>
      </c>
      <c r="U16" s="191">
        <v>1622.7</v>
      </c>
      <c r="V16" s="191">
        <v>1650.213</v>
      </c>
      <c r="W16" s="191">
        <v>1573.412</v>
      </c>
      <c r="X16" s="191">
        <v>1624.579</v>
      </c>
      <c r="Y16" s="191">
        <v>1648.4917360187974</v>
      </c>
      <c r="Z16" s="191">
        <v>1699.8543545224911</v>
      </c>
      <c r="AA16" s="191">
        <v>1744.9127368747402</v>
      </c>
      <c r="AB16" s="42">
        <f t="shared" si="4"/>
        <v>2.6507201768416477</v>
      </c>
    </row>
    <row r="17" spans="1:28" ht="15" customHeight="1">
      <c r="A17" s="5">
        <v>5</v>
      </c>
      <c r="B17" s="6" t="s">
        <v>8</v>
      </c>
      <c r="C17" s="4">
        <v>57.6</v>
      </c>
      <c r="D17" s="4">
        <v>54.4</v>
      </c>
      <c r="E17" s="4">
        <v>53.3</v>
      </c>
      <c r="F17" s="4">
        <v>57.9</v>
      </c>
      <c r="G17" s="4">
        <v>59.5</v>
      </c>
      <c r="H17" s="4">
        <v>60.8</v>
      </c>
      <c r="I17" s="4">
        <v>62.3</v>
      </c>
      <c r="J17" s="191">
        <v>61.5</v>
      </c>
      <c r="K17" s="191">
        <v>59</v>
      </c>
      <c r="L17" s="191">
        <v>56.6</v>
      </c>
      <c r="M17" s="191">
        <v>56.4</v>
      </c>
      <c r="N17" s="191">
        <v>56.5</v>
      </c>
      <c r="O17" s="191">
        <v>57.4</v>
      </c>
      <c r="P17" s="191">
        <v>59.2</v>
      </c>
      <c r="Q17" s="191">
        <v>56.7</v>
      </c>
      <c r="R17" s="191">
        <v>54.3</v>
      </c>
      <c r="S17" s="191">
        <v>53.6</v>
      </c>
      <c r="T17" s="191">
        <v>50.5</v>
      </c>
      <c r="U17" s="191">
        <v>45.7</v>
      </c>
      <c r="V17" s="191">
        <v>46.912999999999997</v>
      </c>
      <c r="W17" s="191">
        <v>45.580928961074555</v>
      </c>
      <c r="X17" s="191">
        <v>45.496000000000002</v>
      </c>
      <c r="Y17" s="191">
        <v>45.323481093759447</v>
      </c>
      <c r="Z17" s="191">
        <v>45.430455530870844</v>
      </c>
      <c r="AA17" s="191">
        <v>45.531177973028534</v>
      </c>
      <c r="AB17" s="42">
        <f t="shared" si="4"/>
        <v>0.22170687258296073</v>
      </c>
    </row>
    <row r="18" spans="1:28" ht="15" customHeight="1">
      <c r="A18" s="5">
        <v>6</v>
      </c>
      <c r="B18" s="6" t="s">
        <v>9</v>
      </c>
      <c r="C18" s="4">
        <v>130.1</v>
      </c>
      <c r="D18" s="4">
        <v>137.30000000000001</v>
      </c>
      <c r="E18" s="4">
        <v>147.30000000000001</v>
      </c>
      <c r="F18" s="4">
        <v>146</v>
      </c>
      <c r="G18" s="4">
        <v>148.19999999999999</v>
      </c>
      <c r="H18" s="4">
        <v>154.4</v>
      </c>
      <c r="I18" s="4">
        <v>156.5</v>
      </c>
      <c r="J18" s="191">
        <v>166.7</v>
      </c>
      <c r="K18" s="191">
        <v>169.6</v>
      </c>
      <c r="L18" s="191">
        <v>181.4</v>
      </c>
      <c r="M18" s="191">
        <v>191.6</v>
      </c>
      <c r="N18" s="191">
        <v>201.5</v>
      </c>
      <c r="O18" s="191">
        <v>213.6</v>
      </c>
      <c r="P18" s="191">
        <v>216.6</v>
      </c>
      <c r="Q18" s="191">
        <v>224.2</v>
      </c>
      <c r="R18" s="191">
        <v>212.1</v>
      </c>
      <c r="S18" s="191">
        <v>221.5</v>
      </c>
      <c r="T18" s="191">
        <v>226.9</v>
      </c>
      <c r="U18" s="191">
        <v>225.9</v>
      </c>
      <c r="V18" s="191">
        <v>223.935</v>
      </c>
      <c r="W18" s="191">
        <v>220.08918513913542</v>
      </c>
      <c r="X18" s="191">
        <v>223.96299999999999</v>
      </c>
      <c r="Y18" s="191">
        <v>227.03400388159483</v>
      </c>
      <c r="Z18" s="191">
        <v>228.66822320759499</v>
      </c>
      <c r="AA18" s="191">
        <v>231.58597719026824</v>
      </c>
      <c r="AB18" s="42">
        <f t="shared" si="4"/>
        <v>1.2759770210941657</v>
      </c>
    </row>
    <row r="19" spans="1:28" ht="15" customHeight="1">
      <c r="A19" s="5">
        <v>7</v>
      </c>
      <c r="B19" s="6" t="s">
        <v>10</v>
      </c>
      <c r="C19" s="4">
        <v>25.2</v>
      </c>
      <c r="D19" s="4">
        <v>25.5</v>
      </c>
      <c r="E19" s="4">
        <v>25.5</v>
      </c>
      <c r="F19" s="4">
        <v>27.5</v>
      </c>
      <c r="G19" s="4">
        <v>29.1</v>
      </c>
      <c r="H19" s="4">
        <v>30.4</v>
      </c>
      <c r="I19" s="4">
        <v>30.3</v>
      </c>
      <c r="J19" s="191">
        <v>31.9</v>
      </c>
      <c r="K19" s="191">
        <v>31.3</v>
      </c>
      <c r="L19" s="191">
        <v>32.9</v>
      </c>
      <c r="M19" s="191">
        <v>32.1</v>
      </c>
      <c r="N19" s="191">
        <v>33.4</v>
      </c>
      <c r="O19" s="191">
        <v>34.299999999999997</v>
      </c>
      <c r="P19" s="191">
        <v>32.9</v>
      </c>
      <c r="Q19" s="191">
        <v>32.9</v>
      </c>
      <c r="R19" s="191">
        <v>31.4</v>
      </c>
      <c r="S19" s="191">
        <v>31.3</v>
      </c>
      <c r="T19" s="191">
        <v>31.6</v>
      </c>
      <c r="U19" s="191">
        <v>31.5</v>
      </c>
      <c r="V19" s="191">
        <v>30.318999999999999</v>
      </c>
      <c r="W19" s="191">
        <v>30.087405838928873</v>
      </c>
      <c r="X19" s="191">
        <v>31.045999999999999</v>
      </c>
      <c r="Y19" s="191">
        <v>31.292594794103515</v>
      </c>
      <c r="Z19" s="191">
        <v>31.68637816985315</v>
      </c>
      <c r="AA19" s="191">
        <v>31.217942903953652</v>
      </c>
      <c r="AB19" s="42">
        <f t="shared" si="4"/>
        <v>-1.4783490349969175</v>
      </c>
    </row>
    <row r="20" spans="1:28" ht="15" customHeight="1">
      <c r="A20" s="5">
        <v>9</v>
      </c>
      <c r="B20" s="6" t="s">
        <v>407</v>
      </c>
      <c r="C20" s="4">
        <v>750.6</v>
      </c>
      <c r="D20" s="4">
        <v>822.4</v>
      </c>
      <c r="E20" s="4">
        <v>873.8</v>
      </c>
      <c r="F20" s="4">
        <v>918.1</v>
      </c>
      <c r="G20" s="4">
        <v>968.1</v>
      </c>
      <c r="H20" s="4">
        <v>1027.8</v>
      </c>
      <c r="I20" s="4">
        <v>1119.3</v>
      </c>
      <c r="J20" s="191">
        <v>1209.8</v>
      </c>
      <c r="K20" s="191">
        <v>1301</v>
      </c>
      <c r="L20" s="191">
        <v>1372.9</v>
      </c>
      <c r="M20" s="191">
        <v>1394.7</v>
      </c>
      <c r="N20" s="191">
        <v>1458.8</v>
      </c>
      <c r="O20" s="191">
        <v>1488</v>
      </c>
      <c r="P20" s="191">
        <v>1502.3</v>
      </c>
      <c r="Q20" s="191">
        <v>1529.2</v>
      </c>
      <c r="R20" s="191">
        <v>1581.5</v>
      </c>
      <c r="S20" s="191">
        <v>1624</v>
      </c>
      <c r="T20" s="191">
        <v>1673.4</v>
      </c>
      <c r="U20" s="191">
        <v>1717.8</v>
      </c>
      <c r="V20" s="191">
        <v>1762.855</v>
      </c>
      <c r="W20" s="191">
        <v>1774.9169999999999</v>
      </c>
      <c r="X20" s="191">
        <v>1815.68</v>
      </c>
      <c r="Y20" s="191">
        <v>1867.2035351549539</v>
      </c>
      <c r="Z20" s="191">
        <v>1829.1110150782883</v>
      </c>
      <c r="AA20" s="191">
        <v>1852.2067353158345</v>
      </c>
      <c r="AB20" s="42">
        <f t="shared" si="4"/>
        <v>1.2626746024247071</v>
      </c>
    </row>
    <row r="21" spans="1:28" ht="15" customHeight="1">
      <c r="A21" s="5">
        <v>10</v>
      </c>
      <c r="B21" s="6" t="s">
        <v>409</v>
      </c>
      <c r="C21" s="4">
        <v>57</v>
      </c>
      <c r="D21" s="4">
        <v>62.3</v>
      </c>
      <c r="E21" s="4">
        <v>58</v>
      </c>
      <c r="F21" s="4">
        <v>56.9</v>
      </c>
      <c r="G21" s="4">
        <v>59.6</v>
      </c>
      <c r="H21" s="4">
        <v>66</v>
      </c>
      <c r="I21" s="4">
        <v>64.3</v>
      </c>
      <c r="J21" s="191">
        <v>71.400000000000006</v>
      </c>
      <c r="K21" s="191">
        <v>73.7</v>
      </c>
      <c r="L21" s="191">
        <v>80.400000000000006</v>
      </c>
      <c r="M21" s="191">
        <v>79.8</v>
      </c>
      <c r="N21" s="191">
        <v>85.5</v>
      </c>
      <c r="O21" s="191">
        <v>88</v>
      </c>
      <c r="P21" s="191">
        <v>81</v>
      </c>
      <c r="Q21" s="191">
        <v>82.2</v>
      </c>
      <c r="R21" s="191">
        <v>81.400000000000006</v>
      </c>
      <c r="S21" s="191">
        <v>82.7</v>
      </c>
      <c r="T21" s="191">
        <v>79.099999999999994</v>
      </c>
      <c r="U21" s="191">
        <v>83.9</v>
      </c>
      <c r="V21" s="191">
        <v>81.647000000000006</v>
      </c>
      <c r="W21" s="191">
        <v>79.789000000000001</v>
      </c>
      <c r="X21" s="191">
        <v>80.736000000000004</v>
      </c>
      <c r="Y21" s="191">
        <v>81.077270193921109</v>
      </c>
      <c r="Z21" s="191">
        <v>81.891861337329331</v>
      </c>
      <c r="AA21" s="191">
        <v>84.621147527221197</v>
      </c>
      <c r="AB21" s="42">
        <f t="shared" si="4"/>
        <v>3.3327929605231121</v>
      </c>
    </row>
    <row r="22" spans="1:28" ht="15" customHeight="1">
      <c r="A22" s="5">
        <v>11</v>
      </c>
      <c r="B22" s="6" t="s">
        <v>410</v>
      </c>
      <c r="C22" s="4">
        <v>4.5999999999999996</v>
      </c>
      <c r="D22" s="4">
        <v>4.7</v>
      </c>
      <c r="E22" s="4">
        <v>3.8</v>
      </c>
      <c r="F22" s="4">
        <v>3.9</v>
      </c>
      <c r="G22" s="4">
        <v>3.8</v>
      </c>
      <c r="H22" s="4">
        <v>3.7</v>
      </c>
      <c r="I22" s="4">
        <v>3.8</v>
      </c>
      <c r="J22" s="191">
        <v>4.5</v>
      </c>
      <c r="K22" s="191">
        <v>4.3</v>
      </c>
      <c r="L22" s="191">
        <v>4.3</v>
      </c>
      <c r="M22" s="191">
        <v>3.9</v>
      </c>
      <c r="N22" s="191">
        <v>4.2</v>
      </c>
      <c r="O22" s="191">
        <v>4.5999999999999996</v>
      </c>
      <c r="P22" s="191">
        <v>4.4000000000000004</v>
      </c>
      <c r="Q22" s="191">
        <v>4.5999999999999996</v>
      </c>
      <c r="R22" s="191">
        <v>4</v>
      </c>
      <c r="S22" s="191">
        <v>4.0999999999999996</v>
      </c>
      <c r="T22" s="191">
        <v>4.2</v>
      </c>
      <c r="U22" s="191">
        <v>4</v>
      </c>
      <c r="V22" s="191">
        <v>4.0279999999999996</v>
      </c>
      <c r="W22" s="191">
        <v>4.0731999999999999</v>
      </c>
      <c r="X22" s="191">
        <v>4.1239999999999997</v>
      </c>
      <c r="Y22" s="191">
        <v>4.26405871295926</v>
      </c>
      <c r="Z22" s="191">
        <v>4.2857998313216275</v>
      </c>
      <c r="AA22" s="191">
        <v>4.3664821443484119</v>
      </c>
      <c r="AB22" s="42">
        <f t="shared" si="4"/>
        <v>1.882549727057703</v>
      </c>
    </row>
    <row r="23" spans="1:28" ht="15" customHeight="1" thickBot="1">
      <c r="A23" s="7">
        <v>12</v>
      </c>
      <c r="B23" s="8" t="s">
        <v>205</v>
      </c>
      <c r="C23" s="19">
        <v>53.5</v>
      </c>
      <c r="D23" s="19">
        <v>54.4</v>
      </c>
      <c r="E23" s="19">
        <v>48.9</v>
      </c>
      <c r="F23" s="19">
        <v>49</v>
      </c>
      <c r="G23" s="19">
        <v>48.6</v>
      </c>
      <c r="H23" s="19">
        <v>47.2</v>
      </c>
      <c r="I23" s="19">
        <v>44.9</v>
      </c>
      <c r="J23" s="192">
        <v>47.2</v>
      </c>
      <c r="K23" s="192">
        <v>43.6</v>
      </c>
      <c r="L23" s="192">
        <v>44.5</v>
      </c>
      <c r="M23" s="192">
        <v>44.2</v>
      </c>
      <c r="N23" s="192">
        <v>44.5</v>
      </c>
      <c r="O23" s="192">
        <v>47.7</v>
      </c>
      <c r="P23" s="192">
        <v>45</v>
      </c>
      <c r="Q23" s="192">
        <v>43.2</v>
      </c>
      <c r="R23" s="192">
        <v>38.799999999999997</v>
      </c>
      <c r="S23" s="192">
        <v>40.5</v>
      </c>
      <c r="T23" s="192">
        <v>35.200000000000003</v>
      </c>
      <c r="U23" s="192">
        <v>34.9</v>
      </c>
      <c r="V23" s="192">
        <v>33.542999999999999</v>
      </c>
      <c r="W23" s="192">
        <v>32.314999999999998</v>
      </c>
      <c r="X23" s="192">
        <v>33.283000000000001</v>
      </c>
      <c r="Y23" s="192">
        <v>34.553828093875225</v>
      </c>
      <c r="Z23" s="192">
        <v>34.6665425112934</v>
      </c>
      <c r="AA23" s="192">
        <v>34.760174343904552</v>
      </c>
      <c r="AB23" s="43">
        <f t="shared" si="4"/>
        <v>0.27009279215153281</v>
      </c>
    </row>
    <row r="24" spans="1:28" ht="9" customHeight="1">
      <c r="A24" s="449" t="s">
        <v>330</v>
      </c>
      <c r="B24" s="450"/>
      <c r="C24" s="46"/>
      <c r="D24" s="46"/>
      <c r="E24" s="47"/>
      <c r="F24" s="48"/>
      <c r="G24" s="48"/>
      <c r="H24" s="48"/>
      <c r="I24" s="48"/>
      <c r="J24" s="48"/>
      <c r="K24" s="48"/>
      <c r="L24" s="48"/>
    </row>
    <row r="25" spans="1:28" ht="9" customHeight="1">
      <c r="A25" s="449" t="s">
        <v>412</v>
      </c>
      <c r="B25" s="450"/>
      <c r="C25" s="46"/>
      <c r="D25" s="46"/>
      <c r="E25" s="47"/>
      <c r="F25" s="48"/>
      <c r="G25" s="48"/>
      <c r="H25" s="48"/>
      <c r="I25" s="48"/>
      <c r="J25" s="48"/>
      <c r="K25" s="48"/>
      <c r="L25" s="48"/>
      <c r="S25" s="44"/>
    </row>
    <row r="26" spans="1:28" ht="9" customHeight="1">
      <c r="A26" s="449" t="s">
        <v>304</v>
      </c>
      <c r="B26" s="450"/>
      <c r="C26" s="46"/>
      <c r="D26" s="46"/>
      <c r="E26" s="47"/>
      <c r="F26" s="48"/>
      <c r="G26" s="48"/>
      <c r="H26" s="48"/>
      <c r="I26" s="48"/>
      <c r="J26" s="48"/>
      <c r="K26" s="48"/>
      <c r="L26" s="48"/>
      <c r="S26" s="44"/>
    </row>
    <row r="27" spans="1:28" ht="9" customHeight="1">
      <c r="A27" s="451" t="s">
        <v>303</v>
      </c>
      <c r="B27" s="452"/>
      <c r="C27" s="49"/>
      <c r="D27" s="50"/>
      <c r="E27" s="50"/>
      <c r="F27" s="50"/>
      <c r="G27" s="50"/>
      <c r="H27" s="50"/>
      <c r="I27" s="50"/>
      <c r="J27" s="50"/>
      <c r="K27" s="50"/>
      <c r="L27" s="50"/>
      <c r="M27" s="12"/>
      <c r="N27" s="12"/>
      <c r="O27" s="12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8" ht="13.25" customHeight="1">
      <c r="B28" s="12"/>
      <c r="C28" s="12"/>
      <c r="D28" s="12"/>
      <c r="E28" s="12"/>
      <c r="F28" s="12"/>
      <c r="G28" s="13"/>
      <c r="H28" s="13"/>
      <c r="I28" s="13"/>
      <c r="J28" s="590"/>
      <c r="K28" s="590"/>
      <c r="L28" s="590"/>
      <c r="M28" s="590"/>
      <c r="N28" s="590"/>
      <c r="O28" s="590"/>
      <c r="P28" s="590"/>
      <c r="Q28" s="590"/>
      <c r="R28" s="590"/>
      <c r="S28" s="590"/>
      <c r="T28" s="590"/>
      <c r="U28" s="590"/>
      <c r="V28" s="590"/>
      <c r="W28" s="590"/>
      <c r="X28" s="590"/>
      <c r="Y28" s="590"/>
      <c r="Z28" s="590"/>
      <c r="AA28" s="590"/>
    </row>
    <row r="29" spans="1:28" ht="12">
      <c r="A29" s="168" t="s">
        <v>606</v>
      </c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1:28" ht="13.25" customHeight="1">
      <c r="A30" s="52" t="s">
        <v>201</v>
      </c>
      <c r="B30" s="51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spans="1:28" ht="5" customHeight="1" thickBo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1:28" ht="18" customHeight="1">
      <c r="A32" s="1012" t="s">
        <v>167</v>
      </c>
      <c r="B32" s="1012"/>
      <c r="C32" s="711" t="s">
        <v>0</v>
      </c>
      <c r="D32" s="711" t="s">
        <v>1</v>
      </c>
      <c r="E32" s="711" t="s">
        <v>2</v>
      </c>
      <c r="F32" s="712">
        <v>2003</v>
      </c>
      <c r="G32" s="712">
        <v>2004</v>
      </c>
      <c r="H32" s="712">
        <v>2005</v>
      </c>
      <c r="I32" s="712">
        <v>2006</v>
      </c>
      <c r="J32" s="713">
        <v>2007</v>
      </c>
      <c r="K32" s="713">
        <v>2008</v>
      </c>
      <c r="L32" s="713">
        <v>2009</v>
      </c>
      <c r="M32" s="713">
        <v>2010</v>
      </c>
      <c r="N32" s="713">
        <v>2011</v>
      </c>
      <c r="O32" s="713">
        <v>2012</v>
      </c>
      <c r="P32" s="713">
        <v>2013</v>
      </c>
      <c r="Q32" s="713">
        <v>2014</v>
      </c>
      <c r="R32" s="713">
        <v>2015</v>
      </c>
      <c r="S32" s="713">
        <v>2016</v>
      </c>
      <c r="T32" s="714">
        <v>2017</v>
      </c>
      <c r="U32" s="714">
        <v>2018</v>
      </c>
      <c r="V32" s="714">
        <v>2019</v>
      </c>
      <c r="W32" s="714">
        <v>2020</v>
      </c>
      <c r="X32" s="714">
        <v>2021</v>
      </c>
      <c r="Y32" s="714">
        <v>2022</v>
      </c>
      <c r="Z32" s="715">
        <v>2023</v>
      </c>
      <c r="AA32" s="716" t="s">
        <v>465</v>
      </c>
    </row>
    <row r="33" spans="1:27" ht="16" customHeight="1">
      <c r="A33" s="429" t="s">
        <v>165</v>
      </c>
      <c r="B33" s="600"/>
      <c r="C33" s="608">
        <f>C6/$C$6*100</f>
        <v>100</v>
      </c>
      <c r="D33" s="608">
        <f>D6/$D$6*100</f>
        <v>100</v>
      </c>
      <c r="E33" s="608">
        <f>E6/$E$6*100</f>
        <v>100</v>
      </c>
      <c r="F33" s="608">
        <f>F6/$F$6*100</f>
        <v>100</v>
      </c>
      <c r="G33" s="608">
        <f>G6/$G$6*100</f>
        <v>100</v>
      </c>
      <c r="H33" s="608">
        <f>H6/$H$6*100</f>
        <v>100</v>
      </c>
      <c r="I33" s="608">
        <f>I6/$I$6*100</f>
        <v>100</v>
      </c>
      <c r="J33" s="609">
        <f>J6/$J$6*100</f>
        <v>100</v>
      </c>
      <c r="K33" s="609">
        <f>K6/$K$6*100</f>
        <v>100</v>
      </c>
      <c r="L33" s="609">
        <f>L6/$L$6*100</f>
        <v>100</v>
      </c>
      <c r="M33" s="609">
        <f>M6/$M$6*100</f>
        <v>100</v>
      </c>
      <c r="N33" s="609">
        <f>N6/$N$6*100</f>
        <v>100</v>
      </c>
      <c r="O33" s="609">
        <f>O6/$O$6*100</f>
        <v>100</v>
      </c>
      <c r="P33" s="609">
        <f>P6/$P$6*100</f>
        <v>100</v>
      </c>
      <c r="Q33" s="609">
        <f>Q6/$Q$6*100</f>
        <v>100</v>
      </c>
      <c r="R33" s="609">
        <f>R6/$R$6*100</f>
        <v>100</v>
      </c>
      <c r="S33" s="609">
        <f>S6/$S$6*100</f>
        <v>100</v>
      </c>
      <c r="T33" s="609">
        <f>T6/$T$6*100</f>
        <v>100</v>
      </c>
      <c r="U33" s="609">
        <f>U6/$U$6*100</f>
        <v>100</v>
      </c>
      <c r="V33" s="609">
        <f>V6/$V$6*100</f>
        <v>100</v>
      </c>
      <c r="W33" s="609">
        <f t="shared" ref="W33:W35" si="5">W6/$W$6*100</f>
        <v>100</v>
      </c>
      <c r="X33" s="609">
        <f>X6/$X$6*100</f>
        <v>100</v>
      </c>
      <c r="Y33" s="609">
        <f>Y6/$Y$6*100</f>
        <v>100</v>
      </c>
      <c r="Z33" s="609">
        <f>Z6/$Z$6*100</f>
        <v>100</v>
      </c>
      <c r="AA33" s="609">
        <f>AA6/$AA$6*100</f>
        <v>100</v>
      </c>
    </row>
    <row r="34" spans="1:27" ht="16" customHeight="1">
      <c r="A34" s="429" t="s">
        <v>166</v>
      </c>
      <c r="B34" s="600"/>
      <c r="C34" s="608">
        <f>C7/$C$6*100</f>
        <v>66.252153162072304</v>
      </c>
      <c r="D34" s="608">
        <f>D7/$D$6*100</f>
        <v>65.546137326864297</v>
      </c>
      <c r="E34" s="608">
        <f>E7/$E$6*100</f>
        <v>66.023780343589408</v>
      </c>
      <c r="F34" s="608">
        <f>F7/$F$6*100</f>
        <v>65.60547832550489</v>
      </c>
      <c r="G34" s="608">
        <f>G7/$G$6*100</f>
        <v>64.891600335148723</v>
      </c>
      <c r="H34" s="608">
        <f>H7/$H$6*100</f>
        <v>64.788244872488647</v>
      </c>
      <c r="I34" s="608">
        <f>I7/$I$6*100</f>
        <v>64.738597940564375</v>
      </c>
      <c r="J34" s="609">
        <f>J7/$J$6*100</f>
        <v>63.719155551593566</v>
      </c>
      <c r="K34" s="609">
        <f>K7/$K$6*100</f>
        <v>64.110601220157562</v>
      </c>
      <c r="L34" s="609">
        <f>L7/$L$6*100</f>
        <v>63.009250130216557</v>
      </c>
      <c r="M34" s="609">
        <f>M7/$M$6*100</f>
        <v>62.921829756980173</v>
      </c>
      <c r="N34" s="609">
        <f>N7/$N$6*100</f>
        <v>62.370949493596562</v>
      </c>
      <c r="O34" s="609">
        <f>O7/$O$6*100</f>
        <v>62.53382529372211</v>
      </c>
      <c r="P34" s="609">
        <f>P7/$P$6*100</f>
        <v>61.969717143474448</v>
      </c>
      <c r="Q34" s="609">
        <f>Q7/$Q$6*100</f>
        <v>61.349788035994337</v>
      </c>
      <c r="R34" s="609">
        <f>R7/$R$6*100</f>
        <v>60.850810935628289</v>
      </c>
      <c r="S34" s="609">
        <f>S7/$S$6*100</f>
        <v>60.147002703964468</v>
      </c>
      <c r="T34" s="609">
        <f>T7/$T$6*100</f>
        <v>60.209035255604505</v>
      </c>
      <c r="U34" s="609">
        <f>U7/$U$6*100</f>
        <v>60.987839667973823</v>
      </c>
      <c r="V34" s="609">
        <f>V7/$V$6*100</f>
        <v>60.813428481518116</v>
      </c>
      <c r="W34" s="609">
        <f t="shared" si="5"/>
        <v>61.895920771606839</v>
      </c>
      <c r="X34" s="609">
        <f>X7/$X$6*100</f>
        <v>62.859455462590489</v>
      </c>
      <c r="Y34" s="609">
        <f>Y7/$Y$6*100</f>
        <v>63.600298667200505</v>
      </c>
      <c r="Z34" s="609">
        <f t="shared" ref="Z34:Z35" si="6">Z7/$Z$6*100</f>
        <v>62.722039819488792</v>
      </c>
      <c r="AA34" s="609">
        <f>AA7/$AA$6*100</f>
        <v>63.610151564517203</v>
      </c>
    </row>
    <row r="35" spans="1:27" ht="16" customHeight="1">
      <c r="A35" s="430" t="s">
        <v>168</v>
      </c>
      <c r="B35" s="610"/>
      <c r="C35" s="608">
        <f>C8/$C$6*100</f>
        <v>33.747846837927696</v>
      </c>
      <c r="D35" s="608">
        <f>D8/$D$6*100</f>
        <v>34.453862673135703</v>
      </c>
      <c r="E35" s="608">
        <f>E8/$E$6*100</f>
        <v>33.976219656410592</v>
      </c>
      <c r="F35" s="608">
        <f>F8/$F$6*100</f>
        <v>34.394521674495103</v>
      </c>
      <c r="G35" s="608">
        <f>G8/$G$6*100</f>
        <v>35.108399664851284</v>
      </c>
      <c r="H35" s="608">
        <f>H8/$H$6*100</f>
        <v>35.211755127511346</v>
      </c>
      <c r="I35" s="608">
        <f>I8/$I$6*100</f>
        <v>35.261402059435618</v>
      </c>
      <c r="J35" s="609">
        <f>J8/$J$6*100</f>
        <v>36.280844448406434</v>
      </c>
      <c r="K35" s="609">
        <f>K8/$K$6*100</f>
        <v>35.889398779842445</v>
      </c>
      <c r="L35" s="609">
        <f>L8/$L$6*100</f>
        <v>36.990749869783443</v>
      </c>
      <c r="M35" s="609">
        <f>M8/$M$6*100</f>
        <v>37.078170243019812</v>
      </c>
      <c r="N35" s="609">
        <f>N8/$N$6*100</f>
        <v>37.629050506403445</v>
      </c>
      <c r="O35" s="609">
        <f>O8/$O$6*100</f>
        <v>37.466174706277883</v>
      </c>
      <c r="P35" s="609">
        <f>P8/$P$6*100</f>
        <v>38.03028285652556</v>
      </c>
      <c r="Q35" s="609">
        <f>Q8/$Q$6*100</f>
        <v>38.65021196400567</v>
      </c>
      <c r="R35" s="609">
        <f>R8/$R$6*100</f>
        <v>39.149189064371711</v>
      </c>
      <c r="S35" s="609">
        <f>S8/$S$6*100</f>
        <v>39.852997296035532</v>
      </c>
      <c r="T35" s="609">
        <f>T8/$T$6*100</f>
        <v>39.790964744395509</v>
      </c>
      <c r="U35" s="609">
        <f>U8/$U$6*100</f>
        <v>39.012160332026177</v>
      </c>
      <c r="V35" s="609">
        <f>V8/$V$6*100</f>
        <v>39.186571518481884</v>
      </c>
      <c r="W35" s="609">
        <f t="shared" si="5"/>
        <v>38.104079228393154</v>
      </c>
      <c r="X35" s="609">
        <f>X8/$X$6*100</f>
        <v>37.140544537409511</v>
      </c>
      <c r="Y35" s="609">
        <f>Y8/$Y$6*100</f>
        <v>36.399701332799481</v>
      </c>
      <c r="Z35" s="609">
        <f t="shared" si="6"/>
        <v>37.277960180511215</v>
      </c>
      <c r="AA35" s="609">
        <f>AA8/$AA$6*100</f>
        <v>36.389848435482783</v>
      </c>
    </row>
    <row r="36" spans="1:27" ht="1.25" customHeight="1">
      <c r="A36" s="6"/>
      <c r="C36" s="4"/>
      <c r="D36" s="4"/>
      <c r="E36" s="4"/>
      <c r="F36" s="4"/>
      <c r="G36" s="4"/>
      <c r="H36" s="4"/>
      <c r="I36" s="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</row>
    <row r="37" spans="1:27" ht="15" customHeight="1">
      <c r="A37" s="1"/>
      <c r="B37" s="2" t="s">
        <v>182</v>
      </c>
      <c r="C37" s="14">
        <f>C10/$C$6*100</f>
        <v>16.553452784947037</v>
      </c>
      <c r="D37" s="14">
        <f>D10/$D$6*100</f>
        <v>16.80794009703553</v>
      </c>
      <c r="E37" s="14">
        <f>E10/$E$6*100</f>
        <v>16.883291405964439</v>
      </c>
      <c r="F37" s="14">
        <f>F10/$F$6*100</f>
        <v>17.200951010316672</v>
      </c>
      <c r="G37" s="14">
        <f>G10/$G$6*100</f>
        <v>17.176895684960201</v>
      </c>
      <c r="H37" s="14">
        <f>H10/$H$6*100</f>
        <v>17.663892667183436</v>
      </c>
      <c r="I37" s="14">
        <f>I10/$I$6*100</f>
        <v>18.136756998334214</v>
      </c>
      <c r="J37" s="195">
        <f t="shared" ref="J37:J50" si="7">J10/$J$6*100</f>
        <v>18.987023903125007</v>
      </c>
      <c r="K37" s="195">
        <f t="shared" ref="K37:K50" si="8">K10/$K$6*100</f>
        <v>19.593198555721493</v>
      </c>
      <c r="L37" s="195">
        <f t="shared" ref="L37:L50" si="9">L10/$L$6*100</f>
        <v>20.704457781777343</v>
      </c>
      <c r="M37" s="195">
        <f t="shared" ref="M37:M50" si="10">M10/$M$6*100</f>
        <v>21.055114906610175</v>
      </c>
      <c r="N37" s="195">
        <f t="shared" ref="N37:N50" si="11">N10/$N$6*100</f>
        <v>21.868402752950203</v>
      </c>
      <c r="O37" s="195">
        <f t="shared" ref="O37:O50" si="12">O10/$O$6*100</f>
        <v>22.095695682179681</v>
      </c>
      <c r="P37" s="195">
        <f t="shared" ref="P37:P50" si="13">P10/$P$6*100</f>
        <v>22.685183700961243</v>
      </c>
      <c r="Q37" s="195">
        <f t="shared" ref="Q37:Q50" si="14">Q10/$Q$6*100</f>
        <v>23.29851986241173</v>
      </c>
      <c r="R37" s="195">
        <f t="shared" ref="R37:R50" si="15">R10/$R$6*100</f>
        <v>24.21920666654464</v>
      </c>
      <c r="S37" s="195">
        <f t="shared" ref="S37:S50" si="16">S10/$S$6*100</f>
        <v>25.10736201093216</v>
      </c>
      <c r="T37" s="195">
        <f t="shared" ref="T37:T50" si="17">T10/$T$6*100</f>
        <v>25.277399509504978</v>
      </c>
      <c r="U37" s="195">
        <f t="shared" ref="U37:U50" si="18">U10/$U$6*100</f>
        <v>25.291309381282783</v>
      </c>
      <c r="V37" s="195">
        <f t="shared" ref="V37:V50" si="19">V10/$V$6*100</f>
        <v>25.647202617559707</v>
      </c>
      <c r="W37" s="195">
        <f t="shared" ref="W37:W50" si="20">W10/$W$6*100</f>
        <v>24.982196281976897</v>
      </c>
      <c r="X37" s="195">
        <f>X10/$X$6*100</f>
        <v>24.250930050028771</v>
      </c>
      <c r="Y37" s="195">
        <f t="shared" ref="Y37:Y50" si="21">Y10/$Y$6*100</f>
        <v>23.806626146597189</v>
      </c>
      <c r="Z37" s="195">
        <f t="shared" ref="Z37:Z39" si="22">Z10/$Z$6*100</f>
        <v>24.124884352752002</v>
      </c>
      <c r="AA37" s="195">
        <f t="shared" ref="AA37:AA50" si="23">AA10/$AA$6*100</f>
        <v>23.664070190530147</v>
      </c>
    </row>
    <row r="38" spans="1:27" ht="15" customHeight="1">
      <c r="A38" s="1"/>
      <c r="B38" s="6" t="s">
        <v>4</v>
      </c>
      <c r="C38" s="14">
        <f>C11/$C$6*100</f>
        <v>13.394527963924164</v>
      </c>
      <c r="D38" s="14">
        <f>D11/$D$6*100</f>
        <v>13.502028201661192</v>
      </c>
      <c r="E38" s="14">
        <f>E11/$E$6*100</f>
        <v>13.71347481132684</v>
      </c>
      <c r="F38" s="14">
        <f>F11/$F$6*100</f>
        <v>13.979429920977582</v>
      </c>
      <c r="G38" s="14">
        <f>G11/$G$6*100</f>
        <v>13.903435274403018</v>
      </c>
      <c r="H38" s="14">
        <f>H11/$H$6*100</f>
        <v>14.545215216532842</v>
      </c>
      <c r="I38" s="14">
        <f>I11/$I$6*100</f>
        <v>14.713994862696769</v>
      </c>
      <c r="J38" s="195">
        <f t="shared" si="7"/>
        <v>15.497929176734464</v>
      </c>
      <c r="K38" s="195">
        <f t="shared" si="8"/>
        <v>16.265624578180493</v>
      </c>
      <c r="L38" s="195">
        <f t="shared" si="9"/>
        <v>17.434047101825456</v>
      </c>
      <c r="M38" s="195">
        <f t="shared" si="10"/>
        <v>17.720059835972673</v>
      </c>
      <c r="N38" s="195">
        <f t="shared" si="11"/>
        <v>18.346659583767767</v>
      </c>
      <c r="O38" s="195">
        <f t="shared" si="12"/>
        <v>18.811776825238198</v>
      </c>
      <c r="P38" s="195">
        <f t="shared" si="13"/>
        <v>19.099242718884316</v>
      </c>
      <c r="Q38" s="195">
        <f t="shared" si="14"/>
        <v>19.689775535070151</v>
      </c>
      <c r="R38" s="195">
        <f t="shared" si="15"/>
        <v>20.47834194257198</v>
      </c>
      <c r="S38" s="195">
        <f t="shared" si="16"/>
        <v>21.307743391988964</v>
      </c>
      <c r="T38" s="195">
        <f t="shared" si="17"/>
        <v>21.454262859967695</v>
      </c>
      <c r="U38" s="195">
        <f t="shared" si="18"/>
        <v>21.425583741153673</v>
      </c>
      <c r="V38" s="195">
        <f t="shared" si="19"/>
        <v>21.614633640828369</v>
      </c>
      <c r="W38" s="195">
        <f t="shared" si="20"/>
        <v>20.916823164223626</v>
      </c>
      <c r="X38" s="195">
        <f>X11/$X$6*100</f>
        <v>20.314546952206364</v>
      </c>
      <c r="Y38" s="195">
        <f t="shared" si="21"/>
        <v>19.989847875636038</v>
      </c>
      <c r="Z38" s="195">
        <f t="shared" si="22"/>
        <v>20.222258857634252</v>
      </c>
      <c r="AA38" s="195">
        <f t="shared" si="23"/>
        <v>19.983564456741643</v>
      </c>
    </row>
    <row r="39" spans="1:27" ht="15" customHeight="1">
      <c r="A39" s="1"/>
      <c r="B39" s="6" t="s">
        <v>400</v>
      </c>
      <c r="C39" s="14"/>
      <c r="D39" s="14"/>
      <c r="E39" s="14"/>
      <c r="F39" s="14"/>
      <c r="G39" s="14"/>
      <c r="H39" s="14"/>
      <c r="I39" s="14"/>
      <c r="J39" s="195">
        <f t="shared" si="7"/>
        <v>14.350535246228802</v>
      </c>
      <c r="K39" s="195">
        <f t="shared" si="8"/>
        <v>15.067245270102141</v>
      </c>
      <c r="L39" s="195">
        <f t="shared" si="9"/>
        <v>16.24054421633458</v>
      </c>
      <c r="M39" s="195">
        <f t="shared" si="10"/>
        <v>16.520772972260968</v>
      </c>
      <c r="N39" s="195">
        <f t="shared" si="11"/>
        <v>16.449038697560315</v>
      </c>
      <c r="O39" s="195">
        <f t="shared" si="12"/>
        <v>17.590294429790269</v>
      </c>
      <c r="P39" s="195">
        <f t="shared" si="13"/>
        <v>17.902490920516026</v>
      </c>
      <c r="Q39" s="195">
        <v>18.430722322481447</v>
      </c>
      <c r="R39" s="195">
        <v>19.129930394431554</v>
      </c>
      <c r="S39" s="195">
        <v>19.78442761020241</v>
      </c>
      <c r="T39" s="195">
        <v>20.056175079994269</v>
      </c>
      <c r="U39" s="195">
        <v>20.092974062506926</v>
      </c>
      <c r="V39" s="195">
        <v>20.255343088127212</v>
      </c>
      <c r="W39" s="195">
        <v>19.618424046179161</v>
      </c>
      <c r="X39" s="195">
        <v>19.024363478677319</v>
      </c>
      <c r="Y39" s="195">
        <f t="shared" si="21"/>
        <v>18.714463640473952</v>
      </c>
      <c r="Z39" s="195">
        <f t="shared" si="22"/>
        <v>18.945134419129243</v>
      </c>
      <c r="AA39" s="195">
        <f t="shared" si="23"/>
        <v>18.665214423177009</v>
      </c>
    </row>
    <row r="40" spans="1:27" ht="15" customHeight="1">
      <c r="A40" s="5">
        <v>1</v>
      </c>
      <c r="B40" s="6" t="s">
        <v>406</v>
      </c>
      <c r="C40" s="14">
        <f t="shared" ref="C40:C50" si="24">C13/$C$6*100</f>
        <v>3.1589248210228735</v>
      </c>
      <c r="D40" s="14">
        <f t="shared" ref="D40:D50" si="25">D13/$D$6*100</f>
        <v>3.3059118953743369</v>
      </c>
      <c r="E40" s="14">
        <f t="shared" ref="E40:E50" si="26">E13/$E$6*100</f>
        <v>3.1698165946375978</v>
      </c>
      <c r="F40" s="14">
        <f t="shared" ref="F40:F50" si="27">F13/$F$6*100</f>
        <v>3.2215210893390904</v>
      </c>
      <c r="G40" s="14">
        <f t="shared" ref="G40:G50" si="28">G13/$G$6*100</f>
        <v>3.2734604105571852</v>
      </c>
      <c r="H40" s="14">
        <f t="shared" ref="H40:H50" si="29">H13/$H$6*100</f>
        <v>3.1186774506505981</v>
      </c>
      <c r="I40" s="14">
        <f t="shared" ref="I40:I50" si="30">I13/$I$6*100</f>
        <v>3.4227621356374458</v>
      </c>
      <c r="J40" s="195">
        <f t="shared" si="7"/>
        <v>3.4890947263905412</v>
      </c>
      <c r="K40" s="195">
        <f t="shared" si="8"/>
        <v>3.3275739775409998</v>
      </c>
      <c r="L40" s="195">
        <f t="shared" si="9"/>
        <v>3.2704106799518886</v>
      </c>
      <c r="M40" s="195">
        <f t="shared" si="10"/>
        <v>3.3350550706375035</v>
      </c>
      <c r="N40" s="195">
        <f t="shared" si="11"/>
        <v>3.521743169182435</v>
      </c>
      <c r="O40" s="195">
        <f t="shared" si="12"/>
        <v>3.2839188569414839</v>
      </c>
      <c r="P40" s="195">
        <f t="shared" si="13"/>
        <v>3.5859409820769268</v>
      </c>
      <c r="Q40" s="195">
        <f t="shared" si="14"/>
        <v>3.6087443273415802</v>
      </c>
      <c r="R40" s="195">
        <f t="shared" si="15"/>
        <v>3.7408647239726589</v>
      </c>
      <c r="S40" s="195">
        <f t="shared" si="16"/>
        <v>3.7996186189431937</v>
      </c>
      <c r="T40" s="195">
        <f t="shared" si="17"/>
        <v>3.8231366495372865</v>
      </c>
      <c r="U40" s="195">
        <f t="shared" si="18"/>
        <v>3.8657256401291114</v>
      </c>
      <c r="V40" s="195">
        <f t="shared" si="19"/>
        <v>4.0325689767313344</v>
      </c>
      <c r="W40" s="195">
        <f t="shared" si="20"/>
        <v>4.0653731177532748</v>
      </c>
      <c r="X40" s="195">
        <f t="shared" ref="W40:X50" si="31">X13/$X$6*100</f>
        <v>3.9363830978224055</v>
      </c>
      <c r="Y40" s="195">
        <f t="shared" si="21"/>
        <v>3.8167782709611493</v>
      </c>
      <c r="Z40" s="195">
        <f t="shared" ref="Z40:Z50" si="32">Z13/$Z$6*100</f>
        <v>3.902625495117753</v>
      </c>
      <c r="AA40" s="195">
        <f t="shared" si="23"/>
        <v>3.6805057337885048</v>
      </c>
    </row>
    <row r="41" spans="1:27" ht="15" customHeight="1">
      <c r="A41" s="5"/>
      <c r="B41" s="6" t="s">
        <v>5</v>
      </c>
      <c r="C41" s="14">
        <f t="shared" si="24"/>
        <v>2.1671826625386998</v>
      </c>
      <c r="D41" s="14">
        <f t="shared" si="25"/>
        <v>2.2065925075844515</v>
      </c>
      <c r="E41" s="14">
        <f t="shared" si="26"/>
        <v>2.0598163796254489</v>
      </c>
      <c r="F41" s="14">
        <f t="shared" si="27"/>
        <v>2.0517362264290195</v>
      </c>
      <c r="G41" s="14">
        <f t="shared" si="28"/>
        <v>2.15123586091328</v>
      </c>
      <c r="H41" s="14">
        <f t="shared" si="29"/>
        <v>2.0017648291967101</v>
      </c>
      <c r="I41" s="14">
        <f t="shared" si="30"/>
        <v>1.8657710243457613</v>
      </c>
      <c r="J41" s="195">
        <f t="shared" si="7"/>
        <v>1.8085594051722775</v>
      </c>
      <c r="K41" s="195">
        <f t="shared" si="8"/>
        <v>1.6429719687482285</v>
      </c>
      <c r="L41" s="195">
        <f t="shared" si="9"/>
        <v>1.6068355123908196</v>
      </c>
      <c r="M41" s="195">
        <f t="shared" si="10"/>
        <v>1.5541121846140926</v>
      </c>
      <c r="N41" s="195">
        <f t="shared" si="11"/>
        <v>1.4988584870063033</v>
      </c>
      <c r="O41" s="195">
        <f t="shared" si="12"/>
        <v>1.4567734888061037</v>
      </c>
      <c r="P41" s="195">
        <f t="shared" si="13"/>
        <v>1.4121405718405666</v>
      </c>
      <c r="Q41" s="195">
        <f t="shared" si="14"/>
        <v>1.3668795087132399</v>
      </c>
      <c r="R41" s="195">
        <f t="shared" si="15"/>
        <v>1.2673351114154294</v>
      </c>
      <c r="S41" s="195">
        <f t="shared" si="16"/>
        <v>1.2697094674475924</v>
      </c>
      <c r="T41" s="195">
        <f t="shared" si="17"/>
        <v>1.2151793653010954</v>
      </c>
      <c r="U41" s="195">
        <f t="shared" si="18"/>
        <v>1.1356433806077215</v>
      </c>
      <c r="V41" s="195">
        <f t="shared" si="19"/>
        <v>1.1004387634205925</v>
      </c>
      <c r="W41" s="195">
        <f t="shared" si="20"/>
        <v>1.0452849937442383</v>
      </c>
      <c r="X41" s="195">
        <f t="shared" si="31"/>
        <v>1.0248157498546004</v>
      </c>
      <c r="Y41" s="195">
        <f t="shared" si="21"/>
        <v>0.98852394440838065</v>
      </c>
      <c r="Z41" s="195">
        <f t="shared" si="32"/>
        <v>1.0160609740520596</v>
      </c>
      <c r="AA41" s="195">
        <f t="shared" si="23"/>
        <v>0.96021400605423646</v>
      </c>
    </row>
    <row r="42" spans="1:27" ht="15" customHeight="1">
      <c r="A42" s="5"/>
      <c r="B42" s="6" t="s">
        <v>6</v>
      </c>
      <c r="C42" s="14">
        <f t="shared" si="24"/>
        <v>2.4825028756516718</v>
      </c>
      <c r="D42" s="14">
        <f t="shared" si="25"/>
        <v>2.512243066050063</v>
      </c>
      <c r="E42" s="14">
        <f t="shared" si="26"/>
        <v>2.3570706744931091</v>
      </c>
      <c r="F42" s="14">
        <f t="shared" si="27"/>
        <v>2.3169015198241367</v>
      </c>
      <c r="G42" s="14">
        <f t="shared" si="28"/>
        <v>2.4539170506912447</v>
      </c>
      <c r="H42" s="14">
        <f t="shared" si="29"/>
        <v>2.4083580750686182</v>
      </c>
      <c r="I42" s="14">
        <f t="shared" si="30"/>
        <v>2.3321009222768456</v>
      </c>
      <c r="J42" s="195">
        <f t="shared" si="7"/>
        <v>2.3794065192411997</v>
      </c>
      <c r="K42" s="195">
        <f t="shared" si="8"/>
        <v>2.2063921223607821</v>
      </c>
      <c r="L42" s="195">
        <f t="shared" si="9"/>
        <v>2.1419219826769238</v>
      </c>
      <c r="M42" s="195">
        <f t="shared" si="10"/>
        <v>2.0755577202411897</v>
      </c>
      <c r="N42" s="195">
        <f t="shared" si="11"/>
        <v>1.9999136708810161</v>
      </c>
      <c r="O42" s="195">
        <f t="shared" si="12"/>
        <v>1.9629032507780124</v>
      </c>
      <c r="P42" s="195">
        <f t="shared" si="13"/>
        <v>2.0078614476228975</v>
      </c>
      <c r="Q42" s="195">
        <f t="shared" si="14"/>
        <v>2.0900617082707691</v>
      </c>
      <c r="R42" s="195">
        <f t="shared" si="15"/>
        <v>2.1236171968373836</v>
      </c>
      <c r="S42" s="195">
        <f t="shared" si="16"/>
        <v>2.1719118215822553</v>
      </c>
      <c r="T42" s="195">
        <f t="shared" si="17"/>
        <v>2.2274315241848179</v>
      </c>
      <c r="U42" s="195">
        <f t="shared" si="18"/>
        <v>2.1628140016642186</v>
      </c>
      <c r="V42" s="195">
        <f t="shared" si="19"/>
        <v>2.1941348780678225</v>
      </c>
      <c r="W42" s="195">
        <f t="shared" si="20"/>
        <v>2.1297514765936119</v>
      </c>
      <c r="X42" s="195">
        <f t="shared" si="31"/>
        <v>2.1100346292469654</v>
      </c>
      <c r="Y42" s="195">
        <f t="shared" si="21"/>
        <v>2.0787114621715514</v>
      </c>
      <c r="Z42" s="195">
        <f t="shared" si="32"/>
        <v>2.3501373149462443</v>
      </c>
      <c r="AA42" s="195">
        <f t="shared" si="23"/>
        <v>2.3262729900849251</v>
      </c>
    </row>
    <row r="43" spans="1:27" ht="15" customHeight="1">
      <c r="A43" s="5"/>
      <c r="B43" s="6" t="s">
        <v>7</v>
      </c>
      <c r="C43" s="14">
        <f t="shared" si="24"/>
        <v>6.375648809966636</v>
      </c>
      <c r="D43" s="14">
        <f t="shared" si="25"/>
        <v>6.3306025520117259</v>
      </c>
      <c r="E43" s="14">
        <f t="shared" si="26"/>
        <v>6.1676234707260971</v>
      </c>
      <c r="F43" s="14">
        <f t="shared" si="27"/>
        <v>6.1900017396530185</v>
      </c>
      <c r="G43" s="14">
        <f t="shared" si="28"/>
        <v>6.4301424382069552</v>
      </c>
      <c r="H43" s="14">
        <f t="shared" si="29"/>
        <v>6.3592353706872595</v>
      </c>
      <c r="I43" s="14">
        <f t="shared" si="30"/>
        <v>6.2392502607023381</v>
      </c>
      <c r="J43" s="195">
        <f t="shared" si="7"/>
        <v>6.1219187816776985</v>
      </c>
      <c r="K43" s="195">
        <f t="shared" si="8"/>
        <v>5.6463267905074419</v>
      </c>
      <c r="L43" s="195">
        <f t="shared" si="9"/>
        <v>5.5514236228725498</v>
      </c>
      <c r="M43" s="195">
        <f t="shared" si="10"/>
        <v>5.5673872656423953</v>
      </c>
      <c r="N43" s="195">
        <f t="shared" si="11"/>
        <v>5.4983269067168488</v>
      </c>
      <c r="O43" s="195">
        <f t="shared" si="12"/>
        <v>5.404247083851228</v>
      </c>
      <c r="P43" s="195">
        <f t="shared" si="13"/>
        <v>5.4812958130478959</v>
      </c>
      <c r="Q43" s="195">
        <f t="shared" si="14"/>
        <v>5.4678437926005072</v>
      </c>
      <c r="R43" s="195">
        <f t="shared" si="15"/>
        <v>5.257151858758661</v>
      </c>
      <c r="S43" s="195">
        <f t="shared" si="16"/>
        <v>5.056750630926822</v>
      </c>
      <c r="T43" s="195">
        <f t="shared" si="17"/>
        <v>4.810656123938422</v>
      </c>
      <c r="U43" s="195">
        <f t="shared" si="18"/>
        <v>4.490274156218689</v>
      </c>
      <c r="V43" s="195">
        <f t="shared" si="19"/>
        <v>4.4101492906213844</v>
      </c>
      <c r="W43" s="195">
        <f t="shared" si="20"/>
        <v>4.1620729905406986</v>
      </c>
      <c r="X43" s="195">
        <f t="shared" si="31"/>
        <v>4.1067024809094939</v>
      </c>
      <c r="Y43" s="195">
        <f t="shared" si="21"/>
        <v>3.9863694851022666</v>
      </c>
      <c r="Z43" s="195">
        <f t="shared" si="32"/>
        <v>4.2057587035737747</v>
      </c>
      <c r="AA43" s="195">
        <f t="shared" si="23"/>
        <v>4.0878404502789776</v>
      </c>
    </row>
    <row r="44" spans="1:27" ht="15" customHeight="1">
      <c r="A44" s="5"/>
      <c r="B44" s="6" t="s">
        <v>8</v>
      </c>
      <c r="C44" s="14">
        <f t="shared" si="24"/>
        <v>0.32962693784586505</v>
      </c>
      <c r="D44" s="14">
        <f t="shared" si="25"/>
        <v>0.30905930075333204</v>
      </c>
      <c r="E44" s="14">
        <f t="shared" si="26"/>
        <v>0.28650368745834143</v>
      </c>
      <c r="F44" s="14">
        <f t="shared" si="27"/>
        <v>0.30523002957410134</v>
      </c>
      <c r="G44" s="14">
        <f t="shared" si="28"/>
        <v>0.31158357771260997</v>
      </c>
      <c r="H44" s="14">
        <f t="shared" si="29"/>
        <v>0.29641330154690693</v>
      </c>
      <c r="I44" s="14">
        <f t="shared" si="30"/>
        <v>0.2812425231472076</v>
      </c>
      <c r="J44" s="195">
        <f t="shared" si="7"/>
        <v>0.26963976586204863</v>
      </c>
      <c r="K44" s="195">
        <f t="shared" si="8"/>
        <v>0.23846333617747964</v>
      </c>
      <c r="L44" s="195">
        <f t="shared" si="9"/>
        <v>0.22301836684973123</v>
      </c>
      <c r="M44" s="195">
        <f t="shared" si="10"/>
        <v>0.21357682069257999</v>
      </c>
      <c r="N44" s="195">
        <f t="shared" si="11"/>
        <v>0.20279095908969383</v>
      </c>
      <c r="O44" s="195">
        <f t="shared" si="12"/>
        <v>0.19432674473035172</v>
      </c>
      <c r="P44" s="195">
        <f t="shared" si="13"/>
        <v>0.19647173173433971</v>
      </c>
      <c r="Q44" s="195">
        <f t="shared" si="14"/>
        <v>0.18470464285996355</v>
      </c>
      <c r="R44" s="195">
        <f t="shared" si="15"/>
        <v>0.17025308399272099</v>
      </c>
      <c r="S44" s="195">
        <f t="shared" si="16"/>
        <v>0.16442722265086002</v>
      </c>
      <c r="T44" s="195">
        <f t="shared" si="17"/>
        <v>0.15048199594827197</v>
      </c>
      <c r="U44" s="195">
        <f t="shared" si="18"/>
        <v>0.12645931406864738</v>
      </c>
      <c r="V44" s="195">
        <f t="shared" si="19"/>
        <v>0.12537371458770535</v>
      </c>
      <c r="W44" s="195">
        <f t="shared" si="31"/>
        <v>0.11522204463224274</v>
      </c>
      <c r="X44" s="195">
        <f t="shared" si="31"/>
        <v>0.11500735641138925</v>
      </c>
      <c r="Y44" s="195">
        <f t="shared" si="21"/>
        <v>0.10960087821071851</v>
      </c>
      <c r="Z44" s="195">
        <f t="shared" si="32"/>
        <v>0.11240347341990664</v>
      </c>
      <c r="AA44" s="195">
        <f t="shared" si="23"/>
        <v>0.10666676168595032</v>
      </c>
    </row>
    <row r="45" spans="1:27" ht="15" customHeight="1">
      <c r="A45" s="5"/>
      <c r="B45" s="6" t="s">
        <v>9</v>
      </c>
      <c r="C45" s="14">
        <f t="shared" si="24"/>
        <v>0.74452195509977515</v>
      </c>
      <c r="D45" s="14">
        <f t="shared" si="25"/>
        <v>0.78003386017339149</v>
      </c>
      <c r="E45" s="14">
        <f t="shared" si="26"/>
        <v>0.79178223569631689</v>
      </c>
      <c r="F45" s="14">
        <f t="shared" si="27"/>
        <v>0.76966466870153361</v>
      </c>
      <c r="G45" s="14">
        <f t="shared" si="28"/>
        <v>0.77607875994972764</v>
      </c>
      <c r="H45" s="14">
        <f t="shared" si="29"/>
        <v>0.75273377892832938</v>
      </c>
      <c r="I45" s="14">
        <f t="shared" si="30"/>
        <v>0.70649205252869973</v>
      </c>
      <c r="J45" s="195">
        <f t="shared" si="7"/>
        <v>0.73087721901143909</v>
      </c>
      <c r="K45" s="195">
        <f t="shared" si="8"/>
        <v>0.68548104772373808</v>
      </c>
      <c r="L45" s="195">
        <f t="shared" si="9"/>
        <v>0.71476204499189477</v>
      </c>
      <c r="M45" s="195">
        <f t="shared" si="10"/>
        <v>0.7255552986648639</v>
      </c>
      <c r="N45" s="195">
        <f t="shared" si="11"/>
        <v>0.72322793374466021</v>
      </c>
      <c r="O45" s="195">
        <f t="shared" si="12"/>
        <v>0.7231392451986608</v>
      </c>
      <c r="P45" s="195">
        <f t="shared" si="13"/>
        <v>0.71884758604151988</v>
      </c>
      <c r="Q45" s="195">
        <f t="shared" si="14"/>
        <v>0.73034887000359472</v>
      </c>
      <c r="R45" s="195">
        <f t="shared" si="15"/>
        <v>0.66502171482239636</v>
      </c>
      <c r="S45" s="195">
        <f t="shared" si="16"/>
        <v>0.67948936226055012</v>
      </c>
      <c r="T45" s="195">
        <f t="shared" si="17"/>
        <v>0.67612603724084974</v>
      </c>
      <c r="U45" s="195">
        <f t="shared" si="18"/>
        <v>0.62510194853626788</v>
      </c>
      <c r="V45" s="195">
        <f t="shared" si="19"/>
        <v>0.59846018750021956</v>
      </c>
      <c r="W45" s="195">
        <f t="shared" si="20"/>
        <v>0.58219160205827003</v>
      </c>
      <c r="X45" s="195">
        <f t="shared" si="31"/>
        <v>0.56614631097160117</v>
      </c>
      <c r="Y45" s="195">
        <f t="shared" si="21"/>
        <v>0.54901180599176458</v>
      </c>
      <c r="Z45" s="195">
        <f t="shared" si="32"/>
        <v>0.56576810091253527</v>
      </c>
      <c r="AA45" s="195">
        <f t="shared" si="23"/>
        <v>0.54254089919209625</v>
      </c>
    </row>
    <row r="46" spans="1:27" ht="15" customHeight="1">
      <c r="A46" s="5"/>
      <c r="B46" s="6" t="s">
        <v>10</v>
      </c>
      <c r="C46" s="14">
        <f t="shared" si="24"/>
        <v>0.14421178530756598</v>
      </c>
      <c r="D46" s="14">
        <f t="shared" si="25"/>
        <v>0.1448715472281244</v>
      </c>
      <c r="E46" s="14">
        <f t="shared" si="26"/>
        <v>0.1370702444688125</v>
      </c>
      <c r="F46" s="14">
        <f t="shared" si="27"/>
        <v>0.14497108485816557</v>
      </c>
      <c r="G46" s="14">
        <f t="shared" si="28"/>
        <v>0.15238793464599917</v>
      </c>
      <c r="H46" s="14">
        <f t="shared" si="29"/>
        <v>0.14820665077345346</v>
      </c>
      <c r="I46" s="14">
        <f t="shared" si="30"/>
        <v>0.13678408429149908</v>
      </c>
      <c r="J46" s="195">
        <f t="shared" si="7"/>
        <v>0.13986192733332278</v>
      </c>
      <c r="K46" s="195">
        <f t="shared" si="8"/>
        <v>0.12650682071788327</v>
      </c>
      <c r="L46" s="195">
        <f t="shared" si="9"/>
        <v>0.12963435104869533</v>
      </c>
      <c r="M46" s="195">
        <f t="shared" si="10"/>
        <v>0.1215570202877982</v>
      </c>
      <c r="N46" s="195">
        <f t="shared" si="11"/>
        <v>0.11987996519638537</v>
      </c>
      <c r="O46" s="195">
        <f t="shared" si="12"/>
        <v>0.11612207916813699</v>
      </c>
      <c r="P46" s="195">
        <f t="shared" si="13"/>
        <v>0.10918783739965839</v>
      </c>
      <c r="Q46" s="195">
        <f t="shared" si="14"/>
        <v>0.10717429894343561</v>
      </c>
      <c r="R46" s="195">
        <f t="shared" si="15"/>
        <v>9.845205962010016E-2</v>
      </c>
      <c r="S46" s="195">
        <f t="shared" si="16"/>
        <v>9.6018135615147729E-2</v>
      </c>
      <c r="T46" s="195">
        <f t="shared" si="17"/>
        <v>9.4162991524067222E-2</v>
      </c>
      <c r="U46" s="195">
        <f t="shared" si="18"/>
        <v>8.716561035366284E-2</v>
      </c>
      <c r="V46" s="195">
        <f t="shared" si="19"/>
        <v>8.1026701609034565E-2</v>
      </c>
      <c r="W46" s="195">
        <f t="shared" si="20"/>
        <v>7.9588803948134612E-2</v>
      </c>
      <c r="X46" s="195">
        <f t="shared" si="31"/>
        <v>7.8479830911464529E-2</v>
      </c>
      <c r="Y46" s="195">
        <f t="shared" si="21"/>
        <v>7.5671501574007205E-2</v>
      </c>
      <c r="Z46" s="195">
        <f t="shared" si="32"/>
        <v>7.8398046525595261E-2</v>
      </c>
      <c r="AA46" s="195">
        <f t="shared" si="23"/>
        <v>7.3134872065778372E-2</v>
      </c>
    </row>
    <row r="47" spans="1:27" ht="15" customHeight="1">
      <c r="A47" s="5"/>
      <c r="B47" s="6" t="s">
        <v>407</v>
      </c>
      <c r="C47" s="14">
        <f t="shared" si="24"/>
        <v>4.2954510338039293</v>
      </c>
      <c r="D47" s="14">
        <f t="shared" si="25"/>
        <v>4.6722494290356664</v>
      </c>
      <c r="E47" s="14">
        <f t="shared" si="26"/>
        <v>4.6969403771313081</v>
      </c>
      <c r="F47" s="14">
        <f t="shared" si="27"/>
        <v>4.8399255639375198</v>
      </c>
      <c r="G47" s="14">
        <f t="shared" si="28"/>
        <v>5.0696480938416419</v>
      </c>
      <c r="H47" s="14">
        <f t="shared" si="29"/>
        <v>5.0107498573998503</v>
      </c>
      <c r="I47" s="14">
        <f t="shared" si="30"/>
        <v>5.0528853315998319</v>
      </c>
      <c r="J47" s="195">
        <f t="shared" si="7"/>
        <v>5.3042307112179907</v>
      </c>
      <c r="K47" s="195">
        <f t="shared" si="8"/>
        <v>5.2583186502864576</v>
      </c>
      <c r="L47" s="195">
        <f t="shared" si="9"/>
        <v>5.4095744849469263</v>
      </c>
      <c r="M47" s="195">
        <f t="shared" si="10"/>
        <v>5.2814821244670451</v>
      </c>
      <c r="N47" s="195">
        <f t="shared" si="11"/>
        <v>5.2359548870804486</v>
      </c>
      <c r="O47" s="195">
        <f t="shared" si="12"/>
        <v>5.0375992362153896</v>
      </c>
      <c r="P47" s="195">
        <f t="shared" si="13"/>
        <v>4.9858020706840973</v>
      </c>
      <c r="Q47" s="195">
        <f t="shared" si="14"/>
        <v>4.9814874755106926</v>
      </c>
      <c r="R47" s="195">
        <f t="shared" si="15"/>
        <v>4.958660263986892</v>
      </c>
      <c r="S47" s="195">
        <f t="shared" si="16"/>
        <v>4.9818994325559078</v>
      </c>
      <c r="T47" s="195">
        <f t="shared" si="17"/>
        <v>4.9864667726700667</v>
      </c>
      <c r="U47" s="195">
        <f t="shared" si="18"/>
        <v>4.7534312846197473</v>
      </c>
      <c r="V47" s="195">
        <f t="shared" si="19"/>
        <v>4.7111819672480832</v>
      </c>
      <c r="W47" s="195">
        <f t="shared" si="20"/>
        <v>4.6951047190128996</v>
      </c>
      <c r="X47" s="195">
        <f t="shared" si="31"/>
        <v>4.5897783736818898</v>
      </c>
      <c r="Y47" s="195">
        <f t="shared" si="21"/>
        <v>4.5152566023733529</v>
      </c>
      <c r="Z47" s="195">
        <f t="shared" si="32"/>
        <v>4.5255639408172534</v>
      </c>
      <c r="AA47" s="195">
        <f t="shared" si="23"/>
        <v>4.3392001530485498</v>
      </c>
    </row>
    <row r="48" spans="1:27" ht="15" customHeight="1">
      <c r="A48" s="5"/>
      <c r="B48" s="6" t="s">
        <v>409</v>
      </c>
      <c r="C48" s="14">
        <f t="shared" si="24"/>
        <v>0.32619332390997063</v>
      </c>
      <c r="D48" s="14">
        <f t="shared" si="25"/>
        <v>0.35394107420831961</v>
      </c>
      <c r="E48" s="14">
        <f t="shared" si="26"/>
        <v>0.31176761487024018</v>
      </c>
      <c r="F48" s="14">
        <f t="shared" si="27"/>
        <v>0.2999583537610771</v>
      </c>
      <c r="G48" s="14">
        <f t="shared" si="28"/>
        <v>0.31210724759111858</v>
      </c>
      <c r="H48" s="14">
        <f t="shared" si="29"/>
        <v>0.32176443917920816</v>
      </c>
      <c r="I48" s="14">
        <f t="shared" si="30"/>
        <v>0.29027117557568943</v>
      </c>
      <c r="J48" s="195">
        <f t="shared" si="7"/>
        <v>0.31304519158618332</v>
      </c>
      <c r="K48" s="195">
        <f t="shared" si="8"/>
        <v>0.29787708264881779</v>
      </c>
      <c r="L48" s="195">
        <f t="shared" si="9"/>
        <v>0.31679640803389381</v>
      </c>
      <c r="M48" s="195">
        <f t="shared" si="10"/>
        <v>0.30218848034162915</v>
      </c>
      <c r="N48" s="195">
        <f t="shared" si="11"/>
        <v>0.30687835402068708</v>
      </c>
      <c r="O48" s="195">
        <f t="shared" si="12"/>
        <v>0.29792253547510372</v>
      </c>
      <c r="P48" s="195">
        <f t="shared" si="13"/>
        <v>0.26882111943380943</v>
      </c>
      <c r="Q48" s="195">
        <f t="shared" si="14"/>
        <v>0.26777286848481485</v>
      </c>
      <c r="R48" s="195">
        <f t="shared" si="15"/>
        <v>0.25522285519350812</v>
      </c>
      <c r="S48" s="195">
        <f t="shared" si="16"/>
        <v>0.25369647972436793</v>
      </c>
      <c r="T48" s="195">
        <f t="shared" si="17"/>
        <v>0.23570546296056066</v>
      </c>
      <c r="U48" s="195">
        <f t="shared" si="18"/>
        <v>0.23216491138642265</v>
      </c>
      <c r="V48" s="195">
        <f t="shared" si="19"/>
        <v>0.21819938343193529</v>
      </c>
      <c r="W48" s="195">
        <f t="shared" si="20"/>
        <v>0.21106210060826522</v>
      </c>
      <c r="X48" s="195">
        <f t="shared" si="31"/>
        <v>0.20408901721535788</v>
      </c>
      <c r="Y48" s="195">
        <f t="shared" si="21"/>
        <v>0.1960604040497011</v>
      </c>
      <c r="Z48" s="195">
        <f t="shared" si="32"/>
        <v>0.20261583450076251</v>
      </c>
      <c r="AA48" s="195">
        <f t="shared" si="23"/>
        <v>0.19824358118352808</v>
      </c>
    </row>
    <row r="49" spans="1:33" ht="15" customHeight="1">
      <c r="A49" s="5"/>
      <c r="B49" s="6" t="s">
        <v>410</v>
      </c>
      <c r="C49" s="14">
        <f t="shared" si="24"/>
        <v>2.6324373508523943E-2</v>
      </c>
      <c r="D49" s="14">
        <f t="shared" si="25"/>
        <v>2.6701814587144497E-2</v>
      </c>
      <c r="E49" s="14">
        <f t="shared" si="26"/>
        <v>2.0426154077705389E-2</v>
      </c>
      <c r="F49" s="14">
        <f t="shared" si="27"/>
        <v>2.0559535670794389E-2</v>
      </c>
      <c r="G49" s="14">
        <f t="shared" si="28"/>
        <v>1.989945538332635E-2</v>
      </c>
      <c r="H49" s="14">
        <f t="shared" si="29"/>
        <v>1.8038309469137426E-2</v>
      </c>
      <c r="I49" s="14">
        <f t="shared" si="30"/>
        <v>1.7154439614115394E-2</v>
      </c>
      <c r="J49" s="195">
        <f t="shared" si="7"/>
        <v>1.9729738965515754E-2</v>
      </c>
      <c r="K49" s="195">
        <f t="shared" si="8"/>
        <v>1.7379531280731567E-2</v>
      </c>
      <c r="L49" s="195">
        <f t="shared" si="9"/>
        <v>1.6943091474449543E-2</v>
      </c>
      <c r="M49" s="195">
        <f t="shared" si="10"/>
        <v>1.4768609941508191E-2</v>
      </c>
      <c r="N49" s="195">
        <f t="shared" si="11"/>
        <v>1.5074726162419717E-2</v>
      </c>
      <c r="O49" s="195">
        <f t="shared" si="12"/>
        <v>1.5573223445289509E-2</v>
      </c>
      <c r="P49" s="195">
        <f t="shared" si="13"/>
        <v>1.4602628709984709E-2</v>
      </c>
      <c r="Q49" s="195">
        <f t="shared" si="14"/>
        <v>1.4984856387228079E-2</v>
      </c>
      <c r="R49" s="195">
        <f t="shared" si="15"/>
        <v>1.2541663645872631E-2</v>
      </c>
      <c r="S49" s="195">
        <f t="shared" si="16"/>
        <v>1.2577455463965036E-2</v>
      </c>
      <c r="T49" s="195">
        <f t="shared" si="17"/>
        <v>1.2515334316489947E-2</v>
      </c>
      <c r="U49" s="195">
        <f t="shared" si="18"/>
        <v>1.1068648933798457E-2</v>
      </c>
      <c r="V49" s="195">
        <f t="shared" si="19"/>
        <v>1.0764720277093281E-2</v>
      </c>
      <c r="W49" s="195">
        <f t="shared" si="20"/>
        <v>1.0774644978600884E-2</v>
      </c>
      <c r="X49" s="195">
        <f t="shared" si="31"/>
        <v>1.0424879941985432E-2</v>
      </c>
      <c r="Y49" s="195">
        <f t="shared" si="21"/>
        <v>1.0311312555971111E-2</v>
      </c>
      <c r="Z49" s="195">
        <f t="shared" si="32"/>
        <v>1.0603873146190454E-2</v>
      </c>
      <c r="AA49" s="195">
        <f t="shared" si="23"/>
        <v>1.0229441253926537E-2</v>
      </c>
    </row>
    <row r="50" spans="1:33" ht="15" customHeight="1" thickBot="1">
      <c r="A50" s="7">
        <v>3</v>
      </c>
      <c r="B50" s="8" t="s">
        <v>72</v>
      </c>
      <c r="C50" s="15">
        <f t="shared" si="24"/>
        <v>0.30616390928391984</v>
      </c>
      <c r="D50" s="15">
        <f t="shared" si="25"/>
        <v>0.30905930075333204</v>
      </c>
      <c r="E50" s="15">
        <f t="shared" si="26"/>
        <v>0.26285235115784045</v>
      </c>
      <c r="F50" s="15">
        <f t="shared" si="27"/>
        <v>0.25831211483818589</v>
      </c>
      <c r="G50" s="15">
        <f t="shared" si="28"/>
        <v>0.25450356095517385</v>
      </c>
      <c r="H50" s="15">
        <f t="shared" si="29"/>
        <v>0.23011032620088825</v>
      </c>
      <c r="I50" s="15">
        <f t="shared" si="30"/>
        <v>0.2026932470194161</v>
      </c>
      <c r="J50" s="196">
        <f t="shared" si="7"/>
        <v>0.20694303981607637</v>
      </c>
      <c r="K50" s="196">
        <f t="shared" si="8"/>
        <v>0.17622036368369684</v>
      </c>
      <c r="L50" s="196">
        <f t="shared" si="9"/>
        <v>0.17534129549139646</v>
      </c>
      <c r="M50" s="196">
        <f t="shared" si="10"/>
        <v>0.16737757933709282</v>
      </c>
      <c r="N50" s="196">
        <f t="shared" si="11"/>
        <v>0.15972031291135175</v>
      </c>
      <c r="O50" s="196">
        <f t="shared" si="12"/>
        <v>0.16148755616093691</v>
      </c>
      <c r="P50" s="196">
        <f t="shared" si="13"/>
        <v>0.14934506635211633</v>
      </c>
      <c r="Q50" s="196">
        <f t="shared" si="14"/>
        <v>0.14072734694092459</v>
      </c>
      <c r="R50" s="196">
        <f t="shared" si="15"/>
        <v>0.12165413736496453</v>
      </c>
      <c r="S50" s="196">
        <f t="shared" si="16"/>
        <v>0.12424071860745953</v>
      </c>
      <c r="T50" s="196">
        <f t="shared" si="17"/>
        <v>0.10489042093820147</v>
      </c>
      <c r="U50" s="196">
        <f t="shared" si="18"/>
        <v>9.6573961947391526E-2</v>
      </c>
      <c r="V50" s="196">
        <f t="shared" si="19"/>
        <v>8.9642753787125121E-2</v>
      </c>
      <c r="W50" s="196">
        <f t="shared" si="20"/>
        <v>8.5481354336513674E-2</v>
      </c>
      <c r="X50" s="196">
        <f t="shared" si="31"/>
        <v>8.4134645758753929E-2</v>
      </c>
      <c r="Y50" s="196">
        <f t="shared" si="21"/>
        <v>8.3557789764572371E-2</v>
      </c>
      <c r="Z50" s="196">
        <f t="shared" si="32"/>
        <v>8.5771532426752617E-2</v>
      </c>
      <c r="AA50" s="196">
        <f t="shared" si="23"/>
        <v>8.1433325425925226E-2</v>
      </c>
    </row>
    <row r="51" spans="1:33" ht="9" customHeight="1">
      <c r="A51" s="449" t="s">
        <v>330</v>
      </c>
      <c r="B51" s="450"/>
      <c r="C51" s="457"/>
      <c r="D51" s="457"/>
      <c r="E51" s="459"/>
      <c r="F51" s="460"/>
      <c r="G51" s="460"/>
      <c r="H51" s="460"/>
      <c r="I51" s="460"/>
      <c r="J51" s="460"/>
      <c r="K51" s="460"/>
      <c r="L51" s="460"/>
      <c r="M51" s="48"/>
      <c r="O51" s="4"/>
      <c r="P51" s="4"/>
      <c r="Q51" s="4"/>
      <c r="R51" s="4"/>
      <c r="S51" s="4"/>
    </row>
    <row r="52" spans="1:33" ht="9" customHeight="1">
      <c r="A52" s="449" t="s">
        <v>412</v>
      </c>
      <c r="B52" s="450"/>
      <c r="C52" s="457"/>
      <c r="D52" s="457"/>
      <c r="E52" s="459"/>
      <c r="F52" s="460"/>
      <c r="G52" s="460"/>
      <c r="H52" s="460"/>
      <c r="I52" s="460"/>
      <c r="J52" s="460"/>
      <c r="K52" s="460"/>
      <c r="L52" s="460"/>
      <c r="M52" s="48"/>
      <c r="O52" s="4"/>
      <c r="P52" s="4"/>
      <c r="Q52" s="4"/>
      <c r="R52" s="4"/>
      <c r="S52" s="4"/>
    </row>
    <row r="53" spans="1:33" ht="9" customHeight="1">
      <c r="A53" s="449" t="s">
        <v>304</v>
      </c>
      <c r="B53" s="450"/>
      <c r="C53" s="457"/>
      <c r="D53" s="457"/>
      <c r="E53" s="459"/>
      <c r="F53" s="460"/>
      <c r="G53" s="460"/>
      <c r="H53" s="460"/>
      <c r="I53" s="460"/>
      <c r="J53" s="460"/>
      <c r="K53" s="460"/>
      <c r="L53" s="460"/>
      <c r="M53" s="48"/>
      <c r="O53" s="4"/>
      <c r="P53" s="4"/>
      <c r="Q53" s="4"/>
      <c r="R53" s="4"/>
      <c r="S53" s="4"/>
    </row>
    <row r="54" spans="1:33" ht="9" customHeight="1">
      <c r="A54" s="451" t="s">
        <v>303</v>
      </c>
      <c r="B54" s="452"/>
      <c r="C54" s="452"/>
      <c r="D54" s="461"/>
      <c r="E54" s="461"/>
      <c r="F54" s="461"/>
      <c r="G54" s="461"/>
      <c r="H54" s="461"/>
      <c r="I54" s="461"/>
      <c r="J54" s="461"/>
      <c r="K54" s="461"/>
      <c r="L54" s="461"/>
      <c r="M54" s="50"/>
      <c r="N54" s="12"/>
      <c r="O54" s="4"/>
      <c r="P54" s="4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</row>
    <row r="55" spans="1:33" ht="10.25" customHeight="1">
      <c r="A55" s="27"/>
      <c r="B55" s="49"/>
      <c r="C55" s="49"/>
      <c r="D55" s="50"/>
      <c r="E55" s="50"/>
      <c r="F55" s="50"/>
      <c r="G55" s="50"/>
      <c r="H55" s="50"/>
      <c r="I55" s="50"/>
      <c r="J55" s="50"/>
      <c r="K55" s="50"/>
      <c r="L55" s="50"/>
      <c r="M55" s="12"/>
      <c r="N55" s="12"/>
      <c r="O55" s="4"/>
      <c r="P55" s="4"/>
      <c r="Q55" s="4"/>
      <c r="R55" s="4"/>
      <c r="S55" s="4"/>
      <c r="T55" s="12"/>
      <c r="U55" s="12"/>
      <c r="V55" s="12"/>
      <c r="W55" s="12"/>
      <c r="X55" s="12"/>
      <c r="Y55" s="12"/>
      <c r="Z55" s="12"/>
      <c r="AA55" s="12"/>
    </row>
    <row r="56" spans="1:33" ht="16.25" customHeight="1">
      <c r="A56" s="53" t="s">
        <v>467</v>
      </c>
      <c r="B56" s="53"/>
      <c r="C56" s="51"/>
      <c r="D56" s="51"/>
      <c r="E56" s="51"/>
      <c r="F56" s="51"/>
      <c r="G56" s="51"/>
      <c r="H56" s="51"/>
      <c r="I56" s="51"/>
      <c r="J56" s="51"/>
      <c r="K56" s="55"/>
    </row>
    <row r="57" spans="1:33" ht="13.25" customHeight="1">
      <c r="A57" s="52" t="s">
        <v>323</v>
      </c>
      <c r="B57" s="52"/>
      <c r="C57" s="51"/>
      <c r="D57" s="51"/>
      <c r="E57" s="51"/>
      <c r="F57" s="51"/>
      <c r="G57" s="51"/>
      <c r="H57" s="51"/>
      <c r="I57" s="51"/>
      <c r="J57" s="51"/>
      <c r="K57" s="55"/>
    </row>
    <row r="58" spans="1:33" ht="5" customHeight="1" thickBo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1:33" ht="18" customHeight="1">
      <c r="A59" s="1012" t="s">
        <v>15</v>
      </c>
      <c r="B59" s="1012"/>
      <c r="C59" s="711" t="s">
        <v>0</v>
      </c>
      <c r="D59" s="711" t="s">
        <v>1</v>
      </c>
      <c r="E59" s="711" t="s">
        <v>2</v>
      </c>
      <c r="F59" s="712">
        <v>2003</v>
      </c>
      <c r="G59" s="712">
        <v>2004</v>
      </c>
      <c r="H59" s="712">
        <v>2005</v>
      </c>
      <c r="I59" s="712">
        <v>2006</v>
      </c>
      <c r="J59" s="713">
        <v>2007</v>
      </c>
      <c r="K59" s="713">
        <v>2008</v>
      </c>
      <c r="L59" s="713">
        <v>2009</v>
      </c>
      <c r="M59" s="713">
        <v>2010</v>
      </c>
      <c r="N59" s="713">
        <v>2011</v>
      </c>
      <c r="O59" s="713">
        <v>2012</v>
      </c>
      <c r="P59" s="713">
        <v>2013</v>
      </c>
      <c r="Q59" s="713">
        <v>2014</v>
      </c>
      <c r="R59" s="713">
        <v>2015</v>
      </c>
      <c r="S59" s="713">
        <v>2016</v>
      </c>
      <c r="T59" s="714">
        <v>2017</v>
      </c>
      <c r="U59" s="714">
        <v>2018</v>
      </c>
      <c r="V59" s="714">
        <v>2019</v>
      </c>
      <c r="W59" s="714">
        <v>2020</v>
      </c>
      <c r="X59" s="714">
        <v>2021</v>
      </c>
      <c r="Y59" s="714">
        <v>2022</v>
      </c>
      <c r="Z59" s="715">
        <v>2023</v>
      </c>
      <c r="AA59" s="716" t="s">
        <v>465</v>
      </c>
    </row>
    <row r="60" spans="1:33" ht="3" customHeight="1">
      <c r="A60" s="1"/>
      <c r="B60" s="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45"/>
    </row>
    <row r="61" spans="1:33" ht="15" customHeight="1">
      <c r="A61" s="1"/>
      <c r="B61" s="1" t="s">
        <v>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33" ht="15" customHeight="1">
      <c r="B62" s="9" t="s">
        <v>183</v>
      </c>
      <c r="C62" s="4">
        <v>622.1</v>
      </c>
      <c r="D62" s="4">
        <v>631.70000000000005</v>
      </c>
      <c r="E62" s="4">
        <v>678.1</v>
      </c>
      <c r="F62" s="4">
        <v>704.9</v>
      </c>
      <c r="G62" s="4">
        <v>705.7</v>
      </c>
      <c r="H62" s="4">
        <v>793</v>
      </c>
      <c r="I62" s="4">
        <v>866.4</v>
      </c>
      <c r="J62" s="193">
        <v>939.56645151462601</v>
      </c>
      <c r="K62" s="193">
        <v>1069.7208962777295</v>
      </c>
      <c r="L62" s="193">
        <v>1176.1057897813946</v>
      </c>
      <c r="M62" s="193">
        <v>1243.8236571023624</v>
      </c>
      <c r="N62" s="193">
        <v>1358.7137798330534</v>
      </c>
      <c r="O62" s="193">
        <v>1476.9996294766233</v>
      </c>
      <c r="P62" s="193">
        <v>1529.692810740542</v>
      </c>
      <c r="Q62" s="193">
        <v>1606.6168259900869</v>
      </c>
      <c r="R62" s="193">
        <v>1736.0802311516054</v>
      </c>
      <c r="S62" s="193">
        <v>1846.2799957845775</v>
      </c>
      <c r="T62" s="193">
        <v>1913.7561968351301</v>
      </c>
      <c r="U62" s="193">
        <v>2058.1098053887717</v>
      </c>
      <c r="V62" s="193">
        <v>2149.8239600884599</v>
      </c>
      <c r="W62" s="193">
        <v>2101.8261811994212</v>
      </c>
      <c r="X62" s="193">
        <v>2136.1070817588989</v>
      </c>
      <c r="Y62" s="193">
        <v>2197.2881615115225</v>
      </c>
      <c r="Z62" s="193">
        <v>2172.5277238080025</v>
      </c>
      <c r="AA62" s="193">
        <v>2267.3628872896161</v>
      </c>
      <c r="AF62" s="1002"/>
      <c r="AG62" s="1002"/>
    </row>
    <row r="63" spans="1:33" ht="15" customHeight="1">
      <c r="B63" s="9" t="s">
        <v>401</v>
      </c>
      <c r="C63" s="4"/>
      <c r="D63" s="4"/>
      <c r="E63" s="4"/>
      <c r="F63" s="4"/>
      <c r="G63" s="4"/>
      <c r="H63" s="4"/>
      <c r="I63" s="4"/>
      <c r="J63" s="193">
        <v>870</v>
      </c>
      <c r="K63" s="193">
        <v>990.9</v>
      </c>
      <c r="L63" s="193">
        <v>1095.5999999999999</v>
      </c>
      <c r="M63" s="193">
        <v>1159.5999999999999</v>
      </c>
      <c r="N63" s="193">
        <v>1218.2</v>
      </c>
      <c r="O63" s="193">
        <v>1381.1</v>
      </c>
      <c r="P63" s="193">
        <v>1433.8</v>
      </c>
      <c r="Q63" s="193">
        <v>1503.9</v>
      </c>
      <c r="R63" s="193">
        <v>1621.8</v>
      </c>
      <c r="S63" s="193">
        <v>1714</v>
      </c>
      <c r="T63" s="193">
        <v>1786</v>
      </c>
      <c r="U63" s="193">
        <v>1929</v>
      </c>
      <c r="V63" s="193">
        <v>2014.5719999999999</v>
      </c>
      <c r="W63" s="193">
        <v>1971.202</v>
      </c>
      <c r="X63" s="193">
        <v>1999.002</v>
      </c>
      <c r="Y63" s="193">
        <v>2057.098</v>
      </c>
      <c r="Z63" s="193">
        <v>2035.3230589415255</v>
      </c>
      <c r="AA63" s="193">
        <v>2117.7810674380012</v>
      </c>
      <c r="AF63" s="1002"/>
      <c r="AG63" s="1002"/>
    </row>
    <row r="64" spans="1:33" ht="15" customHeight="1">
      <c r="B64" s="9" t="s">
        <v>184</v>
      </c>
      <c r="C64" s="4">
        <v>77.7</v>
      </c>
      <c r="D64" s="4">
        <v>79.7</v>
      </c>
      <c r="E64" s="4">
        <v>78.599999999999994</v>
      </c>
      <c r="F64" s="4">
        <v>79.8</v>
      </c>
      <c r="G64" s="4">
        <v>84.2</v>
      </c>
      <c r="H64" s="4">
        <v>84.2</v>
      </c>
      <c r="I64" s="4">
        <v>84.8</v>
      </c>
      <c r="J64" s="193">
        <v>84.6</v>
      </c>
      <c r="K64" s="193">
        <v>83.4</v>
      </c>
      <c r="L64" s="193">
        <v>83.6</v>
      </c>
      <c r="M64" s="193">
        <v>84.2</v>
      </c>
      <c r="N64" s="193">
        <v>85.6</v>
      </c>
      <c r="O64" s="193">
        <v>88.3</v>
      </c>
      <c r="P64" s="193">
        <v>87.3</v>
      </c>
      <c r="Q64" s="193">
        <v>86.1</v>
      </c>
      <c r="R64" s="193">
        <v>82.9</v>
      </c>
      <c r="S64" s="193">
        <v>84.9</v>
      </c>
      <c r="T64" s="193">
        <v>83.6</v>
      </c>
      <c r="U64" s="193">
        <v>84.2</v>
      </c>
      <c r="V64" s="193">
        <v>84.451999999999998</v>
      </c>
      <c r="W64" s="193">
        <v>81.045000000000002</v>
      </c>
      <c r="X64" s="193">
        <v>83.147999999999996</v>
      </c>
      <c r="Y64" s="193">
        <v>83.840999999999994</v>
      </c>
      <c r="Z64" s="193">
        <v>84.225999675923163</v>
      </c>
      <c r="AA64" s="193">
        <v>84.063381566337654</v>
      </c>
      <c r="AF64" s="1002"/>
      <c r="AG64" s="1002"/>
    </row>
    <row r="65" spans="1:33" ht="15" customHeight="1">
      <c r="B65" s="9" t="s">
        <v>185</v>
      </c>
      <c r="C65" s="4">
        <v>122.1</v>
      </c>
      <c r="D65" s="4">
        <v>124.4</v>
      </c>
      <c r="E65" s="4">
        <v>123.4</v>
      </c>
      <c r="F65" s="4">
        <v>123.7</v>
      </c>
      <c r="G65" s="4">
        <v>131.80000000000001</v>
      </c>
      <c r="H65" s="4">
        <v>139</v>
      </c>
      <c r="I65" s="4">
        <v>145.30000000000001</v>
      </c>
      <c r="J65" s="193">
        <v>152.69336636355555</v>
      </c>
      <c r="K65" s="193">
        <v>153.59471849400001</v>
      </c>
      <c r="L65" s="193">
        <v>152.95837931831014</v>
      </c>
      <c r="M65" s="193">
        <v>154.20705248643645</v>
      </c>
      <c r="N65" s="193">
        <v>156.78411624939505</v>
      </c>
      <c r="O65" s="193">
        <v>163.13724835713589</v>
      </c>
      <c r="P65" s="193">
        <v>170.24506613986665</v>
      </c>
      <c r="Q65" s="193">
        <v>180.51984083306047</v>
      </c>
      <c r="R65" s="193">
        <v>190.56707951319225</v>
      </c>
      <c r="S65" s="193">
        <v>199.19893336924656</v>
      </c>
      <c r="T65" s="193">
        <v>210.32487271118595</v>
      </c>
      <c r="U65" s="193">
        <v>219.93463885614148</v>
      </c>
      <c r="V65" s="193">
        <v>231.0115509961332</v>
      </c>
      <c r="W65" s="193">
        <v>226.54013530833669</v>
      </c>
      <c r="X65" s="193">
        <v>234.86623253306163</v>
      </c>
      <c r="Y65" s="193">
        <v>241.87283401530141</v>
      </c>
      <c r="Z65" s="193">
        <v>267.26633349186284</v>
      </c>
      <c r="AA65" s="193">
        <v>279.39852689940017</v>
      </c>
      <c r="AF65" s="1002"/>
      <c r="AG65" s="1002"/>
    </row>
    <row r="66" spans="1:33" ht="15" customHeight="1">
      <c r="B66" s="9" t="s">
        <v>186</v>
      </c>
      <c r="C66" s="4">
        <v>255.4</v>
      </c>
      <c r="D66" s="4">
        <v>255.4</v>
      </c>
      <c r="E66" s="4">
        <v>263</v>
      </c>
      <c r="F66" s="4">
        <v>269.2</v>
      </c>
      <c r="G66" s="4">
        <v>281.5</v>
      </c>
      <c r="H66" s="4">
        <v>299</v>
      </c>
      <c r="I66" s="4">
        <v>316.8</v>
      </c>
      <c r="J66" s="193">
        <v>320.0685235481543</v>
      </c>
      <c r="K66" s="193">
        <v>320.23116448762926</v>
      </c>
      <c r="L66" s="193">
        <v>322.94809999327646</v>
      </c>
      <c r="M66" s="193">
        <v>337.00320265430099</v>
      </c>
      <c r="N66" s="193">
        <v>351.14586961998867</v>
      </c>
      <c r="O66" s="193">
        <v>365.91543721560129</v>
      </c>
      <c r="P66" s="193">
        <v>378.60242433089485</v>
      </c>
      <c r="Q66" s="193">
        <v>384.76822623546826</v>
      </c>
      <c r="R66" s="193">
        <v>384.34298495698567</v>
      </c>
      <c r="S66" s="193">
        <v>372.99145286675423</v>
      </c>
      <c r="T66" s="193">
        <v>370.07359493440094</v>
      </c>
      <c r="U66" s="193">
        <v>371.96685365707867</v>
      </c>
      <c r="V66" s="193">
        <v>378.27369847937075</v>
      </c>
      <c r="W66" s="193">
        <v>360.66887290637322</v>
      </c>
      <c r="X66" s="193">
        <v>372.39787615674584</v>
      </c>
      <c r="Y66" s="193">
        <v>377.87921882211862</v>
      </c>
      <c r="Z66" s="193">
        <v>389.65293035051678</v>
      </c>
      <c r="AA66" s="193">
        <v>399.98153919497264</v>
      </c>
      <c r="AF66" s="1002"/>
      <c r="AG66" s="1002"/>
    </row>
    <row r="67" spans="1:33" ht="15" customHeight="1">
      <c r="B67" s="9" t="s">
        <v>187</v>
      </c>
      <c r="C67" s="4">
        <v>15.5</v>
      </c>
      <c r="D67" s="4">
        <v>14.8</v>
      </c>
      <c r="E67" s="4">
        <v>14.5</v>
      </c>
      <c r="F67" s="4">
        <v>15.7</v>
      </c>
      <c r="G67" s="4">
        <v>16.2</v>
      </c>
      <c r="H67" s="4">
        <v>16.5</v>
      </c>
      <c r="I67" s="4">
        <v>16.899999999999999</v>
      </c>
      <c r="J67" s="193">
        <v>16.713896624733284</v>
      </c>
      <c r="K67" s="193">
        <v>16.048394763666668</v>
      </c>
      <c r="L67" s="193">
        <v>15.382862932880899</v>
      </c>
      <c r="M67" s="193">
        <v>15.327630557621834</v>
      </c>
      <c r="N67" s="193">
        <v>15.37505631424056</v>
      </c>
      <c r="O67" s="193">
        <v>15.616858790658204</v>
      </c>
      <c r="P67" s="193">
        <v>16.097784544348912</v>
      </c>
      <c r="Q67" s="193">
        <v>15.418262058134021</v>
      </c>
      <c r="R67" s="193">
        <v>14.752061781059163</v>
      </c>
      <c r="S67" s="193">
        <v>14.56758453384286</v>
      </c>
      <c r="T67" s="193">
        <v>13.733900606473389</v>
      </c>
      <c r="U67" s="193">
        <v>12.415769331766608</v>
      </c>
      <c r="V67" s="193">
        <v>12.755629543291031</v>
      </c>
      <c r="W67" s="193">
        <v>12.3933840890793</v>
      </c>
      <c r="X67" s="193">
        <v>12.370257973361337</v>
      </c>
      <c r="Y67" s="193">
        <v>12.323384412125041</v>
      </c>
      <c r="Z67" s="193">
        <v>12.351860096129014</v>
      </c>
      <c r="AA67" s="193">
        <v>12.380106872374421</v>
      </c>
      <c r="AF67" s="1002"/>
      <c r="AG67" s="1002"/>
    </row>
    <row r="68" spans="1:33" ht="15" customHeight="1">
      <c r="B68" s="9" t="s">
        <v>188</v>
      </c>
      <c r="C68" s="4">
        <v>16.2</v>
      </c>
      <c r="D68" s="4">
        <v>17.100000000000001</v>
      </c>
      <c r="E68" s="4">
        <v>18.399999999999999</v>
      </c>
      <c r="F68" s="4">
        <v>18.2</v>
      </c>
      <c r="G68" s="4">
        <v>18.5</v>
      </c>
      <c r="H68" s="4">
        <v>19.3</v>
      </c>
      <c r="I68" s="4">
        <v>19.5</v>
      </c>
      <c r="J68" s="193">
        <v>20.81434672180556</v>
      </c>
      <c r="K68" s="193">
        <v>21.171595724444447</v>
      </c>
      <c r="L68" s="193">
        <v>22.641214523333336</v>
      </c>
      <c r="M68" s="193">
        <v>23.912935720308642</v>
      </c>
      <c r="N68" s="193">
        <v>25.15193891944444</v>
      </c>
      <c r="O68" s="193">
        <v>26.66501447689177</v>
      </c>
      <c r="P68" s="193">
        <v>27.042342589777775</v>
      </c>
      <c r="Q68" s="193">
        <v>27.987032118333332</v>
      </c>
      <c r="R68" s="193">
        <v>26.483108266388889</v>
      </c>
      <c r="S68" s="193">
        <v>27.654467318472228</v>
      </c>
      <c r="T68" s="193">
        <v>28.327629455876544</v>
      </c>
      <c r="U68" s="193">
        <v>28.198616282995879</v>
      </c>
      <c r="V68" s="193">
        <v>27.954751219975439</v>
      </c>
      <c r="W68" s="193">
        <v>27.474686372069645</v>
      </c>
      <c r="X68" s="193">
        <v>27.958305004431661</v>
      </c>
      <c r="Y68" s="193">
        <v>28.341638179534957</v>
      </c>
      <c r="Z68" s="193">
        <v>28.545644857176349</v>
      </c>
      <c r="AA68" s="193">
        <v>28.909880726077059</v>
      </c>
      <c r="AF68" s="1002"/>
      <c r="AG68" s="1002"/>
    </row>
    <row r="69" spans="1:33" ht="15" customHeight="1">
      <c r="B69" s="9" t="s">
        <v>189</v>
      </c>
      <c r="C69" s="4">
        <v>7.1</v>
      </c>
      <c r="D69" s="4">
        <v>7.2</v>
      </c>
      <c r="E69" s="4">
        <v>7.2</v>
      </c>
      <c r="F69" s="4">
        <v>7.8</v>
      </c>
      <c r="G69" s="4">
        <v>8.1999999999999993</v>
      </c>
      <c r="H69" s="4">
        <v>8.6</v>
      </c>
      <c r="I69" s="4">
        <v>8.5</v>
      </c>
      <c r="J69" s="193">
        <v>9.0066802392592606</v>
      </c>
      <c r="K69" s="193">
        <v>8.825497640617284</v>
      </c>
      <c r="L69" s="193">
        <v>9.2787898504444435</v>
      </c>
      <c r="M69" s="193">
        <v>9.0558047044444425</v>
      </c>
      <c r="N69" s="193">
        <v>9.4104232368666647</v>
      </c>
      <c r="O69" s="193">
        <v>9.6669071046746762</v>
      </c>
      <c r="P69" s="193">
        <v>9.2860081999999995</v>
      </c>
      <c r="Q69" s="193">
        <v>9.2667703877777772</v>
      </c>
      <c r="R69" s="193">
        <v>8.8444790077777782</v>
      </c>
      <c r="S69" s="193">
        <v>8.8372940537777769</v>
      </c>
      <c r="T69" s="193">
        <v>8.9085523799999997</v>
      </c>
      <c r="U69" s="193">
        <v>8.8952166616427935</v>
      </c>
      <c r="V69" s="193">
        <v>8.5502045694274393</v>
      </c>
      <c r="W69" s="193">
        <v>8.4852265594444436</v>
      </c>
      <c r="X69" s="193">
        <v>8.7556422937777754</v>
      </c>
      <c r="Y69" s="193">
        <v>8.8251130018430608</v>
      </c>
      <c r="Z69" s="193">
        <v>8.9361674801342765</v>
      </c>
      <c r="AA69" s="193">
        <v>8.8040597344260014</v>
      </c>
      <c r="AF69" s="1002"/>
      <c r="AG69" s="1002"/>
    </row>
    <row r="70" spans="1:33" ht="15" customHeight="1">
      <c r="B70" s="6" t="s">
        <v>408</v>
      </c>
      <c r="C70" s="4">
        <v>178.7</v>
      </c>
      <c r="D70" s="4">
        <v>188.4</v>
      </c>
      <c r="E70" s="4">
        <v>190.9</v>
      </c>
      <c r="F70" s="4">
        <v>197.8</v>
      </c>
      <c r="G70" s="4">
        <v>202.4</v>
      </c>
      <c r="H70" s="4">
        <v>207.1</v>
      </c>
      <c r="I70" s="4">
        <v>245.5</v>
      </c>
      <c r="J70" s="193">
        <v>257.6211160378042</v>
      </c>
      <c r="K70" s="193">
        <v>266.54052276983214</v>
      </c>
      <c r="L70" s="193">
        <v>268.70693766327264</v>
      </c>
      <c r="M70" s="193">
        <v>285.10164329036985</v>
      </c>
      <c r="N70" s="193">
        <v>317.65441124675988</v>
      </c>
      <c r="O70" s="193">
        <v>314.02390941851974</v>
      </c>
      <c r="P70" s="193">
        <v>349.79078303424126</v>
      </c>
      <c r="Q70" s="193">
        <v>358.62993572390616</v>
      </c>
      <c r="R70" s="193">
        <v>386.2546357730568</v>
      </c>
      <c r="S70" s="193">
        <v>400.97960333937357</v>
      </c>
      <c r="T70" s="193">
        <v>415.33649121304501</v>
      </c>
      <c r="U70" s="193">
        <v>452.23436143020251</v>
      </c>
      <c r="V70" s="193">
        <v>488.48443735854397</v>
      </c>
      <c r="W70" s="193">
        <v>497.52538752156556</v>
      </c>
      <c r="X70" s="193">
        <v>504.11203933299595</v>
      </c>
      <c r="Y70" s="193">
        <v>510.96158156569237</v>
      </c>
      <c r="Z70" s="193">
        <v>510.63000285438937</v>
      </c>
      <c r="AA70" s="193">
        <v>508.59181465513734</v>
      </c>
      <c r="AF70" s="1002"/>
      <c r="AG70" s="1002"/>
    </row>
    <row r="71" spans="1:33" ht="15" customHeight="1">
      <c r="B71" s="6" t="s">
        <v>407</v>
      </c>
      <c r="C71" s="4">
        <v>903.2</v>
      </c>
      <c r="D71" s="4">
        <v>989.7</v>
      </c>
      <c r="E71" s="4">
        <v>1051.5</v>
      </c>
      <c r="F71" s="4">
        <v>1104.8</v>
      </c>
      <c r="G71" s="4">
        <v>1165</v>
      </c>
      <c r="H71" s="4">
        <v>1236.8</v>
      </c>
      <c r="I71" s="4">
        <v>1347</v>
      </c>
      <c r="J71" s="193">
        <v>1455.814925372229</v>
      </c>
      <c r="K71" s="193">
        <v>1565.5282071279396</v>
      </c>
      <c r="L71" s="193">
        <v>1652.1123218322687</v>
      </c>
      <c r="M71" s="193">
        <v>1678.372090593223</v>
      </c>
      <c r="N71" s="193">
        <v>1755.5286562142719</v>
      </c>
      <c r="O71" s="193">
        <v>1790.6696513017671</v>
      </c>
      <c r="P71" s="193">
        <v>1807.8059137818057</v>
      </c>
      <c r="Q71" s="193">
        <v>1840.2259962872304</v>
      </c>
      <c r="R71" s="193">
        <v>1903.1767256046485</v>
      </c>
      <c r="S71" s="193">
        <v>1954.2317411687607</v>
      </c>
      <c r="T71" s="193">
        <v>2013.6737182955262</v>
      </c>
      <c r="U71" s="193">
        <v>2067.1425065071944</v>
      </c>
      <c r="V71" s="193">
        <v>2121.3658522205019</v>
      </c>
      <c r="W71" s="193">
        <v>2135.8813208302035</v>
      </c>
      <c r="X71" s="193">
        <v>2184.9343376475895</v>
      </c>
      <c r="Y71" s="193">
        <v>2246.9356620396557</v>
      </c>
      <c r="Z71" s="193">
        <v>2201.0960876995046</v>
      </c>
      <c r="AA71" s="193">
        <v>2228.8887714991988</v>
      </c>
      <c r="AF71" s="1002"/>
      <c r="AG71" s="1002"/>
    </row>
    <row r="72" spans="1:33" ht="15" customHeight="1">
      <c r="B72" s="6" t="s">
        <v>409</v>
      </c>
      <c r="C72" s="4">
        <v>3.1</v>
      </c>
      <c r="D72" s="4">
        <v>3.4</v>
      </c>
      <c r="E72" s="4">
        <v>3.2</v>
      </c>
      <c r="F72" s="4">
        <v>3.1</v>
      </c>
      <c r="G72" s="4">
        <v>3.2</v>
      </c>
      <c r="H72" s="4">
        <v>3.6</v>
      </c>
      <c r="I72" s="4">
        <v>3.5</v>
      </c>
      <c r="J72" s="193">
        <v>3.8947965421000004</v>
      </c>
      <c r="K72" s="193">
        <v>4.01917259133758</v>
      </c>
      <c r="L72" s="193">
        <v>4.3865017065679996</v>
      </c>
      <c r="M72" s="193">
        <v>4.3517826225239995</v>
      </c>
      <c r="N72" s="193">
        <v>4.6614143952800005</v>
      </c>
      <c r="O72" s="193">
        <v>4.7973932921199998</v>
      </c>
      <c r="P72" s="193">
        <v>4.4202621337382713</v>
      </c>
      <c r="Q72" s="193">
        <v>4.4849348427279994</v>
      </c>
      <c r="R72" s="193">
        <v>4.4380008303373621</v>
      </c>
      <c r="S72" s="193">
        <v>4.5084825524774939</v>
      </c>
      <c r="T72" s="193">
        <v>4.3142295304220522</v>
      </c>
      <c r="U72" s="193">
        <v>4.5748439407972912</v>
      </c>
      <c r="V72" s="193">
        <v>4.4530293069745213</v>
      </c>
      <c r="W72" s="193">
        <v>4.3516747393440003</v>
      </c>
      <c r="X72" s="193">
        <v>4.4033227581280006</v>
      </c>
      <c r="Y72" s="193">
        <v>4.4219439097736597</v>
      </c>
      <c r="Z72" s="193">
        <v>4.4663716061790044</v>
      </c>
      <c r="AA72" s="193">
        <v>4.6152265246605406</v>
      </c>
      <c r="AF72" s="1002"/>
      <c r="AG72" s="1002"/>
    </row>
    <row r="73" spans="1:33" ht="15" customHeight="1">
      <c r="B73" s="6" t="s">
        <v>410</v>
      </c>
      <c r="C73" s="4">
        <v>0.7</v>
      </c>
      <c r="D73" s="4">
        <v>0.8</v>
      </c>
      <c r="E73" s="4">
        <v>0.6</v>
      </c>
      <c r="F73" s="4">
        <v>0.6</v>
      </c>
      <c r="G73" s="4">
        <v>0.6</v>
      </c>
      <c r="H73" s="4">
        <v>0.6</v>
      </c>
      <c r="I73" s="4">
        <v>0.6</v>
      </c>
      <c r="J73" s="193">
        <v>0.74007281593983731</v>
      </c>
      <c r="K73" s="193">
        <v>0.70387043717612008</v>
      </c>
      <c r="L73" s="193">
        <v>0.69581126593999998</v>
      </c>
      <c r="M73" s="193">
        <v>0.63204508984990004</v>
      </c>
      <c r="N73" s="193">
        <v>0.6773595805</v>
      </c>
      <c r="O73" s="193">
        <v>0.74539273635999992</v>
      </c>
      <c r="P73" s="193">
        <v>0.72585134915899996</v>
      </c>
      <c r="Q73" s="193">
        <v>0.74482293857599979</v>
      </c>
      <c r="R73" s="193">
        <v>0.65599278945600004</v>
      </c>
      <c r="S73" s="193">
        <v>0.66955003707360006</v>
      </c>
      <c r="T73" s="193">
        <v>0.68054649144799995</v>
      </c>
      <c r="U73" s="193">
        <v>0.65997904175104705</v>
      </c>
      <c r="V73" s="193">
        <v>0.65710990950854964</v>
      </c>
      <c r="W73" s="193">
        <v>0.66455613720240003</v>
      </c>
      <c r="X73" s="193">
        <v>0.67283795209999997</v>
      </c>
      <c r="Y73" s="193">
        <v>0.69569920771642157</v>
      </c>
      <c r="Z73" s="193">
        <v>0.69924636309999999</v>
      </c>
      <c r="AA73" s="193">
        <v>0.71241002360000005</v>
      </c>
      <c r="AF73" s="1002"/>
      <c r="AG73" s="1002"/>
    </row>
    <row r="74" spans="1:33" ht="15" customHeight="1" thickBot="1">
      <c r="A74" s="18"/>
      <c r="B74" s="8" t="s">
        <v>205</v>
      </c>
      <c r="C74" s="19">
        <v>12.4</v>
      </c>
      <c r="D74" s="19">
        <v>12.6</v>
      </c>
      <c r="E74" s="19">
        <v>11.3</v>
      </c>
      <c r="F74" s="19">
        <v>11.3</v>
      </c>
      <c r="G74" s="19">
        <v>11.2</v>
      </c>
      <c r="H74" s="19">
        <v>10.9</v>
      </c>
      <c r="I74" s="19">
        <v>10.4</v>
      </c>
      <c r="J74" s="197">
        <v>10.894517391099999</v>
      </c>
      <c r="K74" s="197">
        <v>10.085339362678285</v>
      </c>
      <c r="L74" s="197">
        <v>10.279006247604</v>
      </c>
      <c r="M74" s="197">
        <v>10.218058699485209</v>
      </c>
      <c r="N74" s="197">
        <v>10.2918612653592</v>
      </c>
      <c r="O74" s="197">
        <v>11.029406458315982</v>
      </c>
      <c r="P74" s="197">
        <v>10.403074148514934</v>
      </c>
      <c r="Q74" s="197">
        <v>9.9747705018306334</v>
      </c>
      <c r="R74" s="197">
        <v>8.9542333575703452</v>
      </c>
      <c r="S74" s="197">
        <v>9.3522387768933442</v>
      </c>
      <c r="T74" s="197">
        <v>8.1383729286775193</v>
      </c>
      <c r="U74" s="197">
        <v>8.0563635489869441</v>
      </c>
      <c r="V74" s="197">
        <v>7.7501701075763343</v>
      </c>
      <c r="W74" s="197">
        <v>7.4664020324688885</v>
      </c>
      <c r="X74" s="197">
        <v>7.6902523709422921</v>
      </c>
      <c r="Y74" s="197">
        <v>7.98378652815971</v>
      </c>
      <c r="Z74" s="197">
        <v>8.0098296005761078</v>
      </c>
      <c r="AA74" s="197">
        <v>8.0314635729908854</v>
      </c>
      <c r="AF74" s="1002"/>
      <c r="AG74" s="1002"/>
    </row>
    <row r="75" spans="1:33" ht="9" customHeight="1">
      <c r="A75" s="449" t="s">
        <v>330</v>
      </c>
      <c r="B75" s="450"/>
      <c r="C75" s="457"/>
      <c r="D75" s="457"/>
      <c r="E75" s="458"/>
      <c r="F75" s="452"/>
      <c r="G75" s="458"/>
      <c r="H75" s="458"/>
      <c r="I75" s="452"/>
      <c r="J75" s="458"/>
      <c r="K75" s="458"/>
      <c r="L75" s="458"/>
      <c r="M75" s="458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spans="1:33" ht="9" customHeight="1">
      <c r="A76" s="449" t="s">
        <v>332</v>
      </c>
      <c r="B76" s="450"/>
      <c r="C76" s="457"/>
      <c r="D76" s="457"/>
      <c r="E76" s="458"/>
      <c r="F76" s="452"/>
      <c r="G76" s="458"/>
      <c r="H76" s="458"/>
      <c r="I76" s="452"/>
      <c r="J76" s="458"/>
      <c r="K76" s="458"/>
      <c r="L76" s="458"/>
      <c r="M76" s="458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spans="1:33" ht="9" customHeight="1">
      <c r="A77" s="449" t="s">
        <v>304</v>
      </c>
      <c r="B77" s="450"/>
      <c r="C77" s="457"/>
      <c r="D77" s="457"/>
      <c r="E77" s="458"/>
      <c r="F77" s="452"/>
      <c r="G77" s="458"/>
      <c r="H77" s="458"/>
      <c r="I77" s="452"/>
      <c r="J77" s="458"/>
      <c r="K77" s="458"/>
      <c r="L77" s="458"/>
      <c r="M77" s="458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spans="1:33" ht="9" customHeight="1">
      <c r="A78" s="451" t="s">
        <v>303</v>
      </c>
      <c r="B78" s="450"/>
      <c r="C78" s="457"/>
      <c r="D78" s="457"/>
      <c r="E78" s="458"/>
      <c r="F78" s="458"/>
      <c r="G78" s="458"/>
      <c r="H78" s="458"/>
      <c r="I78" s="458"/>
      <c r="J78" s="458"/>
      <c r="K78" s="458"/>
      <c r="L78" s="458"/>
      <c r="M78" s="458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spans="1:33" ht="13.25" customHeight="1">
      <c r="A79" s="9"/>
      <c r="B79" s="6"/>
      <c r="C79" s="6"/>
      <c r="D79" s="12"/>
      <c r="E79" s="12"/>
      <c r="F79" s="12"/>
      <c r="G79" s="12"/>
      <c r="H79" s="12"/>
      <c r="I79" s="12"/>
      <c r="J79" s="12"/>
      <c r="K79" s="12"/>
      <c r="L79" s="12"/>
      <c r="M79" s="12"/>
      <c r="T79" s="40"/>
      <c r="U79" s="40"/>
      <c r="V79" s="40"/>
      <c r="W79" s="40"/>
      <c r="X79" s="40"/>
      <c r="Y79" s="40"/>
      <c r="Z79" s="40"/>
      <c r="AA79" s="40"/>
    </row>
    <row r="80" spans="1:33" ht="13.25" customHeight="1">
      <c r="T80" s="40"/>
      <c r="U80" s="40"/>
      <c r="V80" s="40"/>
      <c r="W80" s="40"/>
      <c r="X80" s="40"/>
      <c r="Y80" s="40"/>
      <c r="Z80" s="40"/>
      <c r="AA80" s="40"/>
    </row>
    <row r="81" spans="1:27" ht="13.25" customHeight="1">
      <c r="A81" s="9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40"/>
      <c r="U81" s="40"/>
      <c r="V81" s="40"/>
      <c r="W81" s="40"/>
      <c r="X81" s="40"/>
      <c r="Y81" s="40"/>
      <c r="Z81" s="40"/>
      <c r="AA81" s="40"/>
    </row>
    <row r="82" spans="1:27" ht="13.25" customHeight="1">
      <c r="A82" s="9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3.25" customHeight="1">
      <c r="A83" s="9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3.25" customHeight="1"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3.25" customHeight="1"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3.25" customHeight="1"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3.25" customHeight="1"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3.25" customHeight="1"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3.25" customHeight="1">
      <c r="B89" s="6"/>
      <c r="C89" s="4"/>
      <c r="D89" s="4"/>
      <c r="E89" s="4"/>
      <c r="F89" s="4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3.25" customHeight="1">
      <c r="C90" s="4"/>
      <c r="D90" s="4"/>
      <c r="E90" s="4"/>
      <c r="F90" s="4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3.25" customHeight="1"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3.25" customHeight="1"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</sheetData>
  <mergeCells count="3">
    <mergeCell ref="A5:B5"/>
    <mergeCell ref="A59:B59"/>
    <mergeCell ref="A32:B32"/>
  </mergeCells>
  <phoneticPr fontId="2" type="noConversion"/>
  <printOptions horizontalCentered="1" verticalCentered="1"/>
  <pageMargins left="0.78740157480314965" right="0" top="0" bottom="0" header="0" footer="0"/>
  <pageSetup paperSize="9" scale="96" orientation="landscape" r:id="rId1"/>
  <headerFooter alignWithMargins="0"/>
  <rowBreaks count="2" manualBreakCount="2">
    <brk id="28" max="23" man="1"/>
    <brk id="55" max="23" man="1"/>
  </rowBreaks>
  <ignoredErrors>
    <ignoredError sqref="J5:Y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4" tint="-0.249977111117893"/>
  </sheetPr>
  <dimension ref="A1"/>
  <sheetViews>
    <sheetView showGridLines="0" zoomScaleNormal="100" workbookViewId="0"/>
  </sheetViews>
  <sheetFormatPr baseColWidth="10" defaultColWidth="11" defaultRowHeight="13.25" customHeight="1"/>
  <cols>
    <col min="1" max="16384" width="11" style="37"/>
  </cols>
  <sheetData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5" tint="0.39997558519241921"/>
  </sheetPr>
  <dimension ref="A1:S40"/>
  <sheetViews>
    <sheetView showGridLines="0" zoomScaleNormal="100" workbookViewId="0">
      <selection activeCell="D24" sqref="D24"/>
    </sheetView>
  </sheetViews>
  <sheetFormatPr baseColWidth="10" defaultColWidth="7" defaultRowHeight="13.25" customHeight="1"/>
  <cols>
    <col min="1" max="1" width="14" style="11" customWidth="1"/>
    <col min="2" max="9" width="10.3984375" style="11" customWidth="1"/>
    <col min="10" max="11" width="7" style="11"/>
    <col min="12" max="12" width="8.3984375" style="11" bestFit="1" customWidth="1"/>
    <col min="13" max="15" width="7" style="11"/>
    <col min="16" max="16" width="8.19921875" style="11" customWidth="1"/>
    <col min="17" max="16384" width="7" style="11"/>
  </cols>
  <sheetData>
    <row r="1" spans="1:19" ht="9.75" customHeight="1">
      <c r="A1" s="966"/>
      <c r="B1" s="58"/>
      <c r="C1" s="58"/>
      <c r="D1" s="58"/>
      <c r="E1" s="58"/>
      <c r="F1" s="58"/>
      <c r="G1" s="58"/>
      <c r="H1" s="58"/>
      <c r="I1" s="58"/>
    </row>
    <row r="2" spans="1:19" ht="17.25" customHeight="1">
      <c r="A2" s="161" t="s">
        <v>612</v>
      </c>
      <c r="B2" s="59"/>
      <c r="C2" s="59"/>
      <c r="D2" s="59"/>
      <c r="E2" s="59"/>
      <c r="F2" s="59"/>
      <c r="G2" s="59"/>
      <c r="H2" s="59"/>
      <c r="I2" s="59"/>
    </row>
    <row r="3" spans="1:19" s="167" customFormat="1" ht="13.25" customHeight="1">
      <c r="A3" s="165" t="s">
        <v>203</v>
      </c>
      <c r="B3" s="166"/>
      <c r="C3" s="166"/>
      <c r="D3" s="166"/>
      <c r="E3" s="166"/>
      <c r="F3" s="166"/>
      <c r="G3" s="166"/>
      <c r="H3" s="166"/>
      <c r="I3" s="166"/>
    </row>
    <row r="4" spans="1:19" ht="5" customHeight="1" thickBot="1">
      <c r="A4" s="60"/>
      <c r="B4" s="60"/>
      <c r="C4" s="60"/>
      <c r="D4" s="60"/>
      <c r="E4" s="60"/>
      <c r="F4" s="60"/>
      <c r="G4" s="60"/>
      <c r="H4" s="60"/>
      <c r="I4" s="60"/>
    </row>
    <row r="5" spans="1:19" ht="26" customHeight="1">
      <c r="A5" s="718" t="s">
        <v>16</v>
      </c>
      <c r="B5" s="718" t="s">
        <v>17</v>
      </c>
      <c r="C5" s="718" t="s">
        <v>9</v>
      </c>
      <c r="D5" s="718" t="s">
        <v>18</v>
      </c>
      <c r="E5" s="718" t="s">
        <v>8</v>
      </c>
      <c r="F5" s="718" t="s">
        <v>5</v>
      </c>
      <c r="G5" s="718" t="s">
        <v>6</v>
      </c>
      <c r="H5" s="718" t="s">
        <v>7</v>
      </c>
      <c r="I5" s="719" t="s">
        <v>422</v>
      </c>
    </row>
    <row r="6" spans="1:19" ht="18" customHeight="1">
      <c r="A6" s="717" t="s">
        <v>93</v>
      </c>
      <c r="B6" s="815">
        <f t="shared" ref="B6:H6" si="0">(B8+B9+B10+B11+B12+B16+B17+B18+B19+B20+B21+B22+B23+B24+B25+B26+B27+B28+B31+B32+B33+B34+B35+B36)</f>
        <v>194758710</v>
      </c>
      <c r="C6" s="815">
        <f t="shared" si="0"/>
        <v>4545820</v>
      </c>
      <c r="D6" s="815">
        <f t="shared" si="0"/>
        <v>1056907</v>
      </c>
      <c r="E6" s="815">
        <f t="shared" si="0"/>
        <v>1749263</v>
      </c>
      <c r="F6" s="815">
        <f t="shared" si="0"/>
        <v>11278083</v>
      </c>
      <c r="G6" s="815">
        <f t="shared" si="0"/>
        <v>3519668</v>
      </c>
      <c r="H6" s="815">
        <f t="shared" si="0"/>
        <v>5842166</v>
      </c>
      <c r="I6" s="815">
        <f t="shared" ref="I6" si="1">(I8+I9+I10+I11+I12+I16+I17+I18+I19+I20+I21+I22+I23+I24+I25+I26+I27+I28+I31+I32+I33+I34+I35+I36)</f>
        <v>933906.9905584493</v>
      </c>
      <c r="L6" s="264"/>
      <c r="M6" s="264"/>
      <c r="N6" s="264"/>
      <c r="O6" s="264"/>
      <c r="P6" s="264"/>
      <c r="Q6" s="264"/>
      <c r="R6" s="264"/>
      <c r="S6" s="264"/>
    </row>
    <row r="7" spans="1:19" ht="3" customHeight="1">
      <c r="A7" s="58"/>
      <c r="B7" s="264"/>
      <c r="C7" s="264"/>
      <c r="D7" s="264"/>
      <c r="E7" s="264"/>
      <c r="F7" s="264"/>
      <c r="G7" s="264"/>
      <c r="H7" s="264"/>
      <c r="I7" s="264"/>
    </row>
    <row r="8" spans="1:19" ht="15" customHeight="1">
      <c r="A8" s="26" t="s">
        <v>19</v>
      </c>
      <c r="B8" s="816">
        <f>+[2]Ave!Z9</f>
        <v>183726</v>
      </c>
      <c r="C8" s="816">
        <f>+[2]Alp!AA9</f>
        <v>0</v>
      </c>
      <c r="D8" s="816">
        <f>+[2]lla!Z9</f>
        <v>0</v>
      </c>
      <c r="E8" s="816">
        <f>+[2]Cap!Z9</f>
        <v>78919</v>
      </c>
      <c r="F8" s="816">
        <f>+[2]Ovi!Z9</f>
        <v>9937</v>
      </c>
      <c r="G8" s="816">
        <f>+[2]Por!Z9</f>
        <v>30138</v>
      </c>
      <c r="H8" s="816">
        <f>+[2]Vac!Z9</f>
        <v>20364</v>
      </c>
      <c r="I8" s="267">
        <f>+[3]Hoja1!C11</f>
        <v>314.33333333333331</v>
      </c>
    </row>
    <row r="9" spans="1:19" ht="15" customHeight="1">
      <c r="A9" s="26" t="s">
        <v>20</v>
      </c>
      <c r="B9" s="816">
        <f>+[2]Ave!Z10</f>
        <v>3987073</v>
      </c>
      <c r="C9" s="816">
        <f>+[2]Alp!AA10</f>
        <v>118</v>
      </c>
      <c r="D9" s="816">
        <f>+[2]lla!Z10</f>
        <v>0</v>
      </c>
      <c r="E9" s="816">
        <f>+[2]Cap!Z10</f>
        <v>323221</v>
      </c>
      <c r="F9" s="816">
        <f>+[2]Ovi!Z10</f>
        <v>243119</v>
      </c>
      <c r="G9" s="816">
        <f>+[2]Por!Z10</f>
        <v>178258</v>
      </c>
      <c r="H9" s="816">
        <f>+[2]Vac!Z10</f>
        <v>258181</v>
      </c>
      <c r="I9" s="267">
        <f>+[3]Hoja1!C14</f>
        <v>25670.095350957748</v>
      </c>
    </row>
    <row r="10" spans="1:19" ht="15" customHeight="1">
      <c r="A10" s="26" t="s">
        <v>21</v>
      </c>
      <c r="B10" s="816">
        <f>+[2]Ave!Z11</f>
        <v>2510903</v>
      </c>
      <c r="C10" s="816">
        <f>+[2]Alp!AA11</f>
        <v>0</v>
      </c>
      <c r="D10" s="816">
        <f>+[2]lla!Z11</f>
        <v>0</v>
      </c>
      <c r="E10" s="816">
        <f>+[2]Cap!Z11</f>
        <v>104933</v>
      </c>
      <c r="F10" s="816">
        <f>+[2]Ovi!Z11</f>
        <v>73114</v>
      </c>
      <c r="G10" s="816">
        <f>+[2]Por!Z11</f>
        <v>70216</v>
      </c>
      <c r="H10" s="816">
        <f>+[2]Vac!Z11</f>
        <v>112932</v>
      </c>
      <c r="I10" s="267">
        <f>+[3]Hoja1!C17</f>
        <v>18164.166666666668</v>
      </c>
    </row>
    <row r="11" spans="1:19" ht="15" customHeight="1">
      <c r="A11" s="63" t="s">
        <v>22</v>
      </c>
      <c r="B11" s="816">
        <f>+[2]Ave!Z12</f>
        <v>25756805</v>
      </c>
      <c r="C11" s="816">
        <f>+[2]Alp!AA12</f>
        <v>7669</v>
      </c>
      <c r="D11" s="816">
        <f>+[2]lla!Z12</f>
        <v>0</v>
      </c>
      <c r="E11" s="816">
        <f>+[2]Cap!Z12</f>
        <v>85406</v>
      </c>
      <c r="F11" s="816">
        <f>+[2]Ovi!Z12</f>
        <v>368772</v>
      </c>
      <c r="G11" s="816">
        <f>+[2]Por!Z12</f>
        <v>113846</v>
      </c>
      <c r="H11" s="816">
        <f>+[2]Vac!Z12</f>
        <v>234527</v>
      </c>
      <c r="I11" s="267">
        <f>+[3]Hoja1!C20</f>
        <v>58533.25</v>
      </c>
    </row>
    <row r="12" spans="1:19" ht="15" customHeight="1">
      <c r="A12" s="26" t="s">
        <v>23</v>
      </c>
      <c r="B12" s="816">
        <f>+[2]Ave!Z13</f>
        <v>899534</v>
      </c>
      <c r="C12" s="816">
        <f>+[2]Alp!AA13</f>
        <v>1206</v>
      </c>
      <c r="D12" s="816">
        <f>+[2]lla!Z13</f>
        <v>0</v>
      </c>
      <c r="E12" s="816">
        <f>+[2]Cap!Z13</f>
        <v>104655</v>
      </c>
      <c r="F12" s="816">
        <f>+[2]Ovi!Z13</f>
        <v>483612</v>
      </c>
      <c r="G12" s="816">
        <f>+[2]Por!Z13</f>
        <v>291070</v>
      </c>
      <c r="H12" s="816">
        <f>+[2]Vac!Z13</f>
        <v>662221</v>
      </c>
      <c r="I12" s="267">
        <f>+[3]Hoja1!C23</f>
        <v>170496.75</v>
      </c>
    </row>
    <row r="13" spans="1:19" ht="15" customHeight="1">
      <c r="A13" s="63" t="s">
        <v>24</v>
      </c>
      <c r="B13" s="816">
        <f>+[2]Ave!Z14</f>
        <v>380157</v>
      </c>
      <c r="C13" s="816">
        <f>+[2]Alp!AA14</f>
        <v>1206</v>
      </c>
      <c r="D13" s="816">
        <f>+[2]lla!Z14</f>
        <v>0</v>
      </c>
      <c r="E13" s="816">
        <f>+[2]Cap!Z14</f>
        <v>65783</v>
      </c>
      <c r="F13" s="816">
        <f>+[2]Ovi!Z14</f>
        <v>343627</v>
      </c>
      <c r="G13" s="816">
        <f>+[2]Por!Z14</f>
        <v>78064</v>
      </c>
      <c r="H13" s="816">
        <f>+[2]Vac!Z14</f>
        <v>265069</v>
      </c>
      <c r="I13" s="267">
        <f>+[3]Hoja1!C26</f>
        <v>99441</v>
      </c>
    </row>
    <row r="14" spans="1:19" ht="15" customHeight="1">
      <c r="A14" s="63" t="s">
        <v>25</v>
      </c>
      <c r="B14" s="816">
        <f>+[2]Ave!Z15</f>
        <v>211090</v>
      </c>
      <c r="C14" s="816">
        <f>+[2]Alp!AA15</f>
        <v>0</v>
      </c>
      <c r="D14" s="816">
        <f>+[2]lla!Z15</f>
        <v>0</v>
      </c>
      <c r="E14" s="816">
        <f>+[2]Cap!Z15</f>
        <v>20725</v>
      </c>
      <c r="F14" s="816">
        <f>+[2]Ovi!Z15</f>
        <v>102439</v>
      </c>
      <c r="G14" s="816">
        <f>+[2]Por!Z15</f>
        <v>102639</v>
      </c>
      <c r="H14" s="816">
        <f>+[2]Vac!Z15</f>
        <v>274372</v>
      </c>
      <c r="I14" s="267">
        <f>+[3]Hoja1!C29</f>
        <v>65188.416666666664</v>
      </c>
    </row>
    <row r="15" spans="1:19" ht="15" customHeight="1">
      <c r="A15" s="63" t="s">
        <v>26</v>
      </c>
      <c r="B15" s="816">
        <f>+[2]Ave!Z16</f>
        <v>308287</v>
      </c>
      <c r="C15" s="816">
        <f>+[2]Alp!AA16</f>
        <v>0</v>
      </c>
      <c r="D15" s="816">
        <f>+[2]lla!Z16</f>
        <v>0</v>
      </c>
      <c r="E15" s="816">
        <f>+[2]Cap!Z16</f>
        <v>18147</v>
      </c>
      <c r="F15" s="816">
        <f>+[2]Ovi!Z16</f>
        <v>37546</v>
      </c>
      <c r="G15" s="816">
        <f>+[2]Por!Z16</f>
        <v>110367</v>
      </c>
      <c r="H15" s="816">
        <f>+[2]Vac!Z16</f>
        <v>122780</v>
      </c>
      <c r="I15" s="267">
        <f>+[3]Hoja1!C32</f>
        <v>5867.333333333333</v>
      </c>
    </row>
    <row r="16" spans="1:19" ht="15" customHeight="1">
      <c r="A16" s="26" t="s">
        <v>27</v>
      </c>
      <c r="B16" s="816">
        <f>+[2]Ave!Z17</f>
        <v>1532411</v>
      </c>
      <c r="C16" s="816">
        <f>+[2]Alp!AA17</f>
        <v>0</v>
      </c>
      <c r="D16" s="816">
        <f>+[2]lla!Z17</f>
        <v>0</v>
      </c>
      <c r="E16" s="816">
        <f>+[2]Cap!Z17</f>
        <v>15675</v>
      </c>
      <c r="F16" s="816">
        <f>+[2]Ovi!Z17</f>
        <v>28823</v>
      </c>
      <c r="G16" s="816">
        <f>+[2]Por!Z17</f>
        <v>101595</v>
      </c>
      <c r="H16" s="816">
        <f>+[2]Vac!Z17</f>
        <v>405462</v>
      </c>
      <c r="I16" s="267">
        <f>+[3]Hoja1!C35</f>
        <v>81402.666666666672</v>
      </c>
    </row>
    <row r="17" spans="1:9" ht="15" customHeight="1">
      <c r="A17" s="63" t="s">
        <v>28</v>
      </c>
      <c r="B17" s="816">
        <f>+[2]Ave!Z18</f>
        <v>2756581</v>
      </c>
      <c r="C17" s="816">
        <f>+[2]Alp!AA18</f>
        <v>11114</v>
      </c>
      <c r="D17" s="816">
        <f>+[2]lla!Z18</f>
        <v>0</v>
      </c>
      <c r="E17" s="816">
        <f>+[2]Cap!Z18</f>
        <v>168104</v>
      </c>
      <c r="F17" s="816">
        <f>+[2]Ovi!Z18</f>
        <v>671255</v>
      </c>
      <c r="G17" s="816">
        <f>+[2]Por!Z18</f>
        <v>195378</v>
      </c>
      <c r="H17" s="816">
        <f>+[2]Vac!Z18</f>
        <v>307203</v>
      </c>
      <c r="I17" s="267">
        <f>+[3]Hoja1!C38</f>
        <v>19937</v>
      </c>
    </row>
    <row r="18" spans="1:9" ht="15" customHeight="1">
      <c r="A18" s="63" t="s">
        <v>381</v>
      </c>
      <c r="B18" s="816">
        <f>+[2]Ave!Z19</f>
        <v>95986273</v>
      </c>
      <c r="C18" s="816">
        <f>+[2]Alp!AA19</f>
        <v>48722</v>
      </c>
      <c r="D18" s="816">
        <f>+[2]lla!Z19</f>
        <v>17886</v>
      </c>
      <c r="E18" s="816">
        <f>+[2]Cap!Z19</f>
        <v>160346</v>
      </c>
      <c r="F18" s="816">
        <f>+[2]Ovi!Z19</f>
        <v>320363</v>
      </c>
      <c r="G18" s="816">
        <f>+[2]Por!Z19</f>
        <v>505821</v>
      </c>
      <c r="H18" s="816">
        <f>+[2]Vac!Z19</f>
        <v>269830</v>
      </c>
      <c r="I18" s="267">
        <f>+[3]Hoja1!C41</f>
        <v>74349.171666666662</v>
      </c>
    </row>
    <row r="19" spans="1:9" ht="15" customHeight="1">
      <c r="A19" s="26" t="s">
        <v>30</v>
      </c>
      <c r="B19" s="816">
        <f>+[2]Ave!Z20</f>
        <v>17289061</v>
      </c>
      <c r="C19" s="816">
        <f>+[2]Alp!AA20</f>
        <v>0</v>
      </c>
      <c r="D19" s="816">
        <f>+[2]lla!Z20</f>
        <v>0</v>
      </c>
      <c r="E19" s="816">
        <f>+[2]Cap!Z20</f>
        <v>79929</v>
      </c>
      <c r="F19" s="816">
        <f>+[2]Ovi!Z20</f>
        <v>29991</v>
      </c>
      <c r="G19" s="816">
        <f>+[2]Por!Z20</f>
        <v>206409</v>
      </c>
      <c r="H19" s="816">
        <f>+[2]Vac!Z20</f>
        <v>56209</v>
      </c>
      <c r="I19" s="267">
        <f>+[3]Hoja1!C44</f>
        <v>19764.083333333332</v>
      </c>
    </row>
    <row r="20" spans="1:9" ht="15" customHeight="1">
      <c r="A20" s="26" t="s">
        <v>31</v>
      </c>
      <c r="B20" s="816">
        <f>+[2]Ave!Z21</f>
        <v>1750227</v>
      </c>
      <c r="C20" s="816">
        <f>+[2]Alp!AA21</f>
        <v>6932</v>
      </c>
      <c r="D20" s="816">
        <f>+[2]lla!Z21</f>
        <v>3570</v>
      </c>
      <c r="E20" s="816">
        <f>+[2]Cap!Z21</f>
        <v>101634</v>
      </c>
      <c r="F20" s="816">
        <f>+[2]Ovi!Z21</f>
        <v>527045</v>
      </c>
      <c r="G20" s="816">
        <f>+[2]Por!Z21</f>
        <v>402369</v>
      </c>
      <c r="H20" s="816">
        <f>+[2]Vac!Z21</f>
        <v>287557</v>
      </c>
      <c r="I20" s="267">
        <f>+[3]Hoja1!C47</f>
        <v>42467.666666666664</v>
      </c>
    </row>
    <row r="21" spans="1:9" ht="15" customHeight="1">
      <c r="A21" s="26" t="s">
        <v>32</v>
      </c>
      <c r="B21" s="816">
        <f>+[2]Ave!Z22</f>
        <v>136729</v>
      </c>
      <c r="C21" s="816">
        <f>+[2]Alp!AA22</f>
        <v>132253</v>
      </c>
      <c r="D21" s="816">
        <f>+[2]lla!Z22</f>
        <v>45686</v>
      </c>
      <c r="E21" s="816">
        <f>+[2]Cap!Z22</f>
        <v>6402</v>
      </c>
      <c r="F21" s="816">
        <f>+[2]Ovi!Z22</f>
        <v>682406</v>
      </c>
      <c r="G21" s="816">
        <f>+[2]Por!Z22</f>
        <v>54128</v>
      </c>
      <c r="H21" s="816">
        <f>+[2]Vac!Z22</f>
        <v>117698</v>
      </c>
      <c r="I21" s="267">
        <f>+[3]Hoja1!C60</f>
        <v>32505.405277135305</v>
      </c>
    </row>
    <row r="22" spans="1:9" ht="15" customHeight="1">
      <c r="A22" s="26" t="s">
        <v>33</v>
      </c>
      <c r="B22" s="816">
        <f>+[2]Ave!Z23</f>
        <v>2560292</v>
      </c>
      <c r="C22" s="816">
        <f>+[2]Alp!AA23</f>
        <v>124380</v>
      </c>
      <c r="D22" s="816">
        <f>+[2]lla!Z23</f>
        <v>72513</v>
      </c>
      <c r="E22" s="816">
        <f>+[2]Cap!Z23</f>
        <v>16063</v>
      </c>
      <c r="F22" s="816">
        <f>+[2]Ovi!Z23</f>
        <v>1751173</v>
      </c>
      <c r="G22" s="816">
        <f>+[2]Por!Z23</f>
        <v>205337</v>
      </c>
      <c r="H22" s="816">
        <f>+[2]Vac!Z23</f>
        <v>343821</v>
      </c>
      <c r="I22" s="267">
        <f>+[3]Hoja1!C63</f>
        <v>41903</v>
      </c>
    </row>
    <row r="23" spans="1:9" ht="15" customHeight="1">
      <c r="A23" s="26" t="s">
        <v>34</v>
      </c>
      <c r="B23" s="816">
        <f>+[2]Ave!Z24</f>
        <v>385113</v>
      </c>
      <c r="C23" s="816">
        <f>+[2]Alp!AA24</f>
        <v>268724</v>
      </c>
      <c r="D23" s="816">
        <f>+[2]lla!Z24</f>
        <v>130683</v>
      </c>
      <c r="E23" s="816">
        <f>+[2]Cap!Z24</f>
        <v>187149</v>
      </c>
      <c r="F23" s="816">
        <f>+[2]Ovi!Z24</f>
        <v>622856</v>
      </c>
      <c r="G23" s="816">
        <f>+[2]Por!Z24</f>
        <v>156236</v>
      </c>
      <c r="H23" s="816">
        <f>+[2]Vac!Z24</f>
        <v>177820</v>
      </c>
      <c r="I23" s="267">
        <f>+[3]Hoja1!C66</f>
        <v>12742.75</v>
      </c>
    </row>
    <row r="24" spans="1:9" ht="15" customHeight="1">
      <c r="A24" s="63" t="s">
        <v>35</v>
      </c>
      <c r="B24" s="816">
        <f>+[2]Ave!Z25</f>
        <v>18305583</v>
      </c>
      <c r="C24" s="816">
        <f>+[2]Alp!AA25</f>
        <v>487250</v>
      </c>
      <c r="D24" s="816">
        <f>+[2]lla!Z25</f>
        <v>97639</v>
      </c>
      <c r="E24" s="816">
        <f>+[2]Cap!Z25</f>
        <v>29379</v>
      </c>
      <c r="F24" s="816">
        <f>+[2]Ovi!Z25</f>
        <v>200495</v>
      </c>
      <c r="G24" s="816">
        <f>+[2]Por!Z25</f>
        <v>133853</v>
      </c>
      <c r="H24" s="816">
        <f>+[2]Vac!Z25</f>
        <v>215870</v>
      </c>
      <c r="I24" s="267">
        <f>+[3]Hoja1!C69</f>
        <v>64832.916666666664</v>
      </c>
    </row>
    <row r="25" spans="1:9" ht="15" customHeight="1">
      <c r="A25" s="26" t="s">
        <v>36</v>
      </c>
      <c r="B25" s="816">
        <f>+[2]Ave!Z26</f>
        <v>63294</v>
      </c>
      <c r="C25" s="816">
        <f>+[2]Alp!AA26</f>
        <v>145767</v>
      </c>
      <c r="D25" s="816">
        <f>+[2]lla!Z26</f>
        <v>37812</v>
      </c>
      <c r="E25" s="816">
        <f>+[2]Cap!Z26</f>
        <v>8299</v>
      </c>
      <c r="F25" s="816">
        <f>+[2]Ovi!Z26</f>
        <v>48013</v>
      </c>
      <c r="G25" s="816">
        <f>+[2]Por!Z26</f>
        <v>13189</v>
      </c>
      <c r="H25" s="816">
        <f>+[2]Vac!Z26</f>
        <v>23187</v>
      </c>
      <c r="I25" s="267">
        <f>+[3]Hoja1!C72</f>
        <v>5771.9375567614625</v>
      </c>
    </row>
    <row r="26" spans="1:9" ht="15" customHeight="1">
      <c r="A26" s="26" t="s">
        <v>37</v>
      </c>
      <c r="B26" s="816">
        <f>+[2]Ave!Z27</f>
        <v>1190149</v>
      </c>
      <c r="C26" s="816">
        <f>+[2]Alp!AA27</f>
        <v>79882</v>
      </c>
      <c r="D26" s="816">
        <f>+[2]lla!Z27</f>
        <v>27860</v>
      </c>
      <c r="E26" s="816">
        <f>+[2]Cap!Z27</f>
        <v>17006</v>
      </c>
      <c r="F26" s="816">
        <f>+[2]Ovi!Z27</f>
        <v>35840</v>
      </c>
      <c r="G26" s="816">
        <f>+[2]Por!Z27</f>
        <v>38937</v>
      </c>
      <c r="H26" s="816">
        <f>+[2]Vac!Z27</f>
        <v>18974</v>
      </c>
      <c r="I26" s="267">
        <f>+[3]Hoja1!C75</f>
        <v>5459.8375000000005</v>
      </c>
    </row>
    <row r="27" spans="1:9" ht="15" customHeight="1">
      <c r="A27" s="26" t="s">
        <v>38</v>
      </c>
      <c r="B27" s="816">
        <f>+[2]Ave!Z28</f>
        <v>576207</v>
      </c>
      <c r="C27" s="816">
        <f>+[2]Alp!AA28</f>
        <v>323317</v>
      </c>
      <c r="D27" s="816">
        <f>+[2]lla!Z28</f>
        <v>79048</v>
      </c>
      <c r="E27" s="816">
        <f>+[2]Cap!Z28</f>
        <v>134961</v>
      </c>
      <c r="F27" s="816">
        <f>+[2]Ovi!Z28</f>
        <v>605887</v>
      </c>
      <c r="G27" s="816">
        <f>+[2]Por!Z28</f>
        <v>120620</v>
      </c>
      <c r="H27" s="816">
        <f>+[2]Vac!Z28</f>
        <v>430462</v>
      </c>
      <c r="I27" s="267">
        <f>+[3]Hoja1!C78</f>
        <v>28580.216666666664</v>
      </c>
    </row>
    <row r="28" spans="1:9" ht="15" customHeight="1">
      <c r="A28" s="63" t="s">
        <v>39</v>
      </c>
      <c r="B28" s="816">
        <f>+[2]Ave!Z29</f>
        <v>304190</v>
      </c>
      <c r="C28" s="816">
        <f>+[2]Alp!AA29</f>
        <v>213451</v>
      </c>
      <c r="D28" s="816">
        <f>+[2]lla!Z29</f>
        <v>73490</v>
      </c>
      <c r="E28" s="816">
        <f>+[2]Cap!Z29</f>
        <v>104351</v>
      </c>
      <c r="F28" s="816">
        <f>+[2]Ovi!Z29</f>
        <v>454520</v>
      </c>
      <c r="G28" s="816">
        <f>+[2]Por!Z29</f>
        <v>137124</v>
      </c>
      <c r="H28" s="816">
        <f>+[2]Vac!Z29</f>
        <v>292266</v>
      </c>
      <c r="I28" s="267">
        <f>+[3]Hoja1!C81</f>
        <v>28414.916666666668</v>
      </c>
    </row>
    <row r="29" spans="1:9" ht="15" customHeight="1">
      <c r="A29" s="63" t="s">
        <v>40</v>
      </c>
      <c r="B29" s="816">
        <f>+[2]Ave!Z30</f>
        <v>186221</v>
      </c>
      <c r="C29" s="816">
        <f>+[2]Alp!AA30</f>
        <v>192829</v>
      </c>
      <c r="D29" s="816">
        <f>+[2]lla!Z30</f>
        <v>55123</v>
      </c>
      <c r="E29" s="816">
        <f>+[2]Cap!Z30</f>
        <v>51378</v>
      </c>
      <c r="F29" s="816">
        <f>+[2]Ovi!Z30</f>
        <v>311289</v>
      </c>
      <c r="G29" s="816">
        <f>+[2]Por!Z30</f>
        <v>48361</v>
      </c>
      <c r="H29" s="816">
        <f>+[2]Vac!Z30</f>
        <v>187569</v>
      </c>
      <c r="I29" s="267">
        <f>+[3]Hoja1!C84</f>
        <v>17412.666666666668</v>
      </c>
    </row>
    <row r="30" spans="1:9" ht="15" customHeight="1">
      <c r="A30" s="63" t="s">
        <v>41</v>
      </c>
      <c r="B30" s="816">
        <f>+[2]Ave!Z31</f>
        <v>117969</v>
      </c>
      <c r="C30" s="816">
        <f>+[2]Alp!AA31</f>
        <v>20622</v>
      </c>
      <c r="D30" s="816">
        <f>+[2]lla!Z31</f>
        <v>18367</v>
      </c>
      <c r="E30" s="816">
        <f>+[2]Cap!Z31</f>
        <v>52973</v>
      </c>
      <c r="F30" s="816">
        <f>+[2]Ovi!Z31</f>
        <v>143231</v>
      </c>
      <c r="G30" s="816">
        <f>+[2]Por!Z31</f>
        <v>88763</v>
      </c>
      <c r="H30" s="816">
        <f>+[2]Vac!Z31</f>
        <v>104697</v>
      </c>
      <c r="I30" s="267">
        <f>+[3]Hoja1!C87</f>
        <v>11002.25</v>
      </c>
    </row>
    <row r="31" spans="1:9" ht="15" customHeight="1">
      <c r="A31" s="26" t="s">
        <v>42</v>
      </c>
      <c r="B31" s="816">
        <f>+[2]Ave!Z32</f>
        <v>1204044</v>
      </c>
      <c r="C31" s="816">
        <f>+[2]Alp!AA32</f>
        <v>677045</v>
      </c>
      <c r="D31" s="816">
        <f>+[2]lla!Z32</f>
        <v>138750</v>
      </c>
      <c r="E31" s="816">
        <f>+[2]Cap!Z32</f>
        <v>22168</v>
      </c>
      <c r="F31" s="816">
        <f>+[2]Ovi!Z32</f>
        <v>1392545</v>
      </c>
      <c r="G31" s="816">
        <f>+[2]Por!Z32</f>
        <v>122046</v>
      </c>
      <c r="H31" s="816">
        <f>+[2]Vac!Z32</f>
        <v>443245</v>
      </c>
      <c r="I31" s="267">
        <f>+[3]Hoja1!C90</f>
        <v>81970.133333333331</v>
      </c>
    </row>
    <row r="32" spans="1:9" ht="15" customHeight="1">
      <c r="A32" s="26" t="s">
        <v>43</v>
      </c>
      <c r="B32" s="816">
        <f>+[2]Ave!Z33</f>
        <v>1549260</v>
      </c>
      <c r="C32" s="816">
        <f>+[2]Alp!AA33</f>
        <v>2017990</v>
      </c>
      <c r="D32" s="816">
        <f>+[2]lla!Z33</f>
        <v>331970</v>
      </c>
      <c r="E32" s="816">
        <f>+[2]Cap!Z33</f>
        <v>0</v>
      </c>
      <c r="F32" s="816">
        <f>+[2]Ovi!Z33</f>
        <v>2695590</v>
      </c>
      <c r="G32" s="816">
        <f>+[2]Por!Z33</f>
        <v>120010</v>
      </c>
      <c r="H32" s="816">
        <f>+[2]Vac!Z33</f>
        <v>746265</v>
      </c>
      <c r="I32" s="267">
        <f>+[3]Hoja1!C93</f>
        <v>95466.25</v>
      </c>
    </row>
    <row r="33" spans="1:9" ht="15" customHeight="1">
      <c r="A33" s="11" t="s">
        <v>44</v>
      </c>
      <c r="B33" s="816">
        <f>+[2]Ave!Z34</f>
        <v>4907574</v>
      </c>
      <c r="C33" s="816">
        <f>+[2]Alp!AA34</f>
        <v>0</v>
      </c>
      <c r="D33" s="816">
        <f>+[2]lla!Z34</f>
        <v>0</v>
      </c>
      <c r="E33" s="816">
        <f>+[2]Cap!Z34</f>
        <v>0</v>
      </c>
      <c r="F33" s="816">
        <f>+[2]Ovi!Z34</f>
        <v>9134</v>
      </c>
      <c r="G33" s="816">
        <f>+[2]Por!Z34</f>
        <v>179557</v>
      </c>
      <c r="H33" s="816">
        <f>+[2]Vac!Z34</f>
        <v>216646</v>
      </c>
      <c r="I33" s="267">
        <f>+[3]Hoja1!C96</f>
        <v>20404.276540261602</v>
      </c>
    </row>
    <row r="34" spans="1:9" ht="15" customHeight="1">
      <c r="A34" s="11" t="s">
        <v>45</v>
      </c>
      <c r="B34" s="816">
        <f>+[2]Ave!Z35</f>
        <v>4195254</v>
      </c>
      <c r="C34" s="816">
        <f>+[2]Alp!AA35</f>
        <v>0</v>
      </c>
      <c r="D34" s="816">
        <f>+[2]lla!Z35</f>
        <v>0</v>
      </c>
      <c r="E34" s="816">
        <f>+[2]Cap!Z35</f>
        <v>227</v>
      </c>
      <c r="F34" s="816">
        <f>+[2]Ovi!Z35</f>
        <v>11274</v>
      </c>
      <c r="G34" s="816">
        <f>+[2]Por!Z35</f>
        <v>84245</v>
      </c>
      <c r="H34" s="816">
        <f>+[2]Vac!Z35</f>
        <v>75963</v>
      </c>
      <c r="I34" s="267">
        <f>+[3]Hoja1!C99</f>
        <v>1134.1666666666667</v>
      </c>
    </row>
    <row r="35" spans="1:9" ht="15" customHeight="1">
      <c r="A35" s="63" t="s">
        <v>46</v>
      </c>
      <c r="B35" s="816">
        <f>+[2]Ave!Z36</f>
        <v>6230589</v>
      </c>
      <c r="C35" s="816">
        <f>+[2]Alp!AA36</f>
        <v>0</v>
      </c>
      <c r="D35" s="816">
        <f>+[2]lla!Z36</f>
        <v>0</v>
      </c>
      <c r="E35" s="816">
        <f>+[2]Cap!Z36</f>
        <v>194</v>
      </c>
      <c r="F35" s="816">
        <f>+[2]Ovi!Z36</f>
        <v>8195</v>
      </c>
      <c r="G35" s="816">
        <f>+[2]Por!Z36</f>
        <v>46211</v>
      </c>
      <c r="H35" s="816">
        <f>+[2]Vac!Z36</f>
        <v>65346</v>
      </c>
      <c r="I35" s="267">
        <f>+[3]Hoja1!C102</f>
        <v>2711.5</v>
      </c>
    </row>
    <row r="36" spans="1:9" ht="15" customHeight="1" thickBot="1">
      <c r="A36" s="420" t="s">
        <v>47</v>
      </c>
      <c r="B36" s="817">
        <f>+[2]Ave!Z37</f>
        <v>497838</v>
      </c>
      <c r="C36" s="817">
        <f>+[2]Alp!AA37</f>
        <v>0</v>
      </c>
      <c r="D36" s="817">
        <f>+[2]lla!Z37</f>
        <v>0</v>
      </c>
      <c r="E36" s="817">
        <f>+[2]Cap!Z37</f>
        <v>242</v>
      </c>
      <c r="F36" s="817">
        <f>+[2]Ovi!Z37</f>
        <v>4124</v>
      </c>
      <c r="G36" s="817">
        <f>+[2]Por!Z37</f>
        <v>13075</v>
      </c>
      <c r="H36" s="817">
        <f>+[2]Vac!Z37</f>
        <v>60117</v>
      </c>
      <c r="I36" s="482">
        <f>+[3]Hoja1!C105</f>
        <v>910.5</v>
      </c>
    </row>
    <row r="37" spans="1:9" ht="9" customHeight="1">
      <c r="A37" s="449" t="s">
        <v>330</v>
      </c>
      <c r="B37" s="451"/>
      <c r="C37" s="451"/>
      <c r="D37" s="451"/>
      <c r="F37" s="63"/>
    </row>
    <row r="38" spans="1:9" ht="9" customHeight="1">
      <c r="A38" s="449" t="s">
        <v>304</v>
      </c>
      <c r="B38" s="451"/>
      <c r="C38" s="451"/>
      <c r="D38" s="451"/>
    </row>
    <row r="39" spans="1:9" ht="9" customHeight="1">
      <c r="A39" s="451" t="s">
        <v>303</v>
      </c>
      <c r="B39" s="456"/>
      <c r="C39" s="456"/>
      <c r="D39" s="456"/>
      <c r="E39" s="65"/>
      <c r="F39" s="65"/>
      <c r="G39" s="65"/>
      <c r="H39" s="65"/>
      <c r="I39" s="65"/>
    </row>
    <row r="40" spans="1:9" ht="13.25" customHeight="1">
      <c r="B40" s="58"/>
      <c r="C40" s="58"/>
      <c r="D40" s="58"/>
      <c r="E40" s="58"/>
      <c r="F40" s="58"/>
      <c r="G40" s="58"/>
      <c r="H40" s="58"/>
      <c r="I40" s="58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1" transitionEvaluation="1" transitionEntry="1" codeName="Hoja5">
    <tabColor theme="9" tint="0.59999389629810485"/>
  </sheetPr>
  <dimension ref="A1:AD68"/>
  <sheetViews>
    <sheetView showGridLines="0" zoomScaleNormal="100" workbookViewId="0">
      <selection activeCell="P42" sqref="P42"/>
    </sheetView>
  </sheetViews>
  <sheetFormatPr baseColWidth="10" defaultColWidth="7" defaultRowHeight="13.25" customHeight="1"/>
  <cols>
    <col min="1" max="1" width="12" style="159" customWidth="1"/>
    <col min="2" max="2" width="16.19921875" style="159" customWidth="1"/>
    <col min="3" max="9" width="7.3984375" style="159" hidden="1" customWidth="1"/>
    <col min="10" max="18" width="9" style="159" customWidth="1"/>
    <col min="19" max="19" width="11" style="159" customWidth="1"/>
    <col min="20" max="20" width="16.19921875" style="159" bestFit="1" customWidth="1"/>
    <col min="21" max="29" width="8.3984375" style="159" customWidth="1"/>
    <col min="30" max="30" width="6.59765625" style="159" customWidth="1"/>
    <col min="31" max="16384" width="7" style="159"/>
  </cols>
  <sheetData>
    <row r="1" spans="1:30" ht="9" customHeight="1"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</row>
    <row r="2" spans="1:30" ht="12" customHeight="1">
      <c r="A2" s="170" t="s">
        <v>424</v>
      </c>
      <c r="B2" s="831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</row>
    <row r="3" spans="1:30" ht="12" customHeight="1">
      <c r="A3" s="170" t="s">
        <v>470</v>
      </c>
      <c r="B3" s="832"/>
      <c r="M3" s="160"/>
      <c r="N3" s="160"/>
      <c r="O3" s="160"/>
      <c r="P3" s="160"/>
      <c r="Q3" s="160"/>
      <c r="R3" s="160"/>
      <c r="S3" s="830" t="s">
        <v>426</v>
      </c>
      <c r="T3" s="160"/>
      <c r="U3" s="160"/>
      <c r="V3" s="160"/>
      <c r="W3" s="160"/>
      <c r="X3" s="160"/>
    </row>
    <row r="4" spans="1:30" ht="6" customHeight="1" thickBot="1">
      <c r="A4" s="828"/>
      <c r="B4" s="828"/>
      <c r="C4" s="828"/>
      <c r="D4" s="828"/>
      <c r="E4" s="828"/>
      <c r="F4" s="828"/>
      <c r="G4" s="828"/>
      <c r="H4" s="828"/>
      <c r="I4" s="828"/>
      <c r="J4" s="828"/>
      <c r="K4" s="828"/>
      <c r="L4" s="828"/>
      <c r="M4" s="828"/>
      <c r="N4" s="828"/>
      <c r="O4" s="828"/>
      <c r="P4" s="828"/>
      <c r="Q4" s="828"/>
      <c r="R4" s="828"/>
      <c r="S4" s="828"/>
      <c r="T4" s="828"/>
      <c r="U4" s="828"/>
      <c r="V4" s="828"/>
      <c r="W4" s="828"/>
      <c r="X4" s="828"/>
    </row>
    <row r="5" spans="1:30" ht="24" customHeight="1">
      <c r="A5" s="720" t="s">
        <v>331</v>
      </c>
      <c r="B5" s="721" t="s">
        <v>51</v>
      </c>
      <c r="C5" s="721">
        <v>2000</v>
      </c>
      <c r="D5" s="721">
        <v>2001</v>
      </c>
      <c r="E5" s="721">
        <v>2002</v>
      </c>
      <c r="F5" s="721">
        <v>2003</v>
      </c>
      <c r="G5" s="721">
        <v>2004</v>
      </c>
      <c r="H5" s="721">
        <v>2005</v>
      </c>
      <c r="I5" s="721">
        <v>2006</v>
      </c>
      <c r="J5" s="721">
        <v>2007</v>
      </c>
      <c r="K5" s="721">
        <v>2008</v>
      </c>
      <c r="L5" s="721">
        <v>2009</v>
      </c>
      <c r="M5" s="721">
        <v>2010</v>
      </c>
      <c r="N5" s="721">
        <v>2011</v>
      </c>
      <c r="O5" s="721">
        <v>2012</v>
      </c>
      <c r="P5" s="721">
        <v>2013</v>
      </c>
      <c r="Q5" s="721">
        <v>2014</v>
      </c>
      <c r="R5" s="721">
        <v>2015</v>
      </c>
      <c r="S5" s="720" t="s">
        <v>331</v>
      </c>
      <c r="T5" s="721" t="s">
        <v>51</v>
      </c>
      <c r="U5" s="721">
        <v>2016</v>
      </c>
      <c r="V5" s="715">
        <v>2017</v>
      </c>
      <c r="W5" s="722" t="s">
        <v>180</v>
      </c>
      <c r="X5" s="722" t="s">
        <v>296</v>
      </c>
      <c r="Y5" s="722">
        <v>2020</v>
      </c>
      <c r="Z5" s="722">
        <v>2021</v>
      </c>
      <c r="AA5" s="722" t="s">
        <v>396</v>
      </c>
      <c r="AB5" s="722" t="s">
        <v>459</v>
      </c>
      <c r="AC5" s="722" t="s">
        <v>471</v>
      </c>
    </row>
    <row r="6" spans="1:30" ht="13" customHeight="1">
      <c r="B6" s="825" t="s">
        <v>49</v>
      </c>
      <c r="C6" s="160">
        <v>88010358</v>
      </c>
      <c r="D6" s="160">
        <v>85621159</v>
      </c>
      <c r="E6" s="160">
        <v>90354182</v>
      </c>
      <c r="F6" s="160">
        <v>92846109</v>
      </c>
      <c r="G6" s="160">
        <v>97761003</v>
      </c>
      <c r="H6" s="160">
        <v>99278818</v>
      </c>
      <c r="I6" s="160">
        <v>117976702</v>
      </c>
      <c r="J6" s="160">
        <v>120227.6</v>
      </c>
      <c r="K6" s="160">
        <v>131179.1</v>
      </c>
      <c r="L6" s="160">
        <v>137838</v>
      </c>
      <c r="M6" s="160">
        <v>130779</v>
      </c>
      <c r="N6" s="160">
        <v>128943.5</v>
      </c>
      <c r="O6" s="160">
        <v>138554.1</v>
      </c>
      <c r="P6" s="160">
        <v>138179.79999999999</v>
      </c>
      <c r="Q6" s="160">
        <v>144703.70000000001</v>
      </c>
      <c r="R6" s="160">
        <v>151000.9</v>
      </c>
      <c r="T6" s="825" t="s">
        <v>49</v>
      </c>
      <c r="U6" s="723">
        <v>158263.24</v>
      </c>
      <c r="V6" s="723">
        <v>156637.69399999999</v>
      </c>
      <c r="W6" s="723">
        <v>160959.31899999999</v>
      </c>
      <c r="X6" s="723">
        <v>168173</v>
      </c>
      <c r="Y6" s="723">
        <v>178159.63</v>
      </c>
      <c r="Z6" s="723">
        <v>189375.87400000001</v>
      </c>
      <c r="AA6" s="723">
        <v>190882.614</v>
      </c>
      <c r="AB6" s="723">
        <v>191690.902</v>
      </c>
      <c r="AC6" s="723">
        <v>194758.71</v>
      </c>
      <c r="AD6" s="569"/>
    </row>
    <row r="7" spans="1:30" ht="13" customHeight="1">
      <c r="B7" s="825" t="s">
        <v>198</v>
      </c>
      <c r="C7" s="160">
        <v>283733046</v>
      </c>
      <c r="D7" s="160">
        <v>287860594</v>
      </c>
      <c r="E7" s="160">
        <v>307094298</v>
      </c>
      <c r="F7" s="160">
        <v>310943489</v>
      </c>
      <c r="G7" s="160">
        <v>308485309</v>
      </c>
      <c r="H7" s="160">
        <v>342073628</v>
      </c>
      <c r="I7" s="160">
        <v>368545799</v>
      </c>
      <c r="J7" s="723">
        <v>394749.6</v>
      </c>
      <c r="K7" s="723">
        <v>435909.3</v>
      </c>
      <c r="L7" s="723">
        <v>476340.3</v>
      </c>
      <c r="M7" s="723">
        <v>504986.8</v>
      </c>
      <c r="N7" s="723">
        <v>535421.1</v>
      </c>
      <c r="O7" s="723">
        <v>575566.4</v>
      </c>
      <c r="P7" s="723">
        <v>594004.19999999995</v>
      </c>
      <c r="Q7" s="723">
        <v>621140.1</v>
      </c>
      <c r="R7" s="723">
        <v>645016.19999999995</v>
      </c>
      <c r="T7" s="825" t="s">
        <v>198</v>
      </c>
      <c r="U7" s="723">
        <v>690892.3</v>
      </c>
      <c r="V7" s="723">
        <v>709233</v>
      </c>
      <c r="W7" s="723">
        <v>755841.1</v>
      </c>
      <c r="X7" s="723">
        <v>786256.9</v>
      </c>
      <c r="Y7" s="723">
        <v>753602.3</v>
      </c>
      <c r="Z7" s="723">
        <v>776641.2</v>
      </c>
      <c r="AA7" s="723">
        <v>803595.9</v>
      </c>
      <c r="AB7" s="723">
        <v>789754.21600000001</v>
      </c>
      <c r="AC7" s="723">
        <v>826762.06</v>
      </c>
      <c r="AD7" s="723"/>
    </row>
    <row r="8" spans="1:30" ht="13" customHeight="1">
      <c r="A8" s="809" t="s">
        <v>17</v>
      </c>
      <c r="B8" s="825" t="s">
        <v>360</v>
      </c>
      <c r="C8" s="160">
        <v>510161</v>
      </c>
      <c r="D8" s="160">
        <v>518010</v>
      </c>
      <c r="E8" s="160">
        <v>556076</v>
      </c>
      <c r="F8" s="160">
        <v>577989</v>
      </c>
      <c r="G8" s="160">
        <v>578693</v>
      </c>
      <c r="H8" s="160">
        <v>650296</v>
      </c>
      <c r="I8" s="160">
        <v>710428</v>
      </c>
      <c r="J8" s="160">
        <v>770444</v>
      </c>
      <c r="K8" s="160">
        <v>877171</v>
      </c>
      <c r="L8" s="160">
        <v>964407</v>
      </c>
      <c r="M8" s="160">
        <v>1019935</v>
      </c>
      <c r="N8" s="160">
        <v>1108345</v>
      </c>
      <c r="O8" s="160">
        <v>1211140</v>
      </c>
      <c r="P8" s="160">
        <v>1254348</v>
      </c>
      <c r="Q8" s="160">
        <v>1317426</v>
      </c>
      <c r="R8" s="160">
        <v>1423586</v>
      </c>
      <c r="S8" s="809" t="s">
        <v>17</v>
      </c>
      <c r="T8" s="825" t="s">
        <v>360</v>
      </c>
      <c r="U8" s="160">
        <v>1513950</v>
      </c>
      <c r="V8" s="160">
        <v>1569280</v>
      </c>
      <c r="W8" s="160">
        <v>1687636</v>
      </c>
      <c r="X8" s="160">
        <v>1762855.6472725368</v>
      </c>
      <c r="Y8" s="160">
        <v>1723497.4685835254</v>
      </c>
      <c r="Z8" s="160">
        <v>1751607.8070422972</v>
      </c>
      <c r="AA8" s="160">
        <v>1801776.2924394486</v>
      </c>
      <c r="AB8" s="160">
        <v>1781472.7335225621</v>
      </c>
      <c r="AC8" s="160">
        <v>1859237.5675774855</v>
      </c>
      <c r="AD8" s="570"/>
    </row>
    <row r="9" spans="1:30" ht="13" customHeight="1">
      <c r="A9" s="809"/>
      <c r="B9" s="825" t="s">
        <v>361</v>
      </c>
      <c r="C9" s="724">
        <f>(C8/C7)*1000</f>
        <v>1.7980316610705966</v>
      </c>
      <c r="D9" s="724">
        <f t="shared" ref="D9:I9" si="0">(D8/D7)*1000</f>
        <v>1.7995168869831486</v>
      </c>
      <c r="E9" s="724">
        <f t="shared" si="0"/>
        <v>1.8107662813068577</v>
      </c>
      <c r="F9" s="724">
        <f t="shared" si="0"/>
        <v>1.858823292485793</v>
      </c>
      <c r="G9" s="724">
        <f t="shared" si="0"/>
        <v>1.8759175335639726</v>
      </c>
      <c r="H9" s="724">
        <f t="shared" si="0"/>
        <v>1.9010410238347868</v>
      </c>
      <c r="I9" s="724">
        <f t="shared" si="0"/>
        <v>1.9276518737363222</v>
      </c>
      <c r="J9" s="724">
        <f>(J8/J7)</f>
        <v>1.9517283868052053</v>
      </c>
      <c r="K9" s="724">
        <f t="shared" ref="K9:Y9" si="1">(K8/K7)</f>
        <v>2.0122787010967649</v>
      </c>
      <c r="L9" s="724">
        <f t="shared" si="1"/>
        <v>2.0246176945347685</v>
      </c>
      <c r="M9" s="724">
        <f t="shared" si="1"/>
        <v>2.0197260601663252</v>
      </c>
      <c r="N9" s="724">
        <f t="shared" si="1"/>
        <v>2.0700435601062419</v>
      </c>
      <c r="O9" s="724">
        <f t="shared" si="1"/>
        <v>2.10425764950838</v>
      </c>
      <c r="P9" s="724">
        <f t="shared" si="1"/>
        <v>2.1116820386118484</v>
      </c>
      <c r="Q9" s="724">
        <f t="shared" si="1"/>
        <v>2.120980435814722</v>
      </c>
      <c r="R9" s="724">
        <f t="shared" si="1"/>
        <v>2.207054644519006</v>
      </c>
      <c r="S9" s="809"/>
      <c r="T9" s="825" t="s">
        <v>361</v>
      </c>
      <c r="U9" s="724">
        <f t="shared" si="1"/>
        <v>2.1912966753284122</v>
      </c>
      <c r="V9" s="724">
        <f t="shared" si="1"/>
        <v>2.2126437997103912</v>
      </c>
      <c r="W9" s="724">
        <f t="shared" si="1"/>
        <v>2.2327920511334991</v>
      </c>
      <c r="X9" s="724">
        <f t="shared" si="1"/>
        <v>2.2420860755212919</v>
      </c>
      <c r="Y9" s="724">
        <f t="shared" si="1"/>
        <v>2.2870119538960076</v>
      </c>
      <c r="Z9" s="724">
        <v>2.2553630716718778</v>
      </c>
      <c r="AA9" s="724">
        <v>2.2421422193795992</v>
      </c>
      <c r="AB9" s="724">
        <f>AB8/AB7</f>
        <v>2.2557305772237397</v>
      </c>
      <c r="AC9" s="724">
        <f>AC8/AC7</f>
        <v>2.2488181999758012</v>
      </c>
      <c r="AD9" s="570"/>
    </row>
    <row r="10" spans="1:30" ht="13" customHeight="1">
      <c r="A10" s="810"/>
      <c r="B10" s="826" t="s">
        <v>362</v>
      </c>
      <c r="C10" s="725">
        <v>3.06</v>
      </c>
      <c r="D10" s="725">
        <v>3.19</v>
      </c>
      <c r="E10" s="725">
        <v>3.07</v>
      </c>
      <c r="F10" s="725">
        <v>3.09</v>
      </c>
      <c r="G10" s="725">
        <v>3.48</v>
      </c>
      <c r="H10" s="725">
        <v>3.46</v>
      </c>
      <c r="I10" s="725">
        <v>3.6</v>
      </c>
      <c r="J10" s="725">
        <v>3.63</v>
      </c>
      <c r="K10" s="725">
        <v>4.18</v>
      </c>
      <c r="L10" s="725">
        <v>4.33</v>
      </c>
      <c r="M10" s="725">
        <v>4.6399999999999997</v>
      </c>
      <c r="N10" s="725">
        <v>4.67</v>
      </c>
      <c r="O10" s="725">
        <v>4.7</v>
      </c>
      <c r="P10" s="725">
        <v>4.75</v>
      </c>
      <c r="Q10" s="725">
        <v>4.78</v>
      </c>
      <c r="R10" s="725">
        <v>4.82</v>
      </c>
      <c r="S10" s="810"/>
      <c r="T10" s="826" t="s">
        <v>362</v>
      </c>
      <c r="U10" s="725">
        <v>4.84</v>
      </c>
      <c r="V10" s="725">
        <v>4.84</v>
      </c>
      <c r="W10" s="725">
        <v>4.8600000000000003</v>
      </c>
      <c r="X10" s="725">
        <v>4.67</v>
      </c>
      <c r="Y10" s="725">
        <v>5.0199999999999996</v>
      </c>
      <c r="Z10" s="725">
        <v>5.85</v>
      </c>
      <c r="AA10" s="725">
        <v>6.33</v>
      </c>
      <c r="AB10" s="725">
        <v>6.993880498213537</v>
      </c>
      <c r="AC10" s="725">
        <v>6.993880498213537</v>
      </c>
      <c r="AD10" s="570"/>
    </row>
    <row r="11" spans="1:30" ht="13" customHeight="1">
      <c r="A11" s="809"/>
      <c r="B11" s="825" t="s">
        <v>302</v>
      </c>
      <c r="C11" s="160">
        <v>14800991</v>
      </c>
      <c r="D11" s="160">
        <v>14727155</v>
      </c>
      <c r="E11" s="160">
        <v>14690547</v>
      </c>
      <c r="F11" s="160">
        <v>14721243</v>
      </c>
      <c r="G11" s="160">
        <v>14696522</v>
      </c>
      <c r="H11" s="160">
        <v>14813786</v>
      </c>
      <c r="I11" s="160">
        <v>14675255</v>
      </c>
      <c r="J11" s="160">
        <v>14580166</v>
      </c>
      <c r="K11" s="160">
        <v>14509628</v>
      </c>
      <c r="L11" s="160">
        <v>14137690</v>
      </c>
      <c r="M11" s="160">
        <v>14159720</v>
      </c>
      <c r="N11" s="160">
        <v>14050173</v>
      </c>
      <c r="O11" s="160">
        <v>12184143</v>
      </c>
      <c r="P11" s="160">
        <v>11830977</v>
      </c>
      <c r="Q11" s="160">
        <v>11652272</v>
      </c>
      <c r="R11" s="160">
        <v>11982580</v>
      </c>
      <c r="S11" s="809"/>
      <c r="T11" s="825" t="s">
        <v>302</v>
      </c>
      <c r="U11" s="160">
        <v>11450657</v>
      </c>
      <c r="V11" s="160">
        <v>11338424</v>
      </c>
      <c r="W11" s="160">
        <v>11330908</v>
      </c>
      <c r="X11" s="160">
        <v>11371637</v>
      </c>
      <c r="Y11" s="160">
        <v>11071699</v>
      </c>
      <c r="Z11" s="160">
        <v>11266309</v>
      </c>
      <c r="AA11" s="160">
        <v>11210723</v>
      </c>
      <c r="AB11" s="160">
        <v>11238432</v>
      </c>
      <c r="AC11" s="160">
        <v>11278083</v>
      </c>
      <c r="AD11" s="570"/>
    </row>
    <row r="12" spans="1:30" ht="13" customHeight="1">
      <c r="A12" s="809"/>
      <c r="B12" s="825" t="s">
        <v>195</v>
      </c>
      <c r="C12" s="160">
        <v>2521661</v>
      </c>
      <c r="D12" s="160">
        <v>2571321</v>
      </c>
      <c r="E12" s="160">
        <v>2517896</v>
      </c>
      <c r="F12" s="160">
        <v>2535935</v>
      </c>
      <c r="G12" s="160">
        <v>2709847</v>
      </c>
      <c r="H12" s="160">
        <v>2685627</v>
      </c>
      <c r="I12" s="160">
        <v>2692776</v>
      </c>
      <c r="J12" s="160">
        <v>2681208</v>
      </c>
      <c r="K12" s="160">
        <v>2678241</v>
      </c>
      <c r="L12" s="160">
        <v>2753681</v>
      </c>
      <c r="M12" s="160">
        <v>2788507</v>
      </c>
      <c r="N12" s="160">
        <v>2844228</v>
      </c>
      <c r="O12" s="160">
        <v>2910166</v>
      </c>
      <c r="P12" s="160">
        <v>2832371</v>
      </c>
      <c r="Q12" s="160">
        <v>2788555</v>
      </c>
      <c r="R12" s="160">
        <v>2698887</v>
      </c>
      <c r="S12" s="809"/>
      <c r="T12" s="825" t="s">
        <v>195</v>
      </c>
      <c r="U12" s="160">
        <v>2745951</v>
      </c>
      <c r="V12" s="160">
        <v>2699282</v>
      </c>
      <c r="W12" s="160">
        <v>2687624</v>
      </c>
      <c r="X12" s="160">
        <v>2682837</v>
      </c>
      <c r="Y12" s="160">
        <v>2544651</v>
      </c>
      <c r="Z12" s="160">
        <v>2576572</v>
      </c>
      <c r="AA12" s="160">
        <v>2599914</v>
      </c>
      <c r="AB12" s="160">
        <v>2594570</v>
      </c>
      <c r="AC12" s="160">
        <v>2588737</v>
      </c>
      <c r="AD12" s="570"/>
    </row>
    <row r="13" spans="1:30" ht="13" customHeight="1">
      <c r="A13" s="809" t="s">
        <v>5</v>
      </c>
      <c r="B13" s="825" t="s">
        <v>360</v>
      </c>
      <c r="C13" s="160">
        <v>31068</v>
      </c>
      <c r="D13" s="160">
        <v>31868</v>
      </c>
      <c r="E13" s="160">
        <v>31437</v>
      </c>
      <c r="F13" s="160">
        <v>31926</v>
      </c>
      <c r="G13" s="160">
        <v>33698</v>
      </c>
      <c r="H13" s="160">
        <v>33686</v>
      </c>
      <c r="I13" s="160">
        <v>33904</v>
      </c>
      <c r="J13" s="160">
        <v>33839</v>
      </c>
      <c r="K13" s="160">
        <v>33350</v>
      </c>
      <c r="L13" s="160">
        <v>33458</v>
      </c>
      <c r="M13" s="160">
        <v>33669</v>
      </c>
      <c r="N13" s="160">
        <v>34256</v>
      </c>
      <c r="O13" s="160">
        <v>35304</v>
      </c>
      <c r="P13" s="160">
        <v>34906</v>
      </c>
      <c r="Q13" s="160">
        <v>34421</v>
      </c>
      <c r="R13" s="160">
        <v>33163</v>
      </c>
      <c r="S13" s="809" t="s">
        <v>5</v>
      </c>
      <c r="T13" s="825" t="s">
        <v>360</v>
      </c>
      <c r="U13" s="160">
        <v>33955</v>
      </c>
      <c r="V13" s="160">
        <v>33458</v>
      </c>
      <c r="W13" s="160">
        <v>33672</v>
      </c>
      <c r="X13" s="160">
        <v>33781</v>
      </c>
      <c r="Y13" s="160">
        <v>32311</v>
      </c>
      <c r="Z13" s="160">
        <v>33259</v>
      </c>
      <c r="AA13" s="160">
        <v>33600</v>
      </c>
      <c r="AB13" s="160">
        <v>33690</v>
      </c>
      <c r="AC13" s="160">
        <v>33625</v>
      </c>
      <c r="AD13" s="570"/>
    </row>
    <row r="14" spans="1:30" ht="13" customHeight="1">
      <c r="A14" s="809"/>
      <c r="B14" s="825" t="s">
        <v>361</v>
      </c>
      <c r="C14" s="723">
        <f>(C13/C12)*1000</f>
        <v>12.320450687066977</v>
      </c>
      <c r="D14" s="723">
        <f t="shared" ref="D14:P14" si="2">(D13/D12)*1000</f>
        <v>12.393629577948454</v>
      </c>
      <c r="E14" s="723">
        <f t="shared" si="2"/>
        <v>12.485424338415884</v>
      </c>
      <c r="F14" s="723">
        <f t="shared" si="2"/>
        <v>12.589439398091828</v>
      </c>
      <c r="G14" s="723">
        <f t="shared" si="2"/>
        <v>12.435388418608134</v>
      </c>
      <c r="H14" s="723">
        <f t="shared" si="2"/>
        <v>12.543067224152869</v>
      </c>
      <c r="I14" s="723">
        <f t="shared" si="2"/>
        <v>12.590724219170106</v>
      </c>
      <c r="J14" s="723">
        <f t="shared" si="2"/>
        <v>12.620803757112466</v>
      </c>
      <c r="K14" s="723">
        <f t="shared" si="2"/>
        <v>12.452202770400422</v>
      </c>
      <c r="L14" s="723">
        <f t="shared" si="2"/>
        <v>12.150281750137362</v>
      </c>
      <c r="M14" s="723">
        <f t="shared" si="2"/>
        <v>12.07420314885349</v>
      </c>
      <c r="N14" s="723">
        <f t="shared" si="2"/>
        <v>12.044041476281086</v>
      </c>
      <c r="O14" s="723">
        <f t="shared" si="2"/>
        <v>12.131266738735865</v>
      </c>
      <c r="P14" s="723">
        <f t="shared" si="2"/>
        <v>12.323950499422567</v>
      </c>
      <c r="Q14" s="723">
        <f t="shared" ref="Q14:Y14" si="3">(Q13/Q12)*1000</f>
        <v>12.343669032886208</v>
      </c>
      <c r="R14" s="723">
        <f t="shared" si="3"/>
        <v>12.287657838212567</v>
      </c>
      <c r="S14" s="809"/>
      <c r="T14" s="825" t="s">
        <v>361</v>
      </c>
      <c r="U14" s="723">
        <f t="shared" si="3"/>
        <v>12.365479209206574</v>
      </c>
      <c r="V14" s="723">
        <f t="shared" si="3"/>
        <v>12.395148043072195</v>
      </c>
      <c r="W14" s="723">
        <f t="shared" si="3"/>
        <v>12.528538218143609</v>
      </c>
      <c r="X14" s="723">
        <f t="shared" si="3"/>
        <v>12.591521587036411</v>
      </c>
      <c r="Y14" s="723">
        <f t="shared" si="3"/>
        <v>12.697615507981251</v>
      </c>
      <c r="Z14" s="723">
        <v>12.908324795785321</v>
      </c>
      <c r="AA14" s="723">
        <f>AA13/AA12*1000</f>
        <v>12.923504392837609</v>
      </c>
      <c r="AB14" s="723">
        <f>AB13/AB12*1000</f>
        <v>12.984810585183672</v>
      </c>
      <c r="AC14" s="723">
        <f>AC13/AC12*1000</f>
        <v>12.988959481013328</v>
      </c>
      <c r="AD14" s="570"/>
    </row>
    <row r="15" spans="1:30" ht="13" customHeight="1">
      <c r="A15" s="810"/>
      <c r="B15" s="826" t="s">
        <v>362</v>
      </c>
      <c r="C15" s="725">
        <v>2.99</v>
      </c>
      <c r="D15" s="725">
        <v>3.13</v>
      </c>
      <c r="E15" s="725">
        <v>3.29</v>
      </c>
      <c r="F15" s="725">
        <v>3.29</v>
      </c>
      <c r="G15" s="725">
        <v>3.27</v>
      </c>
      <c r="H15" s="725">
        <v>3.31</v>
      </c>
      <c r="I15" s="725">
        <v>3.32</v>
      </c>
      <c r="J15" s="725">
        <v>3.49</v>
      </c>
      <c r="K15" s="725">
        <v>3.9</v>
      </c>
      <c r="L15" s="725">
        <v>4.13</v>
      </c>
      <c r="M15" s="725">
        <v>4.46</v>
      </c>
      <c r="N15" s="725">
        <v>4.5199999999999996</v>
      </c>
      <c r="O15" s="725">
        <v>4.9000000000000004</v>
      </c>
      <c r="P15" s="725">
        <v>5.04</v>
      </c>
      <c r="Q15" s="725">
        <v>5.72</v>
      </c>
      <c r="R15" s="725">
        <v>5.72</v>
      </c>
      <c r="S15" s="810"/>
      <c r="T15" s="826" t="s">
        <v>362</v>
      </c>
      <c r="U15" s="725">
        <v>5.9</v>
      </c>
      <c r="V15" s="725">
        <v>5.6</v>
      </c>
      <c r="W15" s="725">
        <v>5.56</v>
      </c>
      <c r="X15" s="725">
        <v>5.58</v>
      </c>
      <c r="Y15" s="725">
        <v>5.43</v>
      </c>
      <c r="Z15" s="725">
        <v>5.5839999999999996</v>
      </c>
      <c r="AA15" s="725">
        <v>5.6050000000000004</v>
      </c>
      <c r="AB15" s="725">
        <v>5.6428020331145419</v>
      </c>
      <c r="AC15" s="725">
        <v>5.6428020331145419</v>
      </c>
      <c r="AD15" s="570"/>
    </row>
    <row r="16" spans="1:30" ht="13" customHeight="1">
      <c r="A16" s="809"/>
      <c r="B16" s="825" t="s">
        <v>302</v>
      </c>
      <c r="C16" s="160">
        <v>2845573</v>
      </c>
      <c r="D16" s="160">
        <v>2809888</v>
      </c>
      <c r="E16" s="160">
        <v>2941036</v>
      </c>
      <c r="F16" s="160">
        <v>2990499</v>
      </c>
      <c r="G16" s="160">
        <v>3000199</v>
      </c>
      <c r="H16" s="160">
        <v>3010724</v>
      </c>
      <c r="I16" s="160">
        <v>3073855</v>
      </c>
      <c r="J16" s="160">
        <v>3115772</v>
      </c>
      <c r="K16" s="160">
        <v>3151406</v>
      </c>
      <c r="L16" s="160">
        <v>3256809</v>
      </c>
      <c r="M16" s="160">
        <v>3254413</v>
      </c>
      <c r="N16" s="160">
        <v>3263254</v>
      </c>
      <c r="O16" s="160">
        <v>2987315</v>
      </c>
      <c r="P16" s="160">
        <v>3176115</v>
      </c>
      <c r="Q16" s="160">
        <v>3173015</v>
      </c>
      <c r="R16" s="160">
        <v>3200714</v>
      </c>
      <c r="S16" s="809"/>
      <c r="T16" s="825" t="s">
        <v>302</v>
      </c>
      <c r="U16" s="160">
        <v>3104911</v>
      </c>
      <c r="V16" s="160">
        <v>3217254</v>
      </c>
      <c r="W16" s="160">
        <v>3215742</v>
      </c>
      <c r="X16" s="160">
        <v>3269538</v>
      </c>
      <c r="Y16" s="160">
        <v>3270742</v>
      </c>
      <c r="Z16" s="160">
        <v>3372910</v>
      </c>
      <c r="AA16" s="160">
        <v>3455032</v>
      </c>
      <c r="AB16" s="160">
        <v>3465175</v>
      </c>
      <c r="AC16" s="160">
        <v>3519668</v>
      </c>
      <c r="AD16" s="569"/>
    </row>
    <row r="17" spans="1:30" ht="13" customHeight="1">
      <c r="A17" s="809"/>
      <c r="B17" s="825" t="s">
        <v>195</v>
      </c>
      <c r="C17" s="160">
        <v>1540534</v>
      </c>
      <c r="D17" s="160">
        <v>1650886</v>
      </c>
      <c r="E17" s="160">
        <v>1637129</v>
      </c>
      <c r="F17" s="160">
        <v>1670387</v>
      </c>
      <c r="G17" s="160">
        <v>1884573</v>
      </c>
      <c r="H17" s="160">
        <v>1991346</v>
      </c>
      <c r="I17" s="160">
        <v>2074715</v>
      </c>
      <c r="J17" s="160">
        <v>2153141</v>
      </c>
      <c r="K17" s="160">
        <v>2131518</v>
      </c>
      <c r="L17" s="160">
        <v>2213057</v>
      </c>
      <c r="M17" s="160">
        <v>2186978</v>
      </c>
      <c r="N17" s="160">
        <v>2298432</v>
      </c>
      <c r="O17" s="160">
        <v>2401634</v>
      </c>
      <c r="P17" s="160">
        <v>2499031</v>
      </c>
      <c r="Q17" s="160">
        <v>2629566</v>
      </c>
      <c r="R17" s="160">
        <v>2764884</v>
      </c>
      <c r="S17" s="809"/>
      <c r="T17" s="825" t="s">
        <v>195</v>
      </c>
      <c r="U17" s="160">
        <v>2876803</v>
      </c>
      <c r="V17" s="160">
        <v>3073656</v>
      </c>
      <c r="W17" s="160">
        <v>3090907</v>
      </c>
      <c r="X17" s="160">
        <v>3284606</v>
      </c>
      <c r="Y17" s="160">
        <v>3191164</v>
      </c>
      <c r="Z17" s="160">
        <v>3314891</v>
      </c>
      <c r="AA17" s="160">
        <v>3458392</v>
      </c>
      <c r="AB17" s="160">
        <v>3775008</v>
      </c>
      <c r="AC17" s="160">
        <v>3990915</v>
      </c>
      <c r="AD17" s="570"/>
    </row>
    <row r="18" spans="1:30" ht="13" customHeight="1">
      <c r="A18" s="809" t="s">
        <v>6</v>
      </c>
      <c r="B18" s="825" t="s">
        <v>360</v>
      </c>
      <c r="C18" s="160">
        <v>91554</v>
      </c>
      <c r="D18" s="160">
        <v>93313</v>
      </c>
      <c r="E18" s="160">
        <v>92530</v>
      </c>
      <c r="F18" s="160">
        <v>92738</v>
      </c>
      <c r="G18" s="160">
        <v>98880</v>
      </c>
      <c r="H18" s="160">
        <v>104254</v>
      </c>
      <c r="I18" s="160">
        <v>109010</v>
      </c>
      <c r="J18" s="160">
        <v>114520</v>
      </c>
      <c r="K18" s="160">
        <v>115196</v>
      </c>
      <c r="L18" s="160">
        <v>114719</v>
      </c>
      <c r="M18" s="160">
        <v>115655</v>
      </c>
      <c r="N18" s="160">
        <v>117588</v>
      </c>
      <c r="O18" s="160">
        <v>122353</v>
      </c>
      <c r="P18" s="160">
        <v>127684</v>
      </c>
      <c r="Q18" s="160">
        <v>135390</v>
      </c>
      <c r="R18" s="160">
        <v>142925</v>
      </c>
      <c r="S18" s="809" t="s">
        <v>6</v>
      </c>
      <c r="T18" s="825" t="s">
        <v>360</v>
      </c>
      <c r="U18" s="160">
        <v>149399</v>
      </c>
      <c r="V18" s="160">
        <v>157824</v>
      </c>
      <c r="W18" s="160">
        <v>162421</v>
      </c>
      <c r="X18" s="160">
        <v>173258.66324709987</v>
      </c>
      <c r="Y18" s="160">
        <v>169804.68148125257</v>
      </c>
      <c r="Z18" s="160">
        <v>176149.67439979623</v>
      </c>
      <c r="AA18" s="160">
        <v>181404.62551147604</v>
      </c>
      <c r="AB18" s="160">
        <v>200449.75011889712</v>
      </c>
      <c r="AC18" s="160">
        <v>209548.89517455013</v>
      </c>
      <c r="AD18" s="570"/>
    </row>
    <row r="19" spans="1:30" ht="13" customHeight="1">
      <c r="A19" s="809"/>
      <c r="B19" s="825" t="s">
        <v>361</v>
      </c>
      <c r="C19" s="723">
        <f t="shared" ref="C19:P19" si="4">(C18/C17)*1000</f>
        <v>59.43004179070374</v>
      </c>
      <c r="D19" s="723">
        <f t="shared" si="4"/>
        <v>56.522982204707048</v>
      </c>
      <c r="E19" s="723">
        <f t="shared" si="4"/>
        <v>56.519675602838873</v>
      </c>
      <c r="F19" s="723">
        <f t="shared" si="4"/>
        <v>55.518870776652356</v>
      </c>
      <c r="G19" s="723">
        <f t="shared" si="4"/>
        <v>52.468118772793623</v>
      </c>
      <c r="H19" s="723">
        <f t="shared" si="4"/>
        <v>52.353533740495124</v>
      </c>
      <c r="I19" s="723">
        <f t="shared" si="4"/>
        <v>52.542156392564763</v>
      </c>
      <c r="J19" s="723">
        <f t="shared" si="4"/>
        <v>53.187413179164764</v>
      </c>
      <c r="K19" s="723">
        <f t="shared" si="4"/>
        <v>54.044113162544257</v>
      </c>
      <c r="L19" s="723">
        <f t="shared" si="4"/>
        <v>51.837345355316202</v>
      </c>
      <c r="M19" s="723">
        <f t="shared" si="4"/>
        <v>52.883476651342633</v>
      </c>
      <c r="N19" s="723">
        <f t="shared" si="4"/>
        <v>51.160095230139497</v>
      </c>
      <c r="O19" s="723">
        <f t="shared" si="4"/>
        <v>50.945731114732716</v>
      </c>
      <c r="P19" s="723">
        <f t="shared" si="4"/>
        <v>51.093403803314168</v>
      </c>
      <c r="Q19" s="723">
        <f t="shared" ref="Q19:Y19" si="5">(Q18/Q17)*1000</f>
        <v>51.487583882663529</v>
      </c>
      <c r="R19" s="723">
        <f t="shared" si="5"/>
        <v>51.692946250186267</v>
      </c>
      <c r="S19" s="809"/>
      <c r="T19" s="825" t="s">
        <v>361</v>
      </c>
      <c r="U19" s="723">
        <f t="shared" si="5"/>
        <v>51.932301238562395</v>
      </c>
      <c r="V19" s="723">
        <f t="shared" si="5"/>
        <v>51.347320584997149</v>
      </c>
      <c r="W19" s="723">
        <f t="shared" si="5"/>
        <v>52.548006135415918</v>
      </c>
      <c r="X19" s="723">
        <f t="shared" si="5"/>
        <v>52.748689872423014</v>
      </c>
      <c r="Y19" s="723">
        <f t="shared" si="5"/>
        <v>53.210891537148377</v>
      </c>
      <c r="Z19" s="723">
        <v>53.138911131779146</v>
      </c>
      <c r="AA19" s="723">
        <f>AA18/AA17*1000</f>
        <v>52.453459732579773</v>
      </c>
      <c r="AB19" s="723">
        <f>AB18/AB17*1000</f>
        <v>53.099159026655606</v>
      </c>
      <c r="AC19" s="723">
        <f>AC18/AC17*1000</f>
        <v>52.506479134371475</v>
      </c>
      <c r="AD19" s="570"/>
    </row>
    <row r="20" spans="1:30" ht="13" customHeight="1">
      <c r="A20" s="810"/>
      <c r="B20" s="826" t="s">
        <v>362</v>
      </c>
      <c r="C20" s="725">
        <v>3.31</v>
      </c>
      <c r="D20" s="725">
        <v>3.34</v>
      </c>
      <c r="E20" s="725">
        <v>3.35</v>
      </c>
      <c r="F20" s="725">
        <v>3.39</v>
      </c>
      <c r="G20" s="725">
        <v>3.42</v>
      </c>
      <c r="H20" s="725">
        <v>3.43</v>
      </c>
      <c r="I20" s="725">
        <v>3.47</v>
      </c>
      <c r="J20" s="725">
        <v>3.5</v>
      </c>
      <c r="K20" s="725">
        <v>3.8</v>
      </c>
      <c r="L20" s="725">
        <v>4.12</v>
      </c>
      <c r="M20" s="725">
        <v>4.25</v>
      </c>
      <c r="N20" s="725">
        <v>5.05</v>
      </c>
      <c r="O20" s="725">
        <v>5.24</v>
      </c>
      <c r="P20" s="725">
        <v>5.91</v>
      </c>
      <c r="Q20" s="725">
        <v>6.07</v>
      </c>
      <c r="R20" s="725">
        <v>6.42</v>
      </c>
      <c r="S20" s="810"/>
      <c r="T20" s="826" t="s">
        <v>362</v>
      </c>
      <c r="U20" s="725">
        <v>6.77</v>
      </c>
      <c r="V20" s="725">
        <v>6.96</v>
      </c>
      <c r="W20" s="725">
        <v>7.05</v>
      </c>
      <c r="X20" s="725">
        <v>6.94</v>
      </c>
      <c r="Y20" s="725">
        <v>6.72</v>
      </c>
      <c r="Z20" s="725">
        <v>6.9539999999999997</v>
      </c>
      <c r="AA20" s="725">
        <v>7.0490000000000004</v>
      </c>
      <c r="AB20" s="725">
        <v>7.1917169662497269</v>
      </c>
      <c r="AC20" s="725">
        <v>7.1917169662497269</v>
      </c>
      <c r="AD20" s="570"/>
    </row>
    <row r="21" spans="1:30" ht="13" customHeight="1">
      <c r="A21" s="809"/>
      <c r="B21" s="825" t="s">
        <v>302</v>
      </c>
      <c r="C21" s="160">
        <v>4980291</v>
      </c>
      <c r="D21" s="160">
        <v>5035612</v>
      </c>
      <c r="E21" s="160">
        <v>5163700</v>
      </c>
      <c r="F21" s="160">
        <v>5193414</v>
      </c>
      <c r="G21" s="160">
        <v>5184822</v>
      </c>
      <c r="H21" s="160">
        <v>5249783</v>
      </c>
      <c r="I21" s="160">
        <v>5241102</v>
      </c>
      <c r="J21" s="160">
        <v>5420865</v>
      </c>
      <c r="K21" s="160">
        <v>5442989</v>
      </c>
      <c r="L21" s="160">
        <v>5459435</v>
      </c>
      <c r="M21" s="160">
        <v>5520200</v>
      </c>
      <c r="N21" s="160">
        <v>5589173</v>
      </c>
      <c r="O21" s="160">
        <v>5660984</v>
      </c>
      <c r="P21" s="160">
        <v>5555988</v>
      </c>
      <c r="Q21" s="160">
        <v>5577959</v>
      </c>
      <c r="R21" s="160">
        <v>5553470</v>
      </c>
      <c r="S21" s="809"/>
      <c r="T21" s="825" t="s">
        <v>302</v>
      </c>
      <c r="U21" s="160">
        <v>5525454</v>
      </c>
      <c r="V21" s="160">
        <v>5535569</v>
      </c>
      <c r="W21" s="160">
        <v>5595483</v>
      </c>
      <c r="X21" s="160">
        <v>5599893</v>
      </c>
      <c r="Y21" s="160">
        <v>5688461</v>
      </c>
      <c r="Z21" s="160">
        <v>5853660</v>
      </c>
      <c r="AA21" s="160">
        <v>5862305</v>
      </c>
      <c r="AB21" s="160">
        <v>5866168</v>
      </c>
      <c r="AC21" s="160">
        <v>5842166</v>
      </c>
      <c r="AD21" s="570"/>
    </row>
    <row r="22" spans="1:30" ht="13" customHeight="1">
      <c r="A22" s="809"/>
      <c r="B22" s="825" t="s">
        <v>195</v>
      </c>
      <c r="C22" s="160">
        <v>875746</v>
      </c>
      <c r="D22" s="160">
        <v>920031</v>
      </c>
      <c r="E22" s="160">
        <v>951383</v>
      </c>
      <c r="F22" s="160">
        <v>986402</v>
      </c>
      <c r="G22" s="160">
        <v>1020294</v>
      </c>
      <c r="H22" s="160">
        <v>1074578</v>
      </c>
      <c r="I22" s="160">
        <v>1127321</v>
      </c>
      <c r="J22" s="160">
        <v>1138578</v>
      </c>
      <c r="K22" s="160">
        <v>1151906</v>
      </c>
      <c r="L22" s="160">
        <v>1168497</v>
      </c>
      <c r="M22" s="160">
        <v>1218723</v>
      </c>
      <c r="N22" s="160">
        <v>1266710</v>
      </c>
      <c r="O22" s="160">
        <v>1319404</v>
      </c>
      <c r="P22" s="160">
        <v>1375095</v>
      </c>
      <c r="Q22" s="160">
        <v>1376391</v>
      </c>
      <c r="R22" s="160">
        <v>1367797</v>
      </c>
      <c r="S22" s="809"/>
      <c r="T22" s="825" t="s">
        <v>195</v>
      </c>
      <c r="U22" s="160">
        <v>1364230</v>
      </c>
      <c r="V22" s="160">
        <v>1331223</v>
      </c>
      <c r="W22" s="160">
        <v>1348165</v>
      </c>
      <c r="X22" s="160">
        <v>1357067</v>
      </c>
      <c r="Y22" s="160">
        <v>1250069</v>
      </c>
      <c r="Z22" s="160">
        <v>1303070</v>
      </c>
      <c r="AA22" s="160">
        <v>1316220</v>
      </c>
      <c r="AB22" s="160">
        <v>1344664</v>
      </c>
      <c r="AC22" s="160">
        <v>1380599</v>
      </c>
      <c r="AD22" s="570"/>
    </row>
    <row r="23" spans="1:30" ht="13" customHeight="1">
      <c r="A23" s="809" t="s">
        <v>7</v>
      </c>
      <c r="B23" s="825" t="s">
        <v>360</v>
      </c>
      <c r="C23" s="160">
        <v>130249</v>
      </c>
      <c r="D23" s="160">
        <v>130269</v>
      </c>
      <c r="E23" s="160">
        <v>134137</v>
      </c>
      <c r="F23" s="160">
        <v>137271</v>
      </c>
      <c r="G23" s="160">
        <v>143554</v>
      </c>
      <c r="H23" s="160">
        <v>152497</v>
      </c>
      <c r="I23" s="160">
        <v>161578</v>
      </c>
      <c r="J23" s="160">
        <v>163235</v>
      </c>
      <c r="K23" s="160">
        <v>163318</v>
      </c>
      <c r="L23" s="160">
        <v>164704</v>
      </c>
      <c r="M23" s="160">
        <v>171872</v>
      </c>
      <c r="N23" s="160">
        <v>179084</v>
      </c>
      <c r="O23" s="160">
        <v>186617</v>
      </c>
      <c r="P23" s="160">
        <v>193087</v>
      </c>
      <c r="Q23" s="160">
        <v>196232</v>
      </c>
      <c r="R23" s="160">
        <v>196015</v>
      </c>
      <c r="S23" s="809" t="s">
        <v>7</v>
      </c>
      <c r="T23" s="825" t="s">
        <v>360</v>
      </c>
      <c r="U23" s="160">
        <v>192703</v>
      </c>
      <c r="V23" s="160">
        <v>188738</v>
      </c>
      <c r="W23" s="160">
        <v>189703</v>
      </c>
      <c r="X23" s="160">
        <v>192919.58622447914</v>
      </c>
      <c r="Y23" s="160">
        <v>183941.1251822504</v>
      </c>
      <c r="Z23" s="160">
        <v>189922.91683994033</v>
      </c>
      <c r="AA23" s="160">
        <v>192718.40159928048</v>
      </c>
      <c r="AB23" s="160">
        <v>198722.99447876352</v>
      </c>
      <c r="AC23" s="160">
        <v>203990.58498943603</v>
      </c>
      <c r="AD23" s="570"/>
    </row>
    <row r="24" spans="1:30" ht="13" customHeight="1">
      <c r="A24" s="809"/>
      <c r="B24" s="825" t="s">
        <v>361</v>
      </c>
      <c r="C24" s="723">
        <f t="shared" ref="C24:P24" si="6">(C23/C22)*1000</f>
        <v>148.72919773541642</v>
      </c>
      <c r="D24" s="723">
        <f t="shared" si="6"/>
        <v>141.59196809672716</v>
      </c>
      <c r="E24" s="723">
        <f t="shared" si="6"/>
        <v>140.99158803552302</v>
      </c>
      <c r="F24" s="723">
        <f t="shared" si="6"/>
        <v>139.16334314001796</v>
      </c>
      <c r="G24" s="723">
        <f t="shared" si="6"/>
        <v>140.69866136623367</v>
      </c>
      <c r="H24" s="723">
        <f t="shared" si="6"/>
        <v>141.91338367247423</v>
      </c>
      <c r="I24" s="723">
        <f t="shared" si="6"/>
        <v>143.32918485506789</v>
      </c>
      <c r="J24" s="723">
        <f t="shared" si="6"/>
        <v>143.3674284941392</v>
      </c>
      <c r="K24" s="723">
        <f t="shared" si="6"/>
        <v>141.7806661307433</v>
      </c>
      <c r="L24" s="723">
        <f t="shared" si="6"/>
        <v>140.95372089102494</v>
      </c>
      <c r="M24" s="723">
        <f t="shared" si="6"/>
        <v>141.02630376221666</v>
      </c>
      <c r="N24" s="723">
        <f t="shared" si="6"/>
        <v>141.37726867238754</v>
      </c>
      <c r="O24" s="723">
        <f t="shared" si="6"/>
        <v>141.44037762504888</v>
      </c>
      <c r="P24" s="723">
        <f t="shared" si="6"/>
        <v>140.41720753838825</v>
      </c>
      <c r="Q24" s="723">
        <f t="shared" ref="Q24:Y24" si="7">(Q23/Q22)*1000</f>
        <v>142.56995286949711</v>
      </c>
      <c r="R24" s="723">
        <f t="shared" si="7"/>
        <v>143.30708431148776</v>
      </c>
      <c r="S24" s="809"/>
      <c r="T24" s="825" t="s">
        <v>361</v>
      </c>
      <c r="U24" s="723">
        <f t="shared" si="7"/>
        <v>141.25404074093078</v>
      </c>
      <c r="V24" s="723">
        <f t="shared" si="7"/>
        <v>141.7778989695941</v>
      </c>
      <c r="W24" s="723">
        <f t="shared" si="7"/>
        <v>140.71200483620328</v>
      </c>
      <c r="X24" s="723">
        <f t="shared" si="7"/>
        <v>142.1592200123348</v>
      </c>
      <c r="Y24" s="723">
        <f t="shared" si="7"/>
        <v>147.14477775406829</v>
      </c>
      <c r="Z24" s="723">
        <v>145.75039632378494</v>
      </c>
      <c r="AA24" s="723">
        <f>AA23/AA22*1000</f>
        <v>146.41807722058658</v>
      </c>
      <c r="AB24" s="723">
        <f>AB23/AB22*1000</f>
        <v>147.78635739393894</v>
      </c>
      <c r="AC24" s="723">
        <f>AC23/AC22*1000</f>
        <v>147.75513019307999</v>
      </c>
      <c r="AD24" s="570"/>
    </row>
    <row r="25" spans="1:30" ht="13" customHeight="1">
      <c r="A25" s="810"/>
      <c r="B25" s="826" t="s">
        <v>362</v>
      </c>
      <c r="C25" s="725">
        <v>3.34</v>
      </c>
      <c r="D25" s="725">
        <v>3.41</v>
      </c>
      <c r="E25" s="725">
        <v>3.29</v>
      </c>
      <c r="F25" s="725">
        <v>3.52</v>
      </c>
      <c r="G25" s="725">
        <v>3.33</v>
      </c>
      <c r="H25" s="725">
        <v>3.36</v>
      </c>
      <c r="I25" s="725">
        <v>3.4</v>
      </c>
      <c r="J25" s="725">
        <v>3.5</v>
      </c>
      <c r="K25" s="725">
        <v>3.77</v>
      </c>
      <c r="L25" s="725">
        <v>4.08</v>
      </c>
      <c r="M25" s="725">
        <v>4.0999999999999996</v>
      </c>
      <c r="N25" s="725">
        <v>4.25</v>
      </c>
      <c r="O25" s="725">
        <v>4.6900000000000004</v>
      </c>
      <c r="P25" s="725">
        <v>4.84</v>
      </c>
      <c r="Q25" s="725">
        <v>5.23</v>
      </c>
      <c r="R25" s="725">
        <v>5.41</v>
      </c>
      <c r="S25" s="810"/>
      <c r="T25" s="826" t="s">
        <v>362</v>
      </c>
      <c r="U25" s="725">
        <v>5.45</v>
      </c>
      <c r="V25" s="725">
        <v>5.53</v>
      </c>
      <c r="W25" s="725">
        <v>5.64</v>
      </c>
      <c r="X25" s="725">
        <v>5.69</v>
      </c>
      <c r="Y25" s="725">
        <v>6.73</v>
      </c>
      <c r="Z25" s="725">
        <v>5.8120000000000003</v>
      </c>
      <c r="AA25" s="725">
        <v>5.92</v>
      </c>
      <c r="AB25" s="725">
        <v>5.859728679189117</v>
      </c>
      <c r="AC25" s="725">
        <v>5.859728679189117</v>
      </c>
      <c r="AD25" s="570"/>
    </row>
    <row r="26" spans="1:30" ht="13" customHeight="1">
      <c r="A26" s="809"/>
      <c r="B26" s="825" t="s">
        <v>302</v>
      </c>
      <c r="C26" s="160">
        <v>2034914</v>
      </c>
      <c r="D26" s="160">
        <v>2017808</v>
      </c>
      <c r="E26" s="160">
        <v>1983128</v>
      </c>
      <c r="F26" s="160">
        <v>1983302</v>
      </c>
      <c r="G26" s="160">
        <v>1971863</v>
      </c>
      <c r="H26" s="160">
        <v>1952956</v>
      </c>
      <c r="I26" s="160">
        <v>1936855</v>
      </c>
      <c r="J26" s="160">
        <v>1925912</v>
      </c>
      <c r="K26" s="160">
        <v>1904124</v>
      </c>
      <c r="L26" s="160">
        <v>1928678</v>
      </c>
      <c r="M26" s="160">
        <v>1968306</v>
      </c>
      <c r="N26" s="160">
        <v>1946117</v>
      </c>
      <c r="O26" s="160">
        <v>1949502</v>
      </c>
      <c r="P26" s="160">
        <v>1928631</v>
      </c>
      <c r="Q26" s="160">
        <v>1905462</v>
      </c>
      <c r="R26" s="160">
        <v>1882361</v>
      </c>
      <c r="S26" s="809"/>
      <c r="T26" s="825" t="s">
        <v>302</v>
      </c>
      <c r="U26" s="160">
        <v>1865047</v>
      </c>
      <c r="V26" s="160">
        <v>1814704</v>
      </c>
      <c r="W26" s="160">
        <v>1812530</v>
      </c>
      <c r="X26" s="160">
        <v>1801882</v>
      </c>
      <c r="Y26" s="160">
        <v>1784685</v>
      </c>
      <c r="Z26" s="160">
        <v>1754968</v>
      </c>
      <c r="AA26" s="160">
        <v>1767612</v>
      </c>
      <c r="AB26" s="160">
        <v>1764665</v>
      </c>
      <c r="AC26" s="160">
        <v>1749263</v>
      </c>
      <c r="AD26" s="570"/>
    </row>
    <row r="27" spans="1:30" ht="13" customHeight="1">
      <c r="A27" s="809"/>
      <c r="B27" s="825" t="s">
        <v>195</v>
      </c>
      <c r="C27" s="160">
        <v>451247</v>
      </c>
      <c r="D27" s="160">
        <v>468861</v>
      </c>
      <c r="E27" s="160">
        <v>476569</v>
      </c>
      <c r="F27" s="160">
        <v>523993</v>
      </c>
      <c r="G27" s="160">
        <v>524448</v>
      </c>
      <c r="H27" s="160">
        <v>527096</v>
      </c>
      <c r="I27" s="160">
        <v>518663</v>
      </c>
      <c r="J27" s="160">
        <v>506927</v>
      </c>
      <c r="K27" s="160">
        <v>496706</v>
      </c>
      <c r="L27" s="160">
        <v>505880</v>
      </c>
      <c r="M27" s="160">
        <v>499447</v>
      </c>
      <c r="N27" s="160">
        <v>489915</v>
      </c>
      <c r="O27" s="160">
        <v>496626</v>
      </c>
      <c r="P27" s="160">
        <v>505262</v>
      </c>
      <c r="Q27" s="160">
        <v>489956</v>
      </c>
      <c r="R27" s="160">
        <v>464018</v>
      </c>
      <c r="S27" s="809"/>
      <c r="T27" s="825" t="s">
        <v>195</v>
      </c>
      <c r="U27" s="160">
        <v>458812</v>
      </c>
      <c r="V27" s="160">
        <v>444799</v>
      </c>
      <c r="W27" s="160">
        <v>410567</v>
      </c>
      <c r="X27" s="160">
        <v>411263</v>
      </c>
      <c r="Y27" s="160">
        <v>392866</v>
      </c>
      <c r="Z27" s="160">
        <v>390292</v>
      </c>
      <c r="AA27" s="160">
        <v>390294</v>
      </c>
      <c r="AB27" s="160">
        <v>388996</v>
      </c>
      <c r="AC27" s="160">
        <v>392831</v>
      </c>
      <c r="AD27" s="570"/>
    </row>
    <row r="28" spans="1:30" ht="13" customHeight="1">
      <c r="A28" s="809" t="s">
        <v>8</v>
      </c>
      <c r="B28" s="825" t="s">
        <v>360</v>
      </c>
      <c r="C28" s="160">
        <v>6268</v>
      </c>
      <c r="D28" s="160">
        <v>5912</v>
      </c>
      <c r="E28" s="160">
        <v>5793</v>
      </c>
      <c r="F28" s="160">
        <v>6294</v>
      </c>
      <c r="G28" s="160">
        <v>6476</v>
      </c>
      <c r="H28" s="160">
        <v>6618</v>
      </c>
      <c r="I28" s="160">
        <v>6772</v>
      </c>
      <c r="J28" s="160">
        <v>6686</v>
      </c>
      <c r="K28" s="160">
        <v>6419</v>
      </c>
      <c r="L28" s="160">
        <v>6153</v>
      </c>
      <c r="M28" s="160">
        <v>6131</v>
      </c>
      <c r="N28" s="160">
        <v>6150</v>
      </c>
      <c r="O28" s="160">
        <v>6247</v>
      </c>
      <c r="P28" s="160">
        <v>6439</v>
      </c>
      <c r="Q28" s="160">
        <v>6167</v>
      </c>
      <c r="R28" s="160">
        <v>5901</v>
      </c>
      <c r="S28" s="809" t="s">
        <v>8</v>
      </c>
      <c r="T28" s="825" t="s">
        <v>360</v>
      </c>
      <c r="U28" s="160">
        <v>5827</v>
      </c>
      <c r="V28" s="160">
        <v>5494</v>
      </c>
      <c r="W28" s="160">
        <v>4966</v>
      </c>
      <c r="X28" s="160">
        <v>5102.2518173164117</v>
      </c>
      <c r="Y28" s="160">
        <v>4957.3536356317218</v>
      </c>
      <c r="Z28" s="160">
        <v>4948.0031893445357</v>
      </c>
      <c r="AA28" s="160">
        <v>4929.2537648500165</v>
      </c>
      <c r="AB28" s="160">
        <v>4940.9882384516059</v>
      </c>
      <c r="AC28" s="160">
        <v>4951.9427489497693</v>
      </c>
      <c r="AD28" s="570"/>
    </row>
    <row r="29" spans="1:30" ht="13" customHeight="1">
      <c r="A29" s="809"/>
      <c r="B29" s="825" t="s">
        <v>361</v>
      </c>
      <c r="C29" s="723">
        <f t="shared" ref="C29:P29" si="8">(C28/C27)*1000</f>
        <v>13.890397055271281</v>
      </c>
      <c r="D29" s="723">
        <f t="shared" si="8"/>
        <v>12.609280788975836</v>
      </c>
      <c r="E29" s="723">
        <f t="shared" si="8"/>
        <v>12.155637483764156</v>
      </c>
      <c r="F29" s="723">
        <f t="shared" si="8"/>
        <v>12.011610842129571</v>
      </c>
      <c r="G29" s="723">
        <f t="shared" si="8"/>
        <v>12.348221367990726</v>
      </c>
      <c r="H29" s="723">
        <f t="shared" si="8"/>
        <v>12.555587596946287</v>
      </c>
      <c r="I29" s="723">
        <f t="shared" si="8"/>
        <v>13.056647572701349</v>
      </c>
      <c r="J29" s="723">
        <f t="shared" si="8"/>
        <v>13.189275773434835</v>
      </c>
      <c r="K29" s="723">
        <f t="shared" si="8"/>
        <v>12.923137630711125</v>
      </c>
      <c r="L29" s="723">
        <f t="shared" si="8"/>
        <v>12.162963548667667</v>
      </c>
      <c r="M29" s="723">
        <f t="shared" si="8"/>
        <v>12.275576787927447</v>
      </c>
      <c r="N29" s="723">
        <f t="shared" si="8"/>
        <v>12.553198003735341</v>
      </c>
      <c r="O29" s="723">
        <f t="shared" si="8"/>
        <v>12.578882297745183</v>
      </c>
      <c r="P29" s="723">
        <f t="shared" si="8"/>
        <v>12.743883371399393</v>
      </c>
      <c r="Q29" s="723">
        <f t="shared" ref="Q29:Y29" si="9">(Q28/Q27)*1000</f>
        <v>12.586844532978471</v>
      </c>
      <c r="R29" s="723">
        <f t="shared" si="9"/>
        <v>12.717179074949678</v>
      </c>
      <c r="S29" s="809"/>
      <c r="T29" s="825" t="s">
        <v>361</v>
      </c>
      <c r="U29" s="723">
        <f t="shared" si="9"/>
        <v>12.700190927874598</v>
      </c>
      <c r="V29" s="723">
        <f t="shared" si="9"/>
        <v>12.351646474025346</v>
      </c>
      <c r="W29" s="723">
        <f t="shared" si="9"/>
        <v>12.095467974776344</v>
      </c>
      <c r="X29" s="723">
        <f t="shared" si="9"/>
        <v>12.406299174290931</v>
      </c>
      <c r="Y29" s="723">
        <f t="shared" si="9"/>
        <v>12.618433856917425</v>
      </c>
      <c r="Z29" s="723">
        <v>12.677707491276143</v>
      </c>
      <c r="AA29" s="723">
        <v>12.629600927198332</v>
      </c>
      <c r="AB29" s="723">
        <f>AB28/AB27*1000</f>
        <v>12.701899861313755</v>
      </c>
      <c r="AC29" s="723">
        <f>AC28/AC27*1000</f>
        <v>12.605784036773496</v>
      </c>
      <c r="AD29" s="570"/>
    </row>
    <row r="30" spans="1:30" ht="13" customHeight="1">
      <c r="A30" s="810"/>
      <c r="B30" s="826" t="s">
        <v>362</v>
      </c>
      <c r="C30" s="726">
        <v>3.33</v>
      </c>
      <c r="D30" s="726">
        <v>3.28</v>
      </c>
      <c r="E30" s="726">
        <v>3.31</v>
      </c>
      <c r="F30" s="726">
        <v>3.22</v>
      </c>
      <c r="G30" s="726">
        <v>3.27</v>
      </c>
      <c r="H30" s="726">
        <v>3.05</v>
      </c>
      <c r="I30" s="726">
        <v>3.01</v>
      </c>
      <c r="J30" s="726">
        <v>3.17</v>
      </c>
      <c r="K30" s="726">
        <v>3.41</v>
      </c>
      <c r="L30" s="726">
        <v>3.61</v>
      </c>
      <c r="M30" s="726">
        <v>3.38</v>
      </c>
      <c r="N30" s="726">
        <v>3.53</v>
      </c>
      <c r="O30" s="726">
        <v>3.68</v>
      </c>
      <c r="P30" s="726">
        <v>3.93</v>
      </c>
      <c r="Q30" s="726">
        <v>4.04</v>
      </c>
      <c r="R30" s="726">
        <v>4.28</v>
      </c>
      <c r="S30" s="810"/>
      <c r="T30" s="826" t="s">
        <v>362</v>
      </c>
      <c r="U30" s="726">
        <v>4.66</v>
      </c>
      <c r="V30" s="726">
        <v>4.74</v>
      </c>
      <c r="W30" s="726">
        <v>4.79</v>
      </c>
      <c r="X30" s="726">
        <v>4.8099999999999996</v>
      </c>
      <c r="Y30" s="726">
        <v>4.8</v>
      </c>
      <c r="Z30" s="726">
        <v>4.7859999999999996</v>
      </c>
      <c r="AA30" s="726">
        <v>4.8090000000000002</v>
      </c>
      <c r="AB30" s="726">
        <v>4.8108362060649332</v>
      </c>
      <c r="AC30" s="726">
        <v>4.8108362060649332</v>
      </c>
      <c r="AD30" s="570"/>
    </row>
    <row r="31" spans="1:30" ht="13" customHeight="1">
      <c r="A31" s="809"/>
      <c r="B31" s="825" t="s">
        <v>302</v>
      </c>
      <c r="C31" s="160">
        <v>3078524</v>
      </c>
      <c r="D31" s="160">
        <v>3190373</v>
      </c>
      <c r="E31" s="160">
        <v>3335721</v>
      </c>
      <c r="F31" s="160">
        <v>3422557</v>
      </c>
      <c r="G31" s="160">
        <v>3429019</v>
      </c>
      <c r="H31" s="160">
        <v>3594515</v>
      </c>
      <c r="I31" s="160">
        <v>3625627</v>
      </c>
      <c r="J31" s="160">
        <v>3687340</v>
      </c>
      <c r="K31" s="160">
        <v>3780806</v>
      </c>
      <c r="L31" s="160">
        <v>4105582</v>
      </c>
      <c r="M31" s="160">
        <v>4177499</v>
      </c>
      <c r="N31" s="160">
        <v>4322258</v>
      </c>
      <c r="O31" s="160">
        <v>3927361</v>
      </c>
      <c r="P31" s="160">
        <v>4005315</v>
      </c>
      <c r="Q31" s="160">
        <v>4315793</v>
      </c>
      <c r="R31" s="160">
        <v>4318457</v>
      </c>
      <c r="S31" s="809"/>
      <c r="T31" s="825" t="s">
        <v>302</v>
      </c>
      <c r="U31" s="160">
        <v>4319228</v>
      </c>
      <c r="V31" s="160">
        <v>4330710</v>
      </c>
      <c r="W31" s="160">
        <v>4384846</v>
      </c>
      <c r="X31" s="160">
        <v>4456049</v>
      </c>
      <c r="Y31" s="160">
        <v>4450422</v>
      </c>
      <c r="Z31" s="160">
        <v>4484888</v>
      </c>
      <c r="AA31" s="160">
        <v>4533924</v>
      </c>
      <c r="AB31" s="160">
        <v>4483838</v>
      </c>
      <c r="AC31" s="160">
        <v>4545820</v>
      </c>
      <c r="AD31" s="570"/>
    </row>
    <row r="32" spans="1:30" ht="13" customHeight="1">
      <c r="A32" s="809"/>
      <c r="B32" s="825" t="s">
        <v>195</v>
      </c>
      <c r="C32" s="160">
        <v>269643</v>
      </c>
      <c r="D32" s="160">
        <v>288318</v>
      </c>
      <c r="E32" s="160">
        <v>313415</v>
      </c>
      <c r="F32" s="160">
        <v>304890</v>
      </c>
      <c r="G32" s="160">
        <v>312092</v>
      </c>
      <c r="H32" s="160">
        <v>321478</v>
      </c>
      <c r="I32" s="160">
        <v>330072</v>
      </c>
      <c r="J32" s="160">
        <v>355174</v>
      </c>
      <c r="K32" s="160">
        <v>365555</v>
      </c>
      <c r="L32" s="160">
        <v>387980</v>
      </c>
      <c r="M32" s="160">
        <v>410085</v>
      </c>
      <c r="N32" s="160">
        <v>424100</v>
      </c>
      <c r="O32" s="160">
        <v>455558</v>
      </c>
      <c r="P32" s="160">
        <v>463354</v>
      </c>
      <c r="Q32" s="160">
        <v>481847</v>
      </c>
      <c r="R32" s="160">
        <v>446199</v>
      </c>
      <c r="S32" s="809"/>
      <c r="T32" s="825" t="s">
        <v>195</v>
      </c>
      <c r="U32" s="160">
        <v>474135</v>
      </c>
      <c r="V32" s="160">
        <v>479033</v>
      </c>
      <c r="W32" s="160">
        <v>470464</v>
      </c>
      <c r="X32" s="160">
        <v>473283</v>
      </c>
      <c r="Y32" s="160">
        <v>464229</v>
      </c>
      <c r="Z32" s="160">
        <v>469624</v>
      </c>
      <c r="AA32" s="160">
        <v>476210</v>
      </c>
      <c r="AB32" s="160">
        <v>482559</v>
      </c>
      <c r="AC32" s="160">
        <v>481195</v>
      </c>
      <c r="AD32" s="570"/>
    </row>
    <row r="33" spans="1:30" ht="13" customHeight="1">
      <c r="A33" s="809" t="s">
        <v>9</v>
      </c>
      <c r="B33" s="825" t="s">
        <v>360</v>
      </c>
      <c r="C33" s="160">
        <v>7307</v>
      </c>
      <c r="D33" s="160">
        <v>7713</v>
      </c>
      <c r="E33" s="160">
        <v>8277</v>
      </c>
      <c r="F33" s="160">
        <v>8204</v>
      </c>
      <c r="G33" s="160">
        <v>8323</v>
      </c>
      <c r="H33" s="160">
        <v>8671</v>
      </c>
      <c r="I33" s="160">
        <v>8793</v>
      </c>
      <c r="J33" s="160">
        <v>9366</v>
      </c>
      <c r="K33" s="160">
        <v>9527</v>
      </c>
      <c r="L33" s="160">
        <v>10189</v>
      </c>
      <c r="M33" s="160">
        <v>10761</v>
      </c>
      <c r="N33" s="160">
        <v>11318</v>
      </c>
      <c r="O33" s="160">
        <v>11999</v>
      </c>
      <c r="P33" s="160">
        <v>12169</v>
      </c>
      <c r="Q33" s="160">
        <v>12594</v>
      </c>
      <c r="R33" s="160">
        <v>11917</v>
      </c>
      <c r="S33" s="809" t="s">
        <v>9</v>
      </c>
      <c r="T33" s="825" t="s">
        <v>360</v>
      </c>
      <c r="U33" s="160">
        <v>12445</v>
      </c>
      <c r="V33" s="160">
        <v>12747</v>
      </c>
      <c r="W33" s="160">
        <v>12689</v>
      </c>
      <c r="X33" s="160">
        <v>12579.638048988945</v>
      </c>
      <c r="Y33" s="160">
        <v>12362.62986743134</v>
      </c>
      <c r="Z33" s="160">
        <v>12581.237251994247</v>
      </c>
      <c r="AA33" s="160">
        <v>12753.737180790733</v>
      </c>
      <c r="AB33" s="160">
        <v>12845.540185729358</v>
      </c>
      <c r="AC33" s="160">
        <v>13009.44632673468</v>
      </c>
      <c r="AD33" s="570"/>
    </row>
    <row r="34" spans="1:30" ht="13" customHeight="1">
      <c r="A34" s="809"/>
      <c r="B34" s="825" t="s">
        <v>361</v>
      </c>
      <c r="C34" s="723">
        <f t="shared" ref="C34:P34" si="10">(C33/C32)*1000</f>
        <v>27.098793590043133</v>
      </c>
      <c r="D34" s="723">
        <f t="shared" si="10"/>
        <v>26.751711651717894</v>
      </c>
      <c r="E34" s="723">
        <f t="shared" si="10"/>
        <v>26.409074230652646</v>
      </c>
      <c r="F34" s="723">
        <f t="shared" si="10"/>
        <v>26.908065203844011</v>
      </c>
      <c r="G34" s="723">
        <f t="shared" si="10"/>
        <v>26.668418286915397</v>
      </c>
      <c r="H34" s="723">
        <f t="shared" si="10"/>
        <v>26.972296704595649</v>
      </c>
      <c r="I34" s="723">
        <f t="shared" si="10"/>
        <v>26.639642259870573</v>
      </c>
      <c r="J34" s="723">
        <f t="shared" si="10"/>
        <v>26.370173492429064</v>
      </c>
      <c r="K34" s="723">
        <f t="shared" si="10"/>
        <v>26.061741735169811</v>
      </c>
      <c r="L34" s="723">
        <f t="shared" si="10"/>
        <v>26.261662972318163</v>
      </c>
      <c r="M34" s="723">
        <f t="shared" si="10"/>
        <v>26.240901276564614</v>
      </c>
      <c r="N34" s="723">
        <f t="shared" si="10"/>
        <v>26.68710209856166</v>
      </c>
      <c r="O34" s="723">
        <f t="shared" si="10"/>
        <v>26.339126960782163</v>
      </c>
      <c r="P34" s="723">
        <f t="shared" si="10"/>
        <v>26.262857340176193</v>
      </c>
      <c r="Q34" s="723">
        <f t="shared" ref="Q34:Y34" si="11">(Q33/Q32)*1000</f>
        <v>26.136927281896536</v>
      </c>
      <c r="R34" s="723">
        <f t="shared" si="11"/>
        <v>26.707814226387775</v>
      </c>
      <c r="S34" s="809"/>
      <c r="T34" s="825" t="s">
        <v>361</v>
      </c>
      <c r="U34" s="723">
        <f t="shared" si="11"/>
        <v>26.24779862275512</v>
      </c>
      <c r="V34" s="723">
        <f t="shared" si="11"/>
        <v>26.609857775977854</v>
      </c>
      <c r="W34" s="723">
        <f t="shared" si="11"/>
        <v>26.971245408787922</v>
      </c>
      <c r="X34" s="723">
        <f t="shared" si="11"/>
        <v>26.579526517937357</v>
      </c>
      <c r="Y34" s="723">
        <f t="shared" si="11"/>
        <v>26.630455803991868</v>
      </c>
      <c r="Z34" s="723">
        <v>26.78999909713858</v>
      </c>
      <c r="AA34" s="723">
        <v>26.781754845959014</v>
      </c>
      <c r="AB34" s="723">
        <f>AB33/AB32*1000</f>
        <v>26.619626171575618</v>
      </c>
      <c r="AC34" s="723">
        <f>AC33/AC32*1000</f>
        <v>27.035705538782988</v>
      </c>
      <c r="AD34" s="570"/>
    </row>
    <row r="35" spans="1:30" ht="13" customHeight="1">
      <c r="A35" s="810"/>
      <c r="B35" s="826" t="s">
        <v>362</v>
      </c>
      <c r="C35" s="726">
        <v>2.4</v>
      </c>
      <c r="D35" s="726">
        <v>2.57</v>
      </c>
      <c r="E35" s="726">
        <v>2.48</v>
      </c>
      <c r="F35" s="726">
        <v>2.5299999999999998</v>
      </c>
      <c r="G35" s="726">
        <v>2.66</v>
      </c>
      <c r="H35" s="726">
        <v>2.61</v>
      </c>
      <c r="I35" s="726">
        <v>2.5099999999999998</v>
      </c>
      <c r="J35" s="726">
        <v>2.5</v>
      </c>
      <c r="K35" s="726">
        <v>2.91</v>
      </c>
      <c r="L35" s="726">
        <v>3.13</v>
      </c>
      <c r="M35" s="726">
        <v>3.43</v>
      </c>
      <c r="N35" s="726">
        <v>3.65</v>
      </c>
      <c r="O35" s="726">
        <v>4.03</v>
      </c>
      <c r="P35" s="726">
        <v>4.43</v>
      </c>
      <c r="Q35" s="726">
        <v>4.7699999999999996</v>
      </c>
      <c r="R35" s="726">
        <v>4.63</v>
      </c>
      <c r="S35" s="810"/>
      <c r="T35" s="826" t="s">
        <v>362</v>
      </c>
      <c r="U35" s="726">
        <v>4.8099999999999996</v>
      </c>
      <c r="V35" s="726">
        <v>4.91</v>
      </c>
      <c r="W35" s="726">
        <v>4.96</v>
      </c>
      <c r="X35" s="726">
        <v>4.9400000000000004</v>
      </c>
      <c r="Y35" s="726">
        <v>5</v>
      </c>
      <c r="Z35" s="726">
        <v>4.88</v>
      </c>
      <c r="AA35" s="726">
        <v>4.843</v>
      </c>
      <c r="AB35" s="726">
        <v>4.7835597341010958</v>
      </c>
      <c r="AC35" s="726">
        <v>4.7835597341010958</v>
      </c>
      <c r="AD35" s="570"/>
    </row>
    <row r="36" spans="1:30" ht="13" customHeight="1">
      <c r="A36" s="809"/>
      <c r="B36" s="825" t="s">
        <v>302</v>
      </c>
      <c r="C36" s="160">
        <v>1183908</v>
      </c>
      <c r="D36" s="160">
        <v>1179088</v>
      </c>
      <c r="E36" s="160">
        <v>1207275</v>
      </c>
      <c r="F36" s="160">
        <v>1230543</v>
      </c>
      <c r="G36" s="160">
        <v>1236984</v>
      </c>
      <c r="H36" s="160">
        <v>1269979</v>
      </c>
      <c r="I36" s="160">
        <v>1256101</v>
      </c>
      <c r="J36" s="160">
        <v>1274425</v>
      </c>
      <c r="K36" s="160">
        <v>1262782</v>
      </c>
      <c r="L36" s="160">
        <v>1237593</v>
      </c>
      <c r="M36" s="160">
        <v>1245169</v>
      </c>
      <c r="N36" s="160">
        <v>1226612</v>
      </c>
      <c r="O36" s="160">
        <v>1194404</v>
      </c>
      <c r="P36" s="160">
        <v>1234089</v>
      </c>
      <c r="Q36" s="160">
        <v>1211917</v>
      </c>
      <c r="R36" s="160">
        <v>1194708</v>
      </c>
      <c r="S36" s="809"/>
      <c r="T36" s="825" t="s">
        <v>302</v>
      </c>
      <c r="U36" s="160">
        <v>1105018</v>
      </c>
      <c r="V36" s="160">
        <v>1106201</v>
      </c>
      <c r="W36" s="160">
        <v>1093124</v>
      </c>
      <c r="X36" s="160">
        <v>1095921</v>
      </c>
      <c r="Y36" s="160">
        <v>1085550</v>
      </c>
      <c r="Z36" s="160">
        <v>1075425</v>
      </c>
      <c r="AA36" s="160">
        <v>1069411</v>
      </c>
      <c r="AB36" s="723">
        <v>1071971</v>
      </c>
      <c r="AC36" s="160">
        <v>1056907</v>
      </c>
      <c r="AD36" s="570"/>
    </row>
    <row r="37" spans="1:30" ht="13" customHeight="1">
      <c r="A37" s="809"/>
      <c r="B37" s="825" t="s">
        <v>195</v>
      </c>
      <c r="C37" s="160">
        <v>91890</v>
      </c>
      <c r="D37" s="160">
        <v>95157</v>
      </c>
      <c r="E37" s="160">
        <v>97389</v>
      </c>
      <c r="F37" s="160">
        <v>101826</v>
      </c>
      <c r="G37" s="160">
        <v>109330</v>
      </c>
      <c r="H37" s="160">
        <v>112106</v>
      </c>
      <c r="I37" s="160">
        <v>113801</v>
      </c>
      <c r="J37" s="160">
        <v>118399</v>
      </c>
      <c r="K37" s="160">
        <v>119237</v>
      </c>
      <c r="L37" s="160">
        <v>127316</v>
      </c>
      <c r="M37" s="160">
        <v>123384</v>
      </c>
      <c r="N37" s="160">
        <v>128346</v>
      </c>
      <c r="O37" s="160">
        <v>130530</v>
      </c>
      <c r="P37" s="160">
        <v>125729</v>
      </c>
      <c r="Q37" s="160">
        <v>123360</v>
      </c>
      <c r="R37" s="160">
        <v>119806</v>
      </c>
      <c r="S37" s="809"/>
      <c r="T37" s="825" t="s">
        <v>195</v>
      </c>
      <c r="U37" s="160">
        <v>119195</v>
      </c>
      <c r="V37" s="160">
        <v>120748</v>
      </c>
      <c r="W37" s="160">
        <v>119726</v>
      </c>
      <c r="X37" s="160">
        <v>115790</v>
      </c>
      <c r="Y37" s="160">
        <v>113685</v>
      </c>
      <c r="Z37" s="160">
        <v>117682</v>
      </c>
      <c r="AA37" s="160">
        <v>118241</v>
      </c>
      <c r="AB37" s="160">
        <v>119364</v>
      </c>
      <c r="AC37" s="160">
        <v>115666</v>
      </c>
      <c r="AD37" s="570"/>
    </row>
    <row r="38" spans="1:30" ht="13" customHeight="1">
      <c r="A38" s="809" t="s">
        <v>10</v>
      </c>
      <c r="B38" s="825" t="s">
        <v>360</v>
      </c>
      <c r="C38" s="160">
        <v>3194</v>
      </c>
      <c r="D38" s="160">
        <v>3232</v>
      </c>
      <c r="E38" s="160">
        <v>3242</v>
      </c>
      <c r="F38" s="160">
        <v>3496</v>
      </c>
      <c r="G38" s="160">
        <v>3699</v>
      </c>
      <c r="H38" s="160">
        <v>3863</v>
      </c>
      <c r="I38" s="160">
        <v>3839</v>
      </c>
      <c r="J38" s="160">
        <v>4053</v>
      </c>
      <c r="K38" s="160">
        <v>3971</v>
      </c>
      <c r="L38" s="160">
        <v>4175</v>
      </c>
      <c r="M38" s="160">
        <v>4075</v>
      </c>
      <c r="N38" s="160">
        <v>4235</v>
      </c>
      <c r="O38" s="160">
        <v>4350</v>
      </c>
      <c r="P38" s="160">
        <v>4179</v>
      </c>
      <c r="Q38" s="160">
        <v>4170</v>
      </c>
      <c r="R38" s="160">
        <v>3980</v>
      </c>
      <c r="S38" s="809" t="s">
        <v>10</v>
      </c>
      <c r="T38" s="825" t="s">
        <v>360</v>
      </c>
      <c r="U38" s="160">
        <v>3977</v>
      </c>
      <c r="V38" s="160">
        <v>4009</v>
      </c>
      <c r="W38" s="160">
        <v>4003</v>
      </c>
      <c r="X38" s="160">
        <v>3847.592056242348</v>
      </c>
      <c r="Y38" s="160">
        <v>3818.3519517499999</v>
      </c>
      <c r="Z38" s="160">
        <v>3940.0390321999998</v>
      </c>
      <c r="AA38" s="160">
        <v>3971.3008508293769</v>
      </c>
      <c r="AB38" s="160">
        <v>4021.2753660604235</v>
      </c>
      <c r="AC38" s="160">
        <v>3961.8268804917011</v>
      </c>
      <c r="AD38" s="570"/>
    </row>
    <row r="39" spans="1:30" ht="13" customHeight="1">
      <c r="A39" s="809"/>
      <c r="B39" s="825" t="s">
        <v>361</v>
      </c>
      <c r="C39" s="723">
        <f t="shared" ref="C39:P39" si="12">(C38/C37)*1000</f>
        <v>34.758950919577757</v>
      </c>
      <c r="D39" s="723">
        <f t="shared" si="12"/>
        <v>33.964921130342489</v>
      </c>
      <c r="E39" s="723">
        <f t="shared" si="12"/>
        <v>33.289180502931544</v>
      </c>
      <c r="F39" s="723">
        <f t="shared" si="12"/>
        <v>34.333077995796756</v>
      </c>
      <c r="G39" s="723">
        <f t="shared" si="12"/>
        <v>33.833348577700541</v>
      </c>
      <c r="H39" s="723">
        <f t="shared" si="12"/>
        <v>34.458458958485721</v>
      </c>
      <c r="I39" s="723">
        <f t="shared" si="12"/>
        <v>33.734325708912927</v>
      </c>
      <c r="J39" s="723">
        <f t="shared" si="12"/>
        <v>34.23170803807465</v>
      </c>
      <c r="K39" s="723">
        <f t="shared" si="12"/>
        <v>33.303420918003638</v>
      </c>
      <c r="L39" s="723">
        <f t="shared" si="12"/>
        <v>32.792422005089698</v>
      </c>
      <c r="M39" s="723">
        <f t="shared" si="12"/>
        <v>33.026972703105749</v>
      </c>
      <c r="N39" s="723">
        <f t="shared" si="12"/>
        <v>32.996743178595359</v>
      </c>
      <c r="O39" s="723">
        <f t="shared" si="12"/>
        <v>33.325672259250744</v>
      </c>
      <c r="P39" s="723">
        <f t="shared" si="12"/>
        <v>33.238155079575911</v>
      </c>
      <c r="Q39" s="723">
        <f t="shared" ref="Q39:Y39" si="13">(Q38/Q37)*1000</f>
        <v>33.803501945525291</v>
      </c>
      <c r="R39" s="723">
        <f t="shared" si="13"/>
        <v>33.220372936246932</v>
      </c>
      <c r="S39" s="809"/>
      <c r="T39" s="825" t="s">
        <v>361</v>
      </c>
      <c r="U39" s="723">
        <f t="shared" si="13"/>
        <v>33.365493519023453</v>
      </c>
      <c r="V39" s="723">
        <f t="shared" si="13"/>
        <v>33.201378076655509</v>
      </c>
      <c r="W39" s="723">
        <f t="shared" si="13"/>
        <v>33.434675843175249</v>
      </c>
      <c r="X39" s="723">
        <f t="shared" si="13"/>
        <v>33.229053080942634</v>
      </c>
      <c r="Y39" s="723">
        <f t="shared" si="13"/>
        <v>33.587121887232264</v>
      </c>
      <c r="Z39" s="723">
        <v>33.480302749011528</v>
      </c>
      <c r="AA39" s="723">
        <v>33.586410592824819</v>
      </c>
      <c r="AB39" s="723">
        <f>AB38/AB37*1000</f>
        <v>33.68918070825729</v>
      </c>
      <c r="AC39" s="723">
        <f>AC38/AC37*1000</f>
        <v>34.252303014643033</v>
      </c>
      <c r="AD39" s="570"/>
    </row>
    <row r="40" spans="1:30" ht="13" customHeight="1">
      <c r="A40" s="810"/>
      <c r="B40" s="826" t="s">
        <v>362</v>
      </c>
      <c r="C40" s="726">
        <v>1.93</v>
      </c>
      <c r="D40" s="726">
        <v>2.1800000000000002</v>
      </c>
      <c r="E40" s="726">
        <v>2.39</v>
      </c>
      <c r="F40" s="726">
        <v>2.4</v>
      </c>
      <c r="G40" s="726">
        <v>2.4500000000000002</v>
      </c>
      <c r="H40" s="726">
        <v>2.4900000000000002</v>
      </c>
      <c r="I40" s="726">
        <v>2.39</v>
      </c>
      <c r="J40" s="726">
        <v>2.31</v>
      </c>
      <c r="K40" s="726">
        <v>2.7</v>
      </c>
      <c r="L40" s="726">
        <v>2.88</v>
      </c>
      <c r="M40" s="726">
        <v>3.02</v>
      </c>
      <c r="N40" s="726">
        <v>3.4</v>
      </c>
      <c r="O40" s="726">
        <v>3.61</v>
      </c>
      <c r="P40" s="726">
        <v>3.87</v>
      </c>
      <c r="Q40" s="726">
        <v>4.25</v>
      </c>
      <c r="R40" s="726">
        <v>4.09</v>
      </c>
      <c r="S40" s="810"/>
      <c r="T40" s="826" t="s">
        <v>362</v>
      </c>
      <c r="U40" s="726">
        <v>4.32</v>
      </c>
      <c r="V40" s="726">
        <v>4.25</v>
      </c>
      <c r="W40" s="726">
        <v>4.28</v>
      </c>
      <c r="X40" s="726">
        <v>4.2699999999999996</v>
      </c>
      <c r="Y40" s="726">
        <v>4.13</v>
      </c>
      <c r="Z40" s="726">
        <v>3.9670000000000001</v>
      </c>
      <c r="AA40" s="726">
        <v>3.863</v>
      </c>
      <c r="AB40" s="726">
        <v>3.8021183423451341</v>
      </c>
      <c r="AC40" s="726">
        <v>3.8021183423451341</v>
      </c>
      <c r="AD40" s="570"/>
    </row>
    <row r="41" spans="1:30" ht="13" customHeight="1">
      <c r="A41" s="809"/>
      <c r="B41" s="825" t="s">
        <v>196</v>
      </c>
      <c r="C41" s="160">
        <v>11899785</v>
      </c>
      <c r="D41" s="160">
        <v>12705402</v>
      </c>
      <c r="E41" s="160">
        <v>12651366</v>
      </c>
      <c r="F41" s="160">
        <v>13059118</v>
      </c>
      <c r="G41" s="160">
        <v>13362491</v>
      </c>
      <c r="H41" s="160">
        <v>13654721</v>
      </c>
      <c r="I41" s="160">
        <v>15842743</v>
      </c>
      <c r="J41" s="160">
        <v>16572273</v>
      </c>
      <c r="K41" s="160">
        <v>17048710</v>
      </c>
      <c r="L41" s="160">
        <v>17206413</v>
      </c>
      <c r="M41" s="160">
        <v>18156674</v>
      </c>
      <c r="N41" s="160">
        <v>19950695</v>
      </c>
      <c r="O41" s="160">
        <v>19846405</v>
      </c>
      <c r="P41" s="160">
        <v>21805630</v>
      </c>
      <c r="Q41" s="160">
        <v>22353253</v>
      </c>
      <c r="R41" s="160">
        <v>23883311</v>
      </c>
      <c r="S41" s="809"/>
      <c r="T41" s="825" t="s">
        <v>196</v>
      </c>
      <c r="U41" s="160">
        <v>24752078</v>
      </c>
      <c r="V41" s="160">
        <v>25559765</v>
      </c>
      <c r="W41" s="160">
        <v>27705670</v>
      </c>
      <c r="X41" s="160">
        <v>29468986</v>
      </c>
      <c r="Y41" s="160">
        <v>29468986</v>
      </c>
      <c r="Z41" s="160">
        <v>28938922</v>
      </c>
      <c r="AA41" s="160">
        <v>29494581</v>
      </c>
      <c r="AB41" s="160">
        <v>27948014</v>
      </c>
      <c r="AC41" s="160">
        <v>27776727</v>
      </c>
      <c r="AD41" s="570"/>
    </row>
    <row r="42" spans="1:30" ht="13" customHeight="1">
      <c r="A42" s="1013" t="s">
        <v>408</v>
      </c>
      <c r="B42" s="825" t="s">
        <v>363</v>
      </c>
      <c r="C42" s="160">
        <v>178686</v>
      </c>
      <c r="D42" s="160">
        <v>188391</v>
      </c>
      <c r="E42" s="160">
        <v>190915</v>
      </c>
      <c r="F42" s="160">
        <v>197839</v>
      </c>
      <c r="G42" s="160">
        <v>202357</v>
      </c>
      <c r="H42" s="160">
        <v>207086</v>
      </c>
      <c r="I42" s="160">
        <v>245451</v>
      </c>
      <c r="J42" s="160">
        <v>257621</v>
      </c>
      <c r="K42" s="160">
        <v>266541</v>
      </c>
      <c r="L42" s="160">
        <v>268707</v>
      </c>
      <c r="M42" s="160">
        <v>285102</v>
      </c>
      <c r="N42" s="160">
        <v>317654</v>
      </c>
      <c r="O42" s="160">
        <v>314024</v>
      </c>
      <c r="P42" s="160">
        <v>349791</v>
      </c>
      <c r="Q42" s="160">
        <v>358630</v>
      </c>
      <c r="R42" s="160">
        <v>386255</v>
      </c>
      <c r="S42" s="1013" t="s">
        <v>408</v>
      </c>
      <c r="T42" s="825" t="s">
        <v>363</v>
      </c>
      <c r="U42" s="160">
        <v>400980</v>
      </c>
      <c r="V42" s="160">
        <v>415336</v>
      </c>
      <c r="W42" s="160">
        <v>452234</v>
      </c>
      <c r="X42" s="160">
        <v>488484.4</v>
      </c>
      <c r="Y42" s="160">
        <v>497525.4</v>
      </c>
      <c r="Z42" s="160">
        <v>504112</v>
      </c>
      <c r="AA42" s="160">
        <v>510961.58156569261</v>
      </c>
      <c r="AB42" s="160">
        <v>510631.00285438937</v>
      </c>
      <c r="AC42" s="160">
        <v>508591.81465513736</v>
      </c>
      <c r="AD42" s="570"/>
    </row>
    <row r="43" spans="1:30" ht="13" customHeight="1">
      <c r="A43" s="1013"/>
      <c r="B43" s="825" t="s">
        <v>364</v>
      </c>
      <c r="C43" s="724">
        <f t="shared" ref="C43:P43" si="14">(C42/C41)*1000</f>
        <v>15.015901547801073</v>
      </c>
      <c r="D43" s="724">
        <f t="shared" si="14"/>
        <v>14.827630011234591</v>
      </c>
      <c r="E43" s="724">
        <f t="shared" si="14"/>
        <v>15.090465329988872</v>
      </c>
      <c r="F43" s="723">
        <f t="shared" si="14"/>
        <v>15.149491719119164</v>
      </c>
      <c r="G43" s="723">
        <f t="shared" si="14"/>
        <v>15.143658469068379</v>
      </c>
      <c r="H43" s="723">
        <f t="shared" si="14"/>
        <v>15.165890244114106</v>
      </c>
      <c r="I43" s="723">
        <f t="shared" si="14"/>
        <v>15.492961035850925</v>
      </c>
      <c r="J43" s="723">
        <f t="shared" si="14"/>
        <v>15.545302687205311</v>
      </c>
      <c r="K43" s="723">
        <f t="shared" si="14"/>
        <v>15.634086098009762</v>
      </c>
      <c r="L43" s="723">
        <f t="shared" si="14"/>
        <v>15.616677340012703</v>
      </c>
      <c r="M43" s="723">
        <f t="shared" si="14"/>
        <v>15.702325216611808</v>
      </c>
      <c r="N43" s="723">
        <f t="shared" si="14"/>
        <v>15.921951591160107</v>
      </c>
      <c r="O43" s="723">
        <f t="shared" si="14"/>
        <v>15.822714491616996</v>
      </c>
      <c r="P43" s="723">
        <f t="shared" si="14"/>
        <v>16.041315935379991</v>
      </c>
      <c r="Q43" s="723">
        <f t="shared" ref="Q43:Y43" si="15">(Q42/Q41)*1000</f>
        <v>16.043749873899785</v>
      </c>
      <c r="R43" s="723">
        <f t="shared" si="15"/>
        <v>16.172590140454144</v>
      </c>
      <c r="S43" s="1013"/>
      <c r="T43" s="825" t="s">
        <v>364</v>
      </c>
      <c r="U43" s="723">
        <f t="shared" si="15"/>
        <v>16.199851988184587</v>
      </c>
      <c r="V43" s="723">
        <f t="shared" si="15"/>
        <v>16.249601668872934</v>
      </c>
      <c r="W43" s="723">
        <f t="shared" si="15"/>
        <v>16.322796019731701</v>
      </c>
      <c r="X43" s="723">
        <f t="shared" si="15"/>
        <v>16.576220165838077</v>
      </c>
      <c r="Y43" s="723">
        <f t="shared" si="15"/>
        <v>16.883017284680243</v>
      </c>
      <c r="Z43" s="723">
        <v>17.419862248515997</v>
      </c>
      <c r="AA43" s="723">
        <f>AA42/AA41*1000</f>
        <v>17.323913893392572</v>
      </c>
      <c r="AB43" s="723">
        <f>AB42/AB41*1000</f>
        <v>18.270743776441122</v>
      </c>
      <c r="AC43" s="723">
        <f>AC42/AC41*1000</f>
        <v>18.309997958187708</v>
      </c>
      <c r="AD43" s="570"/>
    </row>
    <row r="44" spans="1:30" ht="13" customHeight="1">
      <c r="A44" s="810"/>
      <c r="B44" s="826" t="s">
        <v>362</v>
      </c>
      <c r="C44" s="727">
        <v>2.74</v>
      </c>
      <c r="D44" s="727">
        <v>2.73</v>
      </c>
      <c r="E44" s="727">
        <v>2.91</v>
      </c>
      <c r="F44" s="727">
        <v>2.78</v>
      </c>
      <c r="G44" s="727">
        <v>3.07</v>
      </c>
      <c r="H44" s="727">
        <v>3.2</v>
      </c>
      <c r="I44" s="727">
        <v>3.07</v>
      </c>
      <c r="J44" s="727">
        <v>3.09</v>
      </c>
      <c r="K44" s="727">
        <v>3.81</v>
      </c>
      <c r="L44" s="727">
        <v>3.79</v>
      </c>
      <c r="M44" s="727">
        <v>3.73</v>
      </c>
      <c r="N44" s="727">
        <v>3.88</v>
      </c>
      <c r="O44" s="727">
        <v>4.1500000000000004</v>
      </c>
      <c r="P44" s="727">
        <v>4.33</v>
      </c>
      <c r="Q44" s="727">
        <v>4.63</v>
      </c>
      <c r="R44" s="727">
        <v>4.66</v>
      </c>
      <c r="S44" s="810"/>
      <c r="T44" s="826" t="s">
        <v>362</v>
      </c>
      <c r="U44" s="727">
        <v>4.72</v>
      </c>
      <c r="V44" s="727">
        <v>4.75</v>
      </c>
      <c r="W44" s="727">
        <v>4.67</v>
      </c>
      <c r="X44" s="727">
        <v>4.1399999999999997</v>
      </c>
      <c r="Y44" s="727">
        <v>4.21</v>
      </c>
      <c r="Z44" s="727">
        <v>4.2839999999999998</v>
      </c>
      <c r="AA44" s="727">
        <v>4.62</v>
      </c>
      <c r="AB44" s="727">
        <v>5.2925254418975856</v>
      </c>
      <c r="AC44" s="727">
        <v>5.2925254418975856</v>
      </c>
      <c r="AD44" s="570"/>
    </row>
    <row r="45" spans="1:30" ht="13" customHeight="1">
      <c r="A45" s="809"/>
      <c r="B45" s="825" t="s">
        <v>199</v>
      </c>
      <c r="C45" s="160">
        <v>553872</v>
      </c>
      <c r="D45" s="160">
        <v>570399</v>
      </c>
      <c r="E45" s="160">
        <v>635516</v>
      </c>
      <c r="F45" s="160">
        <v>649791</v>
      </c>
      <c r="G45" s="160">
        <v>674830</v>
      </c>
      <c r="H45" s="160">
        <v>708120</v>
      </c>
      <c r="I45" s="160">
        <v>743671</v>
      </c>
      <c r="J45" s="160">
        <v>753189</v>
      </c>
      <c r="K45" s="160">
        <v>769581</v>
      </c>
      <c r="L45" s="160">
        <v>787007</v>
      </c>
      <c r="M45" s="160">
        <v>787604</v>
      </c>
      <c r="N45" s="160">
        <v>815393</v>
      </c>
      <c r="O45" s="160">
        <v>859630</v>
      </c>
      <c r="P45" s="160">
        <v>859468</v>
      </c>
      <c r="Q45" s="160">
        <v>874941</v>
      </c>
      <c r="R45" s="160">
        <v>886143</v>
      </c>
      <c r="S45" s="809"/>
      <c r="T45" s="825" t="s">
        <v>199</v>
      </c>
      <c r="U45" s="160">
        <v>895716</v>
      </c>
      <c r="V45" s="160">
        <v>890154</v>
      </c>
      <c r="W45" s="160">
        <v>896710</v>
      </c>
      <c r="X45" s="160">
        <v>905817</v>
      </c>
      <c r="Y45" s="160">
        <v>906689</v>
      </c>
      <c r="Z45" s="160">
        <v>932745</v>
      </c>
      <c r="AA45" s="160">
        <v>945549</v>
      </c>
      <c r="AB45" s="160">
        <v>933516</v>
      </c>
      <c r="AC45" s="160">
        <v>933907</v>
      </c>
      <c r="AD45" s="570"/>
    </row>
    <row r="46" spans="1:30" ht="13" customHeight="1">
      <c r="A46" s="1013" t="s">
        <v>423</v>
      </c>
      <c r="B46" s="825" t="s">
        <v>363</v>
      </c>
      <c r="C46" s="160">
        <v>903216</v>
      </c>
      <c r="D46" s="160">
        <v>989706</v>
      </c>
      <c r="E46" s="160">
        <v>1051482</v>
      </c>
      <c r="F46" s="160">
        <v>1104820</v>
      </c>
      <c r="G46" s="160">
        <v>1164973</v>
      </c>
      <c r="H46" s="160">
        <v>1236836</v>
      </c>
      <c r="I46" s="160">
        <v>1346991</v>
      </c>
      <c r="J46" s="160">
        <v>1455815</v>
      </c>
      <c r="K46" s="160">
        <v>1565528</v>
      </c>
      <c r="L46" s="160">
        <v>1652112</v>
      </c>
      <c r="M46" s="160">
        <v>1678372</v>
      </c>
      <c r="N46" s="160">
        <v>1755529</v>
      </c>
      <c r="O46" s="160">
        <v>1790670</v>
      </c>
      <c r="P46" s="160">
        <v>1807806</v>
      </c>
      <c r="Q46" s="160">
        <v>1840226</v>
      </c>
      <c r="R46" s="160">
        <v>1903177</v>
      </c>
      <c r="S46" s="1013" t="s">
        <v>423</v>
      </c>
      <c r="T46" s="825" t="s">
        <v>363</v>
      </c>
      <c r="U46" s="160">
        <v>1954232</v>
      </c>
      <c r="V46" s="160">
        <v>2013674</v>
      </c>
      <c r="W46" s="160">
        <v>2067143</v>
      </c>
      <c r="X46" s="160">
        <v>2121365.7999999998</v>
      </c>
      <c r="Y46" s="160">
        <v>2135881.2999999998</v>
      </c>
      <c r="Z46" s="160">
        <v>2184934.5</v>
      </c>
      <c r="AA46" s="160">
        <v>2246935.8620396559</v>
      </c>
      <c r="AB46" s="160">
        <v>2201096.2876995048</v>
      </c>
      <c r="AC46" s="160">
        <v>2228888.9714991995</v>
      </c>
      <c r="AD46" s="570"/>
    </row>
    <row r="47" spans="1:30" ht="13" customHeight="1">
      <c r="A47" s="1013"/>
      <c r="B47" s="825" t="s">
        <v>365</v>
      </c>
      <c r="C47" s="160">
        <f t="shared" ref="C47:P47" si="16">(C46/C45)*1000</f>
        <v>1630.7305659069245</v>
      </c>
      <c r="D47" s="160">
        <f t="shared" si="16"/>
        <v>1735.1117375731724</v>
      </c>
      <c r="E47" s="160">
        <f t="shared" si="16"/>
        <v>1654.5326946921873</v>
      </c>
      <c r="F47" s="160">
        <f t="shared" si="16"/>
        <v>1700.2697790520335</v>
      </c>
      <c r="G47" s="160">
        <f t="shared" si="16"/>
        <v>1726.3207029918647</v>
      </c>
      <c r="H47" s="160">
        <f t="shared" si="16"/>
        <v>1746.6474608823364</v>
      </c>
      <c r="I47" s="160">
        <f t="shared" si="16"/>
        <v>1811.2727267837524</v>
      </c>
      <c r="J47" s="160">
        <f t="shared" si="16"/>
        <v>1932.8681114567526</v>
      </c>
      <c r="K47" s="160">
        <f t="shared" si="16"/>
        <v>2034.2602013303344</v>
      </c>
      <c r="L47" s="160">
        <f t="shared" si="16"/>
        <v>2099.2341872435695</v>
      </c>
      <c r="M47" s="160">
        <f t="shared" si="16"/>
        <v>2130.9846064773669</v>
      </c>
      <c r="N47" s="160">
        <f t="shared" si="16"/>
        <v>2152.9851249642807</v>
      </c>
      <c r="O47" s="160">
        <f t="shared" si="16"/>
        <v>2083.0706234077452</v>
      </c>
      <c r="P47" s="160">
        <f t="shared" si="16"/>
        <v>2103.4011737493429</v>
      </c>
      <c r="Q47" s="160">
        <f t="shared" ref="Q47:Y47" si="17">(Q46/Q45)*1000</f>
        <v>2103.2572482030218</v>
      </c>
      <c r="R47" s="160">
        <f t="shared" si="17"/>
        <v>2147.7086655314097</v>
      </c>
      <c r="S47" s="1013"/>
      <c r="T47" s="825" t="s">
        <v>365</v>
      </c>
      <c r="U47" s="160">
        <f t="shared" si="17"/>
        <v>2181.754038110294</v>
      </c>
      <c r="V47" s="160">
        <f t="shared" si="17"/>
        <v>2262.1636256198367</v>
      </c>
      <c r="W47" s="160">
        <f t="shared" si="17"/>
        <v>2305.2525342641434</v>
      </c>
      <c r="X47" s="160">
        <f t="shared" si="17"/>
        <v>2341.9363955412623</v>
      </c>
      <c r="Y47" s="160">
        <f t="shared" si="17"/>
        <v>2355.693407552093</v>
      </c>
      <c r="Z47" s="160">
        <v>2342.4789289632931</v>
      </c>
      <c r="AA47" s="160">
        <v>2376.3291305048865</v>
      </c>
      <c r="AB47" s="723">
        <f>AB46/AB45*1000</f>
        <v>2357.8559850066895</v>
      </c>
      <c r="AC47" s="723">
        <f>AC46/AC45*1000</f>
        <v>2386.6284025060309</v>
      </c>
      <c r="AD47" s="570"/>
    </row>
    <row r="48" spans="1:30" ht="13" customHeight="1">
      <c r="A48" s="810"/>
      <c r="B48" s="826" t="s">
        <v>366</v>
      </c>
      <c r="C48" s="727">
        <v>0.78</v>
      </c>
      <c r="D48" s="727">
        <v>0.79</v>
      </c>
      <c r="E48" s="727">
        <v>0.8</v>
      </c>
      <c r="F48" s="727">
        <v>0.8</v>
      </c>
      <c r="G48" s="727">
        <v>0.83</v>
      </c>
      <c r="H48" s="727">
        <v>0.86</v>
      </c>
      <c r="I48" s="727">
        <v>0.86</v>
      </c>
      <c r="J48" s="727">
        <v>0.86</v>
      </c>
      <c r="K48" s="727">
        <v>0.92</v>
      </c>
      <c r="L48" s="727">
        <v>0.97</v>
      </c>
      <c r="M48" s="727">
        <v>0.98</v>
      </c>
      <c r="N48" s="727">
        <v>1.01</v>
      </c>
      <c r="O48" s="727">
        <v>1.07</v>
      </c>
      <c r="P48" s="727">
        <v>1.1399999999999999</v>
      </c>
      <c r="Q48" s="727">
        <v>1.1499999999999999</v>
      </c>
      <c r="R48" s="727">
        <v>1.21</v>
      </c>
      <c r="S48" s="810"/>
      <c r="T48" s="826" t="s">
        <v>366</v>
      </c>
      <c r="U48" s="727">
        <v>1.24</v>
      </c>
      <c r="V48" s="727">
        <v>1.29</v>
      </c>
      <c r="W48" s="727">
        <v>1.31</v>
      </c>
      <c r="X48" s="727">
        <v>1.34</v>
      </c>
      <c r="Y48" s="727">
        <v>1.37</v>
      </c>
      <c r="Z48" s="727">
        <v>1.4419999999999999</v>
      </c>
      <c r="AA48" s="727">
        <v>1.4970000000000001</v>
      </c>
      <c r="AB48" s="727">
        <v>1.5049791005795043</v>
      </c>
      <c r="AC48" s="727">
        <v>1.5049791005795043</v>
      </c>
      <c r="AD48" s="570"/>
    </row>
    <row r="49" spans="1:30" ht="13" customHeight="1">
      <c r="A49" s="809"/>
      <c r="B49" s="825" t="s">
        <v>204</v>
      </c>
      <c r="C49" s="160">
        <v>1825696</v>
      </c>
      <c r="D49" s="160">
        <v>1936439</v>
      </c>
      <c r="E49" s="160">
        <v>1784549</v>
      </c>
      <c r="F49" s="160">
        <v>1774369</v>
      </c>
      <c r="G49" s="160">
        <v>1831357</v>
      </c>
      <c r="H49" s="160">
        <v>1995906</v>
      </c>
      <c r="I49" s="160">
        <v>1980553</v>
      </c>
      <c r="J49" s="160">
        <v>2208305</v>
      </c>
      <c r="K49" s="160">
        <v>2325284</v>
      </c>
      <c r="L49" s="160">
        <v>2513106</v>
      </c>
      <c r="M49" s="160">
        <v>2481124</v>
      </c>
      <c r="N49" s="160">
        <v>2573193</v>
      </c>
      <c r="O49" s="160">
        <v>2636389</v>
      </c>
      <c r="P49" s="160">
        <v>2391039</v>
      </c>
      <c r="Q49" s="160">
        <v>2894758</v>
      </c>
      <c r="R49" s="160">
        <v>2372976</v>
      </c>
      <c r="S49" s="809"/>
      <c r="T49" s="825" t="s">
        <v>204</v>
      </c>
      <c r="U49" s="160">
        <v>2420549</v>
      </c>
      <c r="V49" s="160">
        <v>2296839</v>
      </c>
      <c r="W49" s="160">
        <v>2365529</v>
      </c>
      <c r="X49" s="160">
        <v>2254980</v>
      </c>
      <c r="Y49" s="160">
        <v>2131029</v>
      </c>
      <c r="Z49" s="160">
        <v>2119402</v>
      </c>
      <c r="AA49" s="160">
        <v>2139190</v>
      </c>
      <c r="AB49" s="160">
        <v>2140341</v>
      </c>
      <c r="AC49" s="160">
        <v>2119261</v>
      </c>
      <c r="AD49" s="570"/>
    </row>
    <row r="50" spans="1:30" ht="13" customHeight="1">
      <c r="A50" s="1013" t="s">
        <v>409</v>
      </c>
      <c r="B50" s="825" t="s">
        <v>363</v>
      </c>
      <c r="C50" s="160">
        <v>3110</v>
      </c>
      <c r="D50" s="160">
        <v>3399</v>
      </c>
      <c r="E50" s="160">
        <v>3165</v>
      </c>
      <c r="F50" s="160">
        <v>3103</v>
      </c>
      <c r="G50" s="160">
        <v>3248</v>
      </c>
      <c r="H50" s="160">
        <v>3597</v>
      </c>
      <c r="I50" s="160">
        <v>3510</v>
      </c>
      <c r="J50" s="160">
        <v>3895</v>
      </c>
      <c r="K50" s="160">
        <v>4019</v>
      </c>
      <c r="L50" s="160">
        <v>4387</v>
      </c>
      <c r="M50" s="160">
        <v>4352</v>
      </c>
      <c r="N50" s="160">
        <v>4661</v>
      </c>
      <c r="O50" s="160">
        <v>4797</v>
      </c>
      <c r="P50" s="160">
        <v>4420</v>
      </c>
      <c r="Q50" s="160">
        <v>4485</v>
      </c>
      <c r="R50" s="160">
        <v>4438</v>
      </c>
      <c r="S50" s="1013" t="s">
        <v>409</v>
      </c>
      <c r="T50" s="825" t="s">
        <v>363</v>
      </c>
      <c r="U50" s="160">
        <v>4508</v>
      </c>
      <c r="V50" s="160">
        <v>4314</v>
      </c>
      <c r="W50" s="160">
        <v>4575</v>
      </c>
      <c r="X50" s="160">
        <v>4453.0293069745203</v>
      </c>
      <c r="Y50" s="160">
        <v>4351.674739344</v>
      </c>
      <c r="Z50" s="160">
        <v>4403.3227581280007</v>
      </c>
      <c r="AA50" s="160">
        <v>4421.9439097736595</v>
      </c>
      <c r="AB50" s="160">
        <v>4466.3716061790037</v>
      </c>
      <c r="AC50" s="160">
        <v>4615.2265246605402</v>
      </c>
      <c r="AD50" s="570"/>
    </row>
    <row r="51" spans="1:30" ht="13" customHeight="1">
      <c r="A51" s="1013"/>
      <c r="B51" s="825" t="s">
        <v>367</v>
      </c>
      <c r="C51" s="724">
        <f t="shared" ref="C51:P51" si="18">(C50/C49)*1000</f>
        <v>1.70345994075684</v>
      </c>
      <c r="D51" s="724">
        <f t="shared" si="18"/>
        <v>1.7552837967010579</v>
      </c>
      <c r="E51" s="724">
        <f t="shared" si="18"/>
        <v>1.7735573525860036</v>
      </c>
      <c r="F51" s="724">
        <f t="shared" si="18"/>
        <v>1.7487906968618139</v>
      </c>
      <c r="G51" s="724">
        <f t="shared" si="18"/>
        <v>1.7735482486484067</v>
      </c>
      <c r="H51" s="724">
        <f t="shared" si="18"/>
        <v>1.8021890810489072</v>
      </c>
      <c r="I51" s="724">
        <f t="shared" si="18"/>
        <v>1.7722323007766012</v>
      </c>
      <c r="J51" s="724">
        <f t="shared" si="18"/>
        <v>1.7637962147438873</v>
      </c>
      <c r="K51" s="724">
        <f t="shared" si="18"/>
        <v>1.7283910266444873</v>
      </c>
      <c r="L51" s="724">
        <f t="shared" si="18"/>
        <v>1.7456486117179297</v>
      </c>
      <c r="M51" s="724">
        <f t="shared" si="18"/>
        <v>1.7540437317925264</v>
      </c>
      <c r="N51" s="724">
        <f t="shared" si="18"/>
        <v>1.8113682106239213</v>
      </c>
      <c r="O51" s="724">
        <f t="shared" si="18"/>
        <v>1.8195342189638934</v>
      </c>
      <c r="P51" s="724">
        <f t="shared" si="18"/>
        <v>1.8485687602753447</v>
      </c>
      <c r="Q51" s="724">
        <f t="shared" ref="Q51:Y51" si="19">(Q50/Q49)*1000</f>
        <v>1.5493523120067376</v>
      </c>
      <c r="R51" s="724">
        <f t="shared" si="19"/>
        <v>1.8702254047238573</v>
      </c>
      <c r="S51" s="1013"/>
      <c r="T51" s="825" t="s">
        <v>367</v>
      </c>
      <c r="U51" s="724">
        <f t="shared" si="19"/>
        <v>1.8623874170694334</v>
      </c>
      <c r="V51" s="724">
        <f t="shared" si="19"/>
        <v>1.8782335200682327</v>
      </c>
      <c r="W51" s="724">
        <f t="shared" si="19"/>
        <v>1.9340282871188643</v>
      </c>
      <c r="X51" s="724">
        <f t="shared" si="19"/>
        <v>1.9747533490206211</v>
      </c>
      <c r="Y51" s="724">
        <f t="shared" si="19"/>
        <v>2.0420532706706482</v>
      </c>
      <c r="Z51" s="724">
        <v>2.0776248878707402</v>
      </c>
      <c r="AA51" s="724">
        <v>2.0672245811658856</v>
      </c>
      <c r="AB51" s="724">
        <f>AB50/AB49*1000</f>
        <v>2.0867570196426661</v>
      </c>
      <c r="AC51" s="724">
        <f>AC50/AC49*1000</f>
        <v>2.1777527754535853</v>
      </c>
      <c r="AD51" s="570"/>
    </row>
    <row r="52" spans="1:30" ht="13" customHeight="1">
      <c r="A52" s="810"/>
      <c r="B52" s="826" t="s">
        <v>339</v>
      </c>
      <c r="C52" s="726">
        <v>5.69</v>
      </c>
      <c r="D52" s="726">
        <v>4.95</v>
      </c>
      <c r="E52" s="726">
        <v>5.05</v>
      </c>
      <c r="F52" s="726">
        <v>4.78</v>
      </c>
      <c r="G52" s="726">
        <v>4.58</v>
      </c>
      <c r="H52" s="726">
        <v>5.21</v>
      </c>
      <c r="I52" s="726">
        <v>7.68</v>
      </c>
      <c r="J52" s="726">
        <v>8.33</v>
      </c>
      <c r="K52" s="726">
        <v>8.4700000000000006</v>
      </c>
      <c r="L52" s="726">
        <v>5.51</v>
      </c>
      <c r="M52" s="726">
        <v>5.83</v>
      </c>
      <c r="N52" s="726">
        <v>6.65</v>
      </c>
      <c r="O52" s="726">
        <v>6.71</v>
      </c>
      <c r="P52" s="726">
        <v>7.28</v>
      </c>
      <c r="Q52" s="726">
        <v>7.75</v>
      </c>
      <c r="R52" s="726">
        <v>8.09</v>
      </c>
      <c r="S52" s="810"/>
      <c r="T52" s="826" t="s">
        <v>339</v>
      </c>
      <c r="U52" s="726">
        <v>7.59</v>
      </c>
      <c r="V52" s="726">
        <v>7.88</v>
      </c>
      <c r="W52" s="726">
        <v>7.92</v>
      </c>
      <c r="X52" s="726">
        <v>7.27</v>
      </c>
      <c r="Y52" s="726">
        <v>6.16</v>
      </c>
      <c r="Z52" s="726">
        <v>6.5380000000000003</v>
      </c>
      <c r="AA52" s="726">
        <v>6.6669999999999998</v>
      </c>
      <c r="AB52" s="726">
        <v>6.6710000000000003</v>
      </c>
      <c r="AC52" s="726">
        <v>6.6710000000000003</v>
      </c>
      <c r="AD52" s="570"/>
    </row>
    <row r="53" spans="1:30" ht="13" customHeight="1">
      <c r="A53" s="809"/>
      <c r="B53" s="825" t="s">
        <v>204</v>
      </c>
      <c r="C53" s="160">
        <v>484051</v>
      </c>
      <c r="D53" s="160">
        <v>519736</v>
      </c>
      <c r="E53" s="160">
        <v>402772</v>
      </c>
      <c r="F53" s="160">
        <v>413808</v>
      </c>
      <c r="G53" s="160">
        <v>399255</v>
      </c>
      <c r="H53" s="160">
        <v>388716</v>
      </c>
      <c r="I53" s="160">
        <v>400609</v>
      </c>
      <c r="J53" s="160">
        <v>452090</v>
      </c>
      <c r="K53" s="160">
        <v>444255</v>
      </c>
      <c r="L53" s="160">
        <v>447983</v>
      </c>
      <c r="M53" s="160">
        <v>403510</v>
      </c>
      <c r="N53" s="160">
        <v>434702</v>
      </c>
      <c r="O53" s="160">
        <v>449117</v>
      </c>
      <c r="P53" s="160">
        <v>415602</v>
      </c>
      <c r="Q53" s="160">
        <v>485141</v>
      </c>
      <c r="R53" s="160">
        <v>365636</v>
      </c>
      <c r="S53" s="809"/>
      <c r="T53" s="825" t="s">
        <v>204</v>
      </c>
      <c r="U53" s="160">
        <v>374408</v>
      </c>
      <c r="V53" s="160">
        <v>373971</v>
      </c>
      <c r="W53" s="160">
        <v>356929</v>
      </c>
      <c r="X53" s="160">
        <v>340347</v>
      </c>
      <c r="Y53" s="160">
        <v>331804</v>
      </c>
      <c r="Z53" s="160">
        <v>338242</v>
      </c>
      <c r="AA53" s="160">
        <v>347564</v>
      </c>
      <c r="AB53" s="160">
        <v>339833</v>
      </c>
      <c r="AC53" s="160">
        <v>336239</v>
      </c>
      <c r="AD53" s="570"/>
    </row>
    <row r="54" spans="1:30" ht="13" customHeight="1">
      <c r="A54" s="1013" t="s">
        <v>410</v>
      </c>
      <c r="B54" s="825" t="s">
        <v>363</v>
      </c>
      <c r="C54" s="160">
        <v>742</v>
      </c>
      <c r="D54" s="160">
        <v>760</v>
      </c>
      <c r="E54" s="160">
        <v>628</v>
      </c>
      <c r="F54" s="160">
        <v>634</v>
      </c>
      <c r="G54" s="160">
        <v>622</v>
      </c>
      <c r="H54" s="160">
        <v>604</v>
      </c>
      <c r="I54" s="160">
        <v>623</v>
      </c>
      <c r="J54" s="160">
        <v>740</v>
      </c>
      <c r="K54" s="160">
        <v>704</v>
      </c>
      <c r="L54" s="160">
        <v>696</v>
      </c>
      <c r="M54" s="160">
        <v>632</v>
      </c>
      <c r="N54" s="160">
        <v>677</v>
      </c>
      <c r="O54" s="160">
        <v>745</v>
      </c>
      <c r="P54" s="160">
        <v>726</v>
      </c>
      <c r="Q54" s="160">
        <v>745</v>
      </c>
      <c r="R54" s="160">
        <v>656</v>
      </c>
      <c r="S54" s="1013" t="s">
        <v>410</v>
      </c>
      <c r="T54" s="825" t="s">
        <v>363</v>
      </c>
      <c r="U54" s="160">
        <v>670</v>
      </c>
      <c r="V54" s="160">
        <v>681</v>
      </c>
      <c r="W54" s="160">
        <v>660</v>
      </c>
      <c r="X54" s="160">
        <v>657.10990950854966</v>
      </c>
      <c r="Y54" s="160">
        <v>664.5561372023999</v>
      </c>
      <c r="Z54" s="160">
        <v>672.83795209999994</v>
      </c>
      <c r="AA54" s="160">
        <v>695.6992077164216</v>
      </c>
      <c r="AB54" s="160">
        <v>699.24636310000005</v>
      </c>
      <c r="AC54" s="160">
        <v>712.41002359999993</v>
      </c>
      <c r="AD54" s="570"/>
    </row>
    <row r="55" spans="1:30" ht="13" customHeight="1">
      <c r="A55" s="1013"/>
      <c r="B55" s="825" t="s">
        <v>368</v>
      </c>
      <c r="C55" s="724">
        <f t="shared" ref="C55:P55" si="20">(C54/C53)*1000</f>
        <v>1.5328963270399194</v>
      </c>
      <c r="D55" s="724">
        <f t="shared" si="20"/>
        <v>1.4622808502778335</v>
      </c>
      <c r="E55" s="724">
        <f t="shared" si="20"/>
        <v>1.5591947801733983</v>
      </c>
      <c r="F55" s="724">
        <f t="shared" si="20"/>
        <v>1.5321115106522831</v>
      </c>
      <c r="G55" s="724">
        <f t="shared" si="20"/>
        <v>1.5579015917145684</v>
      </c>
      <c r="H55" s="724">
        <f t="shared" si="20"/>
        <v>1.5538336471871494</v>
      </c>
      <c r="I55" s="724">
        <f t="shared" si="20"/>
        <v>1.5551323110564166</v>
      </c>
      <c r="J55" s="724">
        <f t="shared" si="20"/>
        <v>1.6368422216815235</v>
      </c>
      <c r="K55" s="724">
        <f t="shared" si="20"/>
        <v>1.5846754679182</v>
      </c>
      <c r="L55" s="724">
        <f t="shared" si="20"/>
        <v>1.5536303832957947</v>
      </c>
      <c r="M55" s="724">
        <f t="shared" si="20"/>
        <v>1.5662561026988178</v>
      </c>
      <c r="N55" s="724">
        <f t="shared" si="20"/>
        <v>1.5573887398723725</v>
      </c>
      <c r="O55" s="724">
        <f t="shared" si="20"/>
        <v>1.6588105104015212</v>
      </c>
      <c r="P55" s="724">
        <f t="shared" si="20"/>
        <v>1.7468635858345243</v>
      </c>
      <c r="Q55" s="724">
        <f t="shared" ref="Q55:Y55" si="21">(Q54/Q53)*1000</f>
        <v>1.5356360315866933</v>
      </c>
      <c r="R55" s="724">
        <f t="shared" si="21"/>
        <v>1.7941340568215383</v>
      </c>
      <c r="S55" s="1013"/>
      <c r="T55" s="825" t="s">
        <v>368</v>
      </c>
      <c r="U55" s="724">
        <f t="shared" si="21"/>
        <v>1.7894916775282579</v>
      </c>
      <c r="V55" s="724">
        <f t="shared" si="21"/>
        <v>1.8209968152610765</v>
      </c>
      <c r="W55" s="724">
        <f t="shared" si="21"/>
        <v>1.8491072454185566</v>
      </c>
      <c r="X55" s="724">
        <f t="shared" si="21"/>
        <v>1.9307057488638055</v>
      </c>
      <c r="Y55" s="724">
        <f t="shared" si="21"/>
        <v>2.0028575219177585</v>
      </c>
      <c r="Z55" s="724">
        <v>1.9892188295195485</v>
      </c>
      <c r="AA55" s="724">
        <v>2.0016446123457667</v>
      </c>
      <c r="AB55" s="724">
        <f>AB54/AB53*1000</f>
        <v>2.0576176036464973</v>
      </c>
      <c r="AC55" s="724">
        <f>AC54/AC53*1000</f>
        <v>2.1187608326220335</v>
      </c>
      <c r="AD55" s="570"/>
    </row>
    <row r="56" spans="1:30" ht="13" customHeight="1">
      <c r="A56" s="810"/>
      <c r="B56" s="826" t="s">
        <v>339</v>
      </c>
      <c r="C56" s="726">
        <v>2.68</v>
      </c>
      <c r="D56" s="726">
        <v>3.16</v>
      </c>
      <c r="E56" s="726">
        <v>2.86</v>
      </c>
      <c r="F56" s="726">
        <v>2.36</v>
      </c>
      <c r="G56" s="726">
        <v>1.98</v>
      </c>
      <c r="H56" s="726">
        <v>2.23</v>
      </c>
      <c r="I56" s="726">
        <v>2.38</v>
      </c>
      <c r="J56" s="726">
        <v>2.79</v>
      </c>
      <c r="K56" s="726">
        <v>2.92</v>
      </c>
      <c r="L56" s="726">
        <v>2.2999999999999998</v>
      </c>
      <c r="M56" s="726">
        <v>2.59</v>
      </c>
      <c r="N56" s="726">
        <v>2.82</v>
      </c>
      <c r="O56" s="726">
        <v>2.84</v>
      </c>
      <c r="P56" s="726">
        <v>2.75</v>
      </c>
      <c r="Q56" s="726">
        <v>2.84</v>
      </c>
      <c r="R56" s="726">
        <v>3</v>
      </c>
      <c r="S56" s="810"/>
      <c r="T56" s="826" t="s">
        <v>339</v>
      </c>
      <c r="U56" s="726">
        <v>3.12</v>
      </c>
      <c r="V56" s="726">
        <v>3.1</v>
      </c>
      <c r="W56" s="726">
        <v>3.28</v>
      </c>
      <c r="X56" s="726">
        <v>3.13</v>
      </c>
      <c r="Y56" s="726">
        <v>3.18</v>
      </c>
      <c r="Z56" s="726">
        <v>2.9159999999999999</v>
      </c>
      <c r="AA56" s="726">
        <v>2.9239999999999999</v>
      </c>
      <c r="AB56" s="726">
        <v>2.9759838614156684</v>
      </c>
      <c r="AC56" s="726">
        <v>2.9759838614156684</v>
      </c>
      <c r="AD56" s="570"/>
    </row>
    <row r="57" spans="1:30" ht="13" customHeight="1">
      <c r="A57" s="809"/>
      <c r="B57" s="825" t="s">
        <v>204</v>
      </c>
      <c r="C57" s="160">
        <v>7371783</v>
      </c>
      <c r="D57" s="160">
        <v>7431849</v>
      </c>
      <c r="E57" s="160">
        <v>6658609</v>
      </c>
      <c r="F57" s="160">
        <v>6683557</v>
      </c>
      <c r="G57" s="160">
        <v>6645652</v>
      </c>
      <c r="H57" s="160">
        <v>6333240</v>
      </c>
      <c r="I57" s="160">
        <v>6054839</v>
      </c>
      <c r="J57" s="160">
        <v>6468169</v>
      </c>
      <c r="K57" s="160">
        <v>5869896</v>
      </c>
      <c r="L57" s="160">
        <v>6035367</v>
      </c>
      <c r="M57" s="160">
        <v>6004149</v>
      </c>
      <c r="N57" s="160">
        <v>5985893</v>
      </c>
      <c r="O57" s="160">
        <v>6618656</v>
      </c>
      <c r="P57" s="160">
        <v>6104258</v>
      </c>
      <c r="Q57" s="160">
        <v>5741017</v>
      </c>
      <c r="R57" s="160">
        <v>5162592</v>
      </c>
      <c r="S57" s="809"/>
      <c r="T57" s="825" t="s">
        <v>204</v>
      </c>
      <c r="U57" s="160">
        <v>5575610</v>
      </c>
      <c r="V57" s="160">
        <v>4574331</v>
      </c>
      <c r="W57" s="160">
        <v>4559586</v>
      </c>
      <c r="X57" s="160">
        <v>4304515</v>
      </c>
      <c r="Y57" s="160">
        <v>4099801</v>
      </c>
      <c r="Z57" s="160">
        <v>4237001</v>
      </c>
      <c r="AA57" s="160">
        <v>4296344</v>
      </c>
      <c r="AB57" s="160">
        <v>4240781</v>
      </c>
      <c r="AC57" s="160">
        <v>4238563</v>
      </c>
      <c r="AD57" s="570"/>
    </row>
    <row r="58" spans="1:30" ht="13" customHeight="1">
      <c r="A58" s="1013" t="s">
        <v>72</v>
      </c>
      <c r="B58" s="825" t="s">
        <v>363</v>
      </c>
      <c r="C58" s="160">
        <v>12361</v>
      </c>
      <c r="D58" s="160">
        <v>12577</v>
      </c>
      <c r="E58" s="160">
        <v>11307</v>
      </c>
      <c r="F58" s="160">
        <v>11319</v>
      </c>
      <c r="G58" s="160">
        <v>11237</v>
      </c>
      <c r="H58" s="160">
        <v>10912</v>
      </c>
      <c r="I58" s="160">
        <v>10374</v>
      </c>
      <c r="J58" s="160">
        <v>10895</v>
      </c>
      <c r="K58" s="160">
        <v>10085</v>
      </c>
      <c r="L58" s="160">
        <v>10279</v>
      </c>
      <c r="M58" s="160">
        <v>10218</v>
      </c>
      <c r="N58" s="160">
        <v>10292</v>
      </c>
      <c r="O58" s="160">
        <v>11029</v>
      </c>
      <c r="P58" s="160">
        <v>10403</v>
      </c>
      <c r="Q58" s="160">
        <v>9975</v>
      </c>
      <c r="R58" s="160">
        <v>8954</v>
      </c>
      <c r="S58" s="1013" t="s">
        <v>72</v>
      </c>
      <c r="T58" s="825" t="s">
        <v>363</v>
      </c>
      <c r="U58" s="160">
        <v>9352</v>
      </c>
      <c r="V58" s="160">
        <v>8138</v>
      </c>
      <c r="W58" s="160">
        <v>8056</v>
      </c>
      <c r="X58" s="160">
        <v>7750.170107576334</v>
      </c>
      <c r="Y58" s="160">
        <v>7466.4020324688881</v>
      </c>
      <c r="Z58" s="160">
        <v>7690.2523709422921</v>
      </c>
      <c r="AA58" s="160">
        <v>7983.7865281597105</v>
      </c>
      <c r="AB58" s="160">
        <v>8009.8296005761076</v>
      </c>
      <c r="AC58" s="160">
        <v>8031.463572990886</v>
      </c>
      <c r="AD58" s="570"/>
    </row>
    <row r="59" spans="1:30" ht="13" customHeight="1">
      <c r="A59" s="1013"/>
      <c r="B59" s="825" t="s">
        <v>369</v>
      </c>
      <c r="C59" s="724">
        <f t="shared" ref="C59:P59" si="22">(C58/C57)*1000</f>
        <v>1.6767992221149211</v>
      </c>
      <c r="D59" s="724">
        <f t="shared" si="22"/>
        <v>1.6923110251567275</v>
      </c>
      <c r="E59" s="724">
        <f t="shared" si="22"/>
        <v>1.6981024114796348</v>
      </c>
      <c r="F59" s="724">
        <f t="shared" si="22"/>
        <v>1.6935592828788624</v>
      </c>
      <c r="G59" s="724">
        <f t="shared" si="22"/>
        <v>1.6908799919105002</v>
      </c>
      <c r="H59" s="724">
        <f t="shared" si="22"/>
        <v>1.7229727595985627</v>
      </c>
      <c r="I59" s="724">
        <f t="shared" si="22"/>
        <v>1.713340354714634</v>
      </c>
      <c r="J59" s="724">
        <f t="shared" si="22"/>
        <v>1.6844024947400107</v>
      </c>
      <c r="K59" s="724">
        <f t="shared" si="22"/>
        <v>1.7180883613610871</v>
      </c>
      <c r="L59" s="724">
        <f t="shared" si="22"/>
        <v>1.7031275811396391</v>
      </c>
      <c r="M59" s="724">
        <f t="shared" si="22"/>
        <v>1.7018231892646236</v>
      </c>
      <c r="N59" s="724">
        <f t="shared" si="22"/>
        <v>1.7193758725723964</v>
      </c>
      <c r="O59" s="724">
        <f t="shared" si="22"/>
        <v>1.6663503889611426</v>
      </c>
      <c r="P59" s="724">
        <f t="shared" si="22"/>
        <v>1.7042202344658435</v>
      </c>
      <c r="Q59" s="724">
        <f t="shared" ref="Q59:Y59" si="23">(Q58/Q57)*1000</f>
        <v>1.7374970323202317</v>
      </c>
      <c r="R59" s="724">
        <f t="shared" si="23"/>
        <v>1.7344000842987399</v>
      </c>
      <c r="S59" s="1013"/>
      <c r="T59" s="825" t="s">
        <v>369</v>
      </c>
      <c r="U59" s="724">
        <f t="shared" si="23"/>
        <v>1.6773052634599621</v>
      </c>
      <c r="V59" s="724">
        <f t="shared" si="23"/>
        <v>1.7790579649789227</v>
      </c>
      <c r="W59" s="724">
        <f t="shared" si="23"/>
        <v>1.7668270759669849</v>
      </c>
      <c r="X59" s="724">
        <f t="shared" si="23"/>
        <v>1.800474642921754</v>
      </c>
      <c r="Y59" s="724">
        <f t="shared" si="23"/>
        <v>1.8211620594435898</v>
      </c>
      <c r="Z59" s="724">
        <v>1.8150223813809199</v>
      </c>
      <c r="AA59" s="724">
        <v>1.8582742981410407</v>
      </c>
      <c r="AB59" s="724">
        <f>AB58/AB57*1000</f>
        <v>1.8887628482999024</v>
      </c>
      <c r="AC59" s="724">
        <f>AC58/AC57*1000</f>
        <v>1.8948553019008767</v>
      </c>
      <c r="AD59" s="570"/>
    </row>
    <row r="60" spans="1:30" ht="13" customHeight="1" thickBot="1">
      <c r="A60" s="431"/>
      <c r="B60" s="827" t="s">
        <v>339</v>
      </c>
      <c r="C60" s="728">
        <v>1.49</v>
      </c>
      <c r="D60" s="728">
        <v>1.38</v>
      </c>
      <c r="E60" s="728">
        <v>1.38</v>
      </c>
      <c r="F60" s="728">
        <v>1.07</v>
      </c>
      <c r="G60" s="728">
        <v>1.63</v>
      </c>
      <c r="H60" s="728">
        <v>1.71</v>
      </c>
      <c r="I60" s="728">
        <v>1.72</v>
      </c>
      <c r="J60" s="728">
        <v>1.96</v>
      </c>
      <c r="K60" s="728">
        <v>2.08</v>
      </c>
      <c r="L60" s="728">
        <v>1.83</v>
      </c>
      <c r="M60" s="728">
        <v>2.0299999999999998</v>
      </c>
      <c r="N60" s="728">
        <v>2.21</v>
      </c>
      <c r="O60" s="728">
        <v>2.34</v>
      </c>
      <c r="P60" s="728">
        <v>2.5499999999999998</v>
      </c>
      <c r="Q60" s="728">
        <v>2.5</v>
      </c>
      <c r="R60" s="728">
        <v>2.4700000000000002</v>
      </c>
      <c r="S60" s="431"/>
      <c r="T60" s="827" t="s">
        <v>339</v>
      </c>
      <c r="U60" s="728">
        <v>2.64</v>
      </c>
      <c r="V60" s="728">
        <v>2.8</v>
      </c>
      <c r="W60" s="728">
        <v>2.92</v>
      </c>
      <c r="X60" s="728">
        <v>3.14</v>
      </c>
      <c r="Y60" s="728">
        <v>3.02</v>
      </c>
      <c r="Z60" s="728">
        <v>3.105</v>
      </c>
      <c r="AA60" s="728">
        <v>3.1259999999999999</v>
      </c>
      <c r="AB60" s="728">
        <v>3.0999778718199473</v>
      </c>
      <c r="AC60" s="728">
        <v>3.0999778718199473</v>
      </c>
      <c r="AD60" s="570"/>
    </row>
    <row r="61" spans="1:30" ht="11">
      <c r="A61" s="449"/>
      <c r="B61" s="451"/>
      <c r="C61" s="453"/>
      <c r="D61" s="454" t="s">
        <v>50</v>
      </c>
      <c r="E61" s="453"/>
      <c r="F61" s="454"/>
      <c r="G61" s="453"/>
      <c r="H61" s="454"/>
      <c r="I61" s="453"/>
      <c r="J61" s="453"/>
      <c r="K61" s="453"/>
      <c r="L61" s="455"/>
      <c r="M61" s="169"/>
      <c r="N61" s="169"/>
      <c r="O61" s="169"/>
      <c r="P61" s="169"/>
      <c r="Q61" s="169"/>
      <c r="R61" s="829" t="s">
        <v>425</v>
      </c>
      <c r="S61" s="449" t="s">
        <v>330</v>
      </c>
      <c r="T61" s="451"/>
      <c r="U61" s="169"/>
      <c r="V61" s="169"/>
      <c r="W61" s="169"/>
      <c r="X61" s="169"/>
      <c r="Y61" s="169"/>
      <c r="Z61" s="169"/>
      <c r="AA61" s="169"/>
      <c r="AB61" s="169"/>
      <c r="AC61" s="169"/>
    </row>
    <row r="62" spans="1:30" ht="9" customHeight="1">
      <c r="A62" s="449"/>
      <c r="B62" s="451"/>
      <c r="C62" s="453"/>
      <c r="D62" s="454"/>
      <c r="E62" s="453"/>
      <c r="F62" s="454"/>
      <c r="G62" s="453"/>
      <c r="H62" s="454"/>
      <c r="I62" s="453"/>
      <c r="J62" s="453"/>
      <c r="K62" s="453"/>
      <c r="L62" s="455"/>
      <c r="M62" s="169"/>
      <c r="N62" s="169"/>
      <c r="O62" s="169"/>
      <c r="P62" s="169"/>
      <c r="Q62" s="169"/>
      <c r="R62" s="169"/>
      <c r="S62" s="449" t="s">
        <v>340</v>
      </c>
      <c r="T62" s="451"/>
      <c r="U62" s="169"/>
      <c r="V62" s="169"/>
      <c r="W62" s="169"/>
      <c r="X62" s="169"/>
      <c r="Y62" s="169"/>
      <c r="Z62" s="169"/>
      <c r="AA62" s="169"/>
      <c r="AB62" s="169"/>
      <c r="AC62" s="169"/>
    </row>
    <row r="63" spans="1:30" ht="9" customHeight="1">
      <c r="A63" s="449"/>
      <c r="B63" s="451"/>
      <c r="C63" s="454"/>
      <c r="D63" s="454"/>
      <c r="E63" s="454"/>
      <c r="F63" s="454"/>
      <c r="G63" s="454"/>
      <c r="H63" s="454"/>
      <c r="I63" s="454"/>
      <c r="J63" s="454"/>
      <c r="K63" s="454"/>
      <c r="L63" s="454"/>
      <c r="S63" s="449" t="s">
        <v>304</v>
      </c>
      <c r="T63" s="451"/>
    </row>
    <row r="64" spans="1:30" ht="9" customHeight="1">
      <c r="A64" s="451"/>
      <c r="B64" s="456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S64" s="451" t="s">
        <v>303</v>
      </c>
      <c r="T64" s="456"/>
    </row>
    <row r="65" spans="1:29" ht="13.25" customHeight="1">
      <c r="A65" s="11"/>
    </row>
    <row r="68" spans="1:29" ht="13.25" customHeight="1"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</row>
  </sheetData>
  <mergeCells count="10">
    <mergeCell ref="A46:A47"/>
    <mergeCell ref="A50:A51"/>
    <mergeCell ref="A54:A55"/>
    <mergeCell ref="A58:A59"/>
    <mergeCell ref="A42:A43"/>
    <mergeCell ref="S42:S43"/>
    <mergeCell ref="S46:S47"/>
    <mergeCell ref="S50:S51"/>
    <mergeCell ref="S54:S55"/>
    <mergeCell ref="S58:S59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colBreaks count="1" manualBreakCount="1">
    <brk id="18" min="1" max="63" man="1"/>
  </colBreaks>
  <ignoredErrors>
    <ignoredError sqref="AC9:AD10 W5:AA5 AD5 AD6 AC14:AD15 AD11 AC19:AD20 AD16 AC24:AD25 AD21 AC29:AD30 AD26 AC34:AD35 AD31 AC39:AD39 AD36 AD8 AD12:AD13 AD17:AD18 AD22:AD23 AD27:AD28 AD32:AD33 AD37:AD38 W7:AA10 W14:AA15 W18:AA20 W23:AA25 W28:AA30 W33:AA35 W38:AA3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9" tint="0.59999389629810485"/>
  </sheetPr>
  <dimension ref="A2:P80"/>
  <sheetViews>
    <sheetView showGridLines="0" zoomScaleNormal="100" workbookViewId="0">
      <selection activeCell="E37" sqref="E37"/>
    </sheetView>
  </sheetViews>
  <sheetFormatPr baseColWidth="10" defaultColWidth="7" defaultRowHeight="13.25" customHeight="1"/>
  <cols>
    <col min="1" max="1" width="11.59765625" style="67" customWidth="1"/>
    <col min="2" max="2" width="17.59765625" style="67" customWidth="1"/>
    <col min="3" max="3" width="8.796875" style="67" customWidth="1"/>
    <col min="4" max="15" width="7.59765625" style="67" customWidth="1"/>
    <col min="16" max="16" width="7.59765625" style="67" bestFit="1" customWidth="1"/>
    <col min="17" max="16384" width="7" style="67"/>
  </cols>
  <sheetData>
    <row r="2" spans="1:16" ht="13.25" customHeight="1">
      <c r="A2" s="176" t="s">
        <v>455</v>
      </c>
    </row>
    <row r="3" spans="1:16" ht="13" customHeight="1">
      <c r="A3" s="960" t="s">
        <v>472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6" ht="6" customHeight="1" thickBot="1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</row>
    <row r="5" spans="1:16" ht="24.75" customHeight="1">
      <c r="A5" s="729" t="s">
        <v>331</v>
      </c>
      <c r="B5" s="730" t="s">
        <v>51</v>
      </c>
      <c r="C5" s="730" t="s">
        <v>52</v>
      </c>
      <c r="D5" s="730" t="s">
        <v>53</v>
      </c>
      <c r="E5" s="730" t="s">
        <v>54</v>
      </c>
      <c r="F5" s="730" t="s">
        <v>55</v>
      </c>
      <c r="G5" s="730" t="s">
        <v>56</v>
      </c>
      <c r="H5" s="730" t="s">
        <v>57</v>
      </c>
      <c r="I5" s="730" t="s">
        <v>58</v>
      </c>
      <c r="J5" s="730" t="s">
        <v>59</v>
      </c>
      <c r="K5" s="730" t="s">
        <v>60</v>
      </c>
      <c r="L5" s="730" t="s">
        <v>61</v>
      </c>
      <c r="M5" s="730" t="s">
        <v>62</v>
      </c>
      <c r="N5" s="730" t="s">
        <v>63</v>
      </c>
      <c r="O5" s="730" t="s">
        <v>64</v>
      </c>
    </row>
    <row r="6" spans="1:16" ht="14" customHeight="1">
      <c r="A6" s="1014" t="s">
        <v>65</v>
      </c>
      <c r="B6" s="811" t="s">
        <v>326</v>
      </c>
      <c r="C6" s="611">
        <v>194758710</v>
      </c>
      <c r="D6" s="98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</row>
    <row r="7" spans="1:16" ht="14" customHeight="1">
      <c r="A7" s="1015"/>
      <c r="B7" s="811" t="s">
        <v>195</v>
      </c>
      <c r="C7" s="611">
        <f>SUM(D7:O7)</f>
        <v>826762059</v>
      </c>
      <c r="D7" s="71">
        <v>68537256</v>
      </c>
      <c r="E7" s="71">
        <v>60394901</v>
      </c>
      <c r="F7" s="71">
        <v>67607362</v>
      </c>
      <c r="G7" s="71">
        <v>65671846</v>
      </c>
      <c r="H7" s="71">
        <v>70958335</v>
      </c>
      <c r="I7" s="71">
        <v>68749862</v>
      </c>
      <c r="J7" s="71">
        <v>71922919</v>
      </c>
      <c r="K7" s="71">
        <v>71531847</v>
      </c>
      <c r="L7" s="71">
        <v>69549901</v>
      </c>
      <c r="M7" s="71">
        <v>70527857</v>
      </c>
      <c r="N7" s="71">
        <v>69430106</v>
      </c>
      <c r="O7" s="71">
        <v>71879867</v>
      </c>
      <c r="P7" s="71"/>
    </row>
    <row r="8" spans="1:16" ht="14" customHeight="1">
      <c r="A8" s="1015"/>
      <c r="B8" s="811" t="s">
        <v>370</v>
      </c>
      <c r="C8" s="611">
        <f>SUM(D8:O8)</f>
        <v>1859237.568</v>
      </c>
      <c r="D8" s="71">
        <v>152747.34099999999</v>
      </c>
      <c r="E8" s="71">
        <v>133442.26500000001</v>
      </c>
      <c r="F8" s="71">
        <v>146185.64199999999</v>
      </c>
      <c r="G8" s="71">
        <v>146782.96900000001</v>
      </c>
      <c r="H8" s="71">
        <v>159167.43599999999</v>
      </c>
      <c r="I8" s="71">
        <v>155098.15</v>
      </c>
      <c r="J8" s="71">
        <v>161227.99799999999</v>
      </c>
      <c r="K8" s="71">
        <v>158745.18900000001</v>
      </c>
      <c r="L8" s="71">
        <v>157099.24100000001</v>
      </c>
      <c r="M8" s="71">
        <v>162143.98199999999</v>
      </c>
      <c r="N8" s="71">
        <v>156803.58199999999</v>
      </c>
      <c r="O8" s="71">
        <v>169793.77299999999</v>
      </c>
    </row>
    <row r="9" spans="1:16" ht="14" customHeight="1">
      <c r="A9" s="1015"/>
      <c r="B9" s="811" t="s">
        <v>361</v>
      </c>
      <c r="C9" s="612">
        <f>C8/C7*1000</f>
        <v>2.2488182032068793</v>
      </c>
      <c r="D9" s="72">
        <f>D8/D7*1000</f>
        <v>2.2286760502929965</v>
      </c>
      <c r="E9" s="72">
        <f t="shared" ref="E9" si="0">E8/E7*1000</f>
        <v>2.2094955499637297</v>
      </c>
      <c r="F9" s="72">
        <f t="shared" ref="F9" si="1">F8/F7*1000</f>
        <v>2.1622740138862389</v>
      </c>
      <c r="G9" s="72">
        <f t="shared" ref="G9" si="2">G8/G7*1000</f>
        <v>2.2350973505450114</v>
      </c>
      <c r="H9" s="72">
        <f t="shared" ref="H9" si="3">H8/H7*1000</f>
        <v>2.2431112003966835</v>
      </c>
      <c r="I9" s="72">
        <f t="shared" ref="I9" si="4">I8/I7*1000</f>
        <v>2.2559776192714396</v>
      </c>
      <c r="J9" s="72">
        <f t="shared" ref="J9" si="5">J8/J7*1000</f>
        <v>2.2416776215659433</v>
      </c>
      <c r="K9" s="72">
        <f t="shared" ref="K9" si="6">K8/K7*1000</f>
        <v>2.2192239632789019</v>
      </c>
      <c r="L9" s="72">
        <f t="shared" ref="L9" si="7">L8/L7*1000</f>
        <v>2.2587989161911244</v>
      </c>
      <c r="M9" s="72">
        <f t="shared" ref="M9" si="8">M8/M7*1000</f>
        <v>2.2990062210453948</v>
      </c>
      <c r="N9" s="72">
        <f t="shared" ref="N9" si="9">N8/N7*1000</f>
        <v>2.258437888601236</v>
      </c>
      <c r="O9" s="72">
        <f t="shared" ref="O9" si="10">O8/O7*1000</f>
        <v>2.3621881910271201</v>
      </c>
    </row>
    <row r="10" spans="1:16" ht="14" customHeight="1">
      <c r="A10" s="1017"/>
      <c r="B10" s="812" t="s">
        <v>393</v>
      </c>
      <c r="C10" s="613">
        <v>7.1117354259506538</v>
      </c>
      <c r="D10" s="175">
        <v>7.047264070171436</v>
      </c>
      <c r="E10" s="175">
        <v>7.0592965183132748</v>
      </c>
      <c r="F10" s="175">
        <v>7.0956672643347556</v>
      </c>
      <c r="G10" s="175">
        <v>7.0997900230146858</v>
      </c>
      <c r="H10" s="175">
        <v>7.1083450479095962</v>
      </c>
      <c r="I10" s="175">
        <v>7.1141890255911138</v>
      </c>
      <c r="J10" s="175">
        <v>7.1182203021774786</v>
      </c>
      <c r="K10" s="175">
        <v>7.1243556141221678</v>
      </c>
      <c r="L10" s="175">
        <v>7.1330947373584301</v>
      </c>
      <c r="M10" s="175">
        <v>7.1374936371016569</v>
      </c>
      <c r="N10" s="175">
        <v>7.1410089515604831</v>
      </c>
      <c r="O10" s="175">
        <v>7.1466931159245135</v>
      </c>
    </row>
    <row r="11" spans="1:16" ht="14" customHeight="1">
      <c r="A11" s="1014" t="s">
        <v>5</v>
      </c>
      <c r="B11" s="811" t="s">
        <v>326</v>
      </c>
      <c r="C11" s="611">
        <v>11278083</v>
      </c>
      <c r="D11" s="98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</row>
    <row r="12" spans="1:16" ht="14" customHeight="1">
      <c r="A12" s="1015"/>
      <c r="B12" s="811" t="s">
        <v>195</v>
      </c>
      <c r="C12" s="611">
        <f>SUM(D12:O12)</f>
        <v>2588736</v>
      </c>
      <c r="D12" s="71">
        <v>190114</v>
      </c>
      <c r="E12" s="71">
        <v>198555</v>
      </c>
      <c r="F12" s="71">
        <v>207459</v>
      </c>
      <c r="G12" s="71">
        <v>227075</v>
      </c>
      <c r="H12" s="71">
        <v>234908</v>
      </c>
      <c r="I12" s="71">
        <v>234612</v>
      </c>
      <c r="J12" s="71">
        <v>235301</v>
      </c>
      <c r="K12" s="71">
        <v>229883</v>
      </c>
      <c r="L12" s="71">
        <v>219063</v>
      </c>
      <c r="M12" s="71">
        <v>207740</v>
      </c>
      <c r="N12" s="71">
        <v>199418</v>
      </c>
      <c r="O12" s="71">
        <v>204608</v>
      </c>
    </row>
    <row r="13" spans="1:16" ht="14" customHeight="1">
      <c r="A13" s="1015"/>
      <c r="B13" s="811" t="s">
        <v>370</v>
      </c>
      <c r="C13" s="611">
        <f>SUM(D13:O13)</f>
        <v>33625.351999999999</v>
      </c>
      <c r="D13" s="71">
        <v>2424.1660000000002</v>
      </c>
      <c r="E13" s="71">
        <v>2569.3589999999999</v>
      </c>
      <c r="F13" s="71">
        <v>2704.89</v>
      </c>
      <c r="G13" s="71">
        <v>3017.1669999999999</v>
      </c>
      <c r="H13" s="71">
        <v>3114.569</v>
      </c>
      <c r="I13" s="71">
        <v>3140.3220000000001</v>
      </c>
      <c r="J13" s="71">
        <v>3083.0529999999999</v>
      </c>
      <c r="K13" s="71">
        <v>2982.5770000000002</v>
      </c>
      <c r="L13" s="71">
        <v>2779.3159999999998</v>
      </c>
      <c r="M13" s="71">
        <v>2631.6880000000001</v>
      </c>
      <c r="N13" s="71">
        <v>2549.7689999999998</v>
      </c>
      <c r="O13" s="71">
        <v>2628.4760000000001</v>
      </c>
    </row>
    <row r="14" spans="1:16" ht="14" customHeight="1">
      <c r="A14" s="1015"/>
      <c r="B14" s="811" t="s">
        <v>361</v>
      </c>
      <c r="C14" s="614">
        <f>C13/C12*1000</f>
        <v>12.989100472199558</v>
      </c>
      <c r="D14" s="98">
        <f>D13/D12*1000</f>
        <v>12.75111775040239</v>
      </c>
      <c r="E14" s="98">
        <f t="shared" ref="E14" si="11">E13/E12*1000</f>
        <v>12.940288585026819</v>
      </c>
      <c r="F14" s="98">
        <f t="shared" ref="F14" si="12">F13/F12*1000</f>
        <v>13.038190678640117</v>
      </c>
      <c r="G14" s="98">
        <f t="shared" ref="G14" si="13">G13/G12*1000</f>
        <v>13.28709457227788</v>
      </c>
      <c r="H14" s="98">
        <f t="shared" ref="H14" si="14">H13/H12*1000</f>
        <v>13.258675736884227</v>
      </c>
      <c r="I14" s="98">
        <f t="shared" ref="I14" si="15">I13/I12*1000</f>
        <v>13.385172113958365</v>
      </c>
      <c r="J14" s="98">
        <f t="shared" ref="J14" si="16">J13/J12*1000</f>
        <v>13.102591999184025</v>
      </c>
      <c r="K14" s="98">
        <f t="shared" ref="K14" si="17">K13/K12*1000</f>
        <v>12.974326070218329</v>
      </c>
      <c r="L14" s="98">
        <f t="shared" ref="L14" si="18">L13/L12*1000</f>
        <v>12.687290870662776</v>
      </c>
      <c r="M14" s="98">
        <f t="shared" ref="M14" si="19">M13/M12*1000</f>
        <v>12.66818138057187</v>
      </c>
      <c r="N14" s="98">
        <f t="shared" ref="N14" si="20">N13/N12*1000</f>
        <v>12.786052412520434</v>
      </c>
      <c r="O14" s="98">
        <f t="shared" ref="O14" si="21">O13/O12*1000</f>
        <v>12.846398967782298</v>
      </c>
    </row>
    <row r="15" spans="1:16" ht="14" customHeight="1">
      <c r="A15" s="1017"/>
      <c r="B15" s="812" t="s">
        <v>393</v>
      </c>
      <c r="C15" s="613">
        <v>5.6617201274754603</v>
      </c>
      <c r="D15" s="175">
        <v>5.6139834374496296</v>
      </c>
      <c r="E15" s="175">
        <v>5.6315969984990781</v>
      </c>
      <c r="F15" s="175">
        <v>5.6392052160117077</v>
      </c>
      <c r="G15" s="175">
        <v>5.6611118579730269</v>
      </c>
      <c r="H15" s="175">
        <v>5.6656117593980646</v>
      </c>
      <c r="I15" s="175">
        <v>5.6716040774045737</v>
      </c>
      <c r="J15" s="175">
        <v>5.6761354002956121</v>
      </c>
      <c r="K15" s="175">
        <v>5.683095875735205</v>
      </c>
      <c r="L15" s="175">
        <v>5.6766654869903093</v>
      </c>
      <c r="M15" s="175">
        <v>5.6703626179542619</v>
      </c>
      <c r="N15" s="175">
        <v>5.6678177422257559</v>
      </c>
      <c r="O15" s="175">
        <v>5.6711047480917678</v>
      </c>
    </row>
    <row r="16" spans="1:16" ht="14" customHeight="1">
      <c r="A16" s="1014" t="s">
        <v>66</v>
      </c>
      <c r="B16" s="811" t="s">
        <v>326</v>
      </c>
      <c r="C16" s="611">
        <v>3519668</v>
      </c>
      <c r="D16" s="98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</row>
    <row r="17" spans="1:15" ht="14" customHeight="1">
      <c r="A17" s="1015"/>
      <c r="B17" s="811" t="s">
        <v>195</v>
      </c>
      <c r="C17" s="611">
        <f>SUM(D17:O17)</f>
        <v>3990915</v>
      </c>
      <c r="D17" s="71">
        <v>299512</v>
      </c>
      <c r="E17" s="71">
        <v>302109</v>
      </c>
      <c r="F17" s="71">
        <v>305762</v>
      </c>
      <c r="G17" s="71">
        <v>309416</v>
      </c>
      <c r="H17" s="71">
        <v>321054</v>
      </c>
      <c r="I17" s="71">
        <v>316773</v>
      </c>
      <c r="J17" s="71">
        <v>366117</v>
      </c>
      <c r="K17" s="71">
        <v>357798</v>
      </c>
      <c r="L17" s="71">
        <v>341876</v>
      </c>
      <c r="M17" s="71">
        <v>335995</v>
      </c>
      <c r="N17" s="71">
        <v>345137</v>
      </c>
      <c r="O17" s="71">
        <v>389366</v>
      </c>
    </row>
    <row r="18" spans="1:15" ht="14" customHeight="1">
      <c r="A18" s="1015"/>
      <c r="B18" s="811" t="s">
        <v>370</v>
      </c>
      <c r="C18" s="611">
        <f>SUM(D18:O18)</f>
        <v>209548.89400000003</v>
      </c>
      <c r="D18" s="71">
        <v>15833.869000000001</v>
      </c>
      <c r="E18" s="71">
        <v>15718.68</v>
      </c>
      <c r="F18" s="71">
        <v>15855.041999999999</v>
      </c>
      <c r="G18" s="71">
        <v>15770.745999999999</v>
      </c>
      <c r="H18" s="71">
        <v>16419.965</v>
      </c>
      <c r="I18" s="71">
        <v>16370.815000000001</v>
      </c>
      <c r="J18" s="71">
        <v>19557.346000000001</v>
      </c>
      <c r="K18" s="71">
        <v>19135.776000000002</v>
      </c>
      <c r="L18" s="71">
        <v>18202.813999999998</v>
      </c>
      <c r="M18" s="71">
        <v>17862.035</v>
      </c>
      <c r="N18" s="71">
        <v>18150.731</v>
      </c>
      <c r="O18" s="71">
        <v>20671.075000000001</v>
      </c>
    </row>
    <row r="19" spans="1:15" ht="14" customHeight="1">
      <c r="A19" s="1015"/>
      <c r="B19" s="811" t="s">
        <v>361</v>
      </c>
      <c r="C19" s="614">
        <f>C18/C17*1000</f>
        <v>52.506478840065505</v>
      </c>
      <c r="D19" s="98">
        <f>D18/D17*1000</f>
        <v>52.86555797430487</v>
      </c>
      <c r="E19" s="98">
        <f t="shared" ref="E19" si="22">E18/E17*1000</f>
        <v>52.029830293039929</v>
      </c>
      <c r="F19" s="98">
        <f t="shared" ref="F19" si="23">F18/F17*1000</f>
        <v>51.854193784708364</v>
      </c>
      <c r="G19" s="98">
        <f t="shared" ref="G19" si="24">G18/G17*1000</f>
        <v>50.96939395506373</v>
      </c>
      <c r="H19" s="98">
        <f t="shared" ref="H19" si="25">H18/H17*1000</f>
        <v>51.143935288144675</v>
      </c>
      <c r="I19" s="98">
        <f t="shared" ref="I19" si="26">I18/I17*1000</f>
        <v>51.679956940774623</v>
      </c>
      <c r="J19" s="98">
        <f t="shared" ref="J19" si="27">J18/J17*1000</f>
        <v>53.418295244416406</v>
      </c>
      <c r="K19" s="98">
        <f t="shared" ref="K19" si="28">K18/K17*1000</f>
        <v>53.482065299414757</v>
      </c>
      <c r="L19" s="98">
        <f t="shared" ref="L19" si="29">L18/L17*1000</f>
        <v>53.243907147620767</v>
      </c>
      <c r="M19" s="98">
        <f t="shared" ref="M19" si="30">M18/M17*1000</f>
        <v>53.161609547761124</v>
      </c>
      <c r="N19" s="98">
        <f t="shared" ref="N19" si="31">N18/N17*1000</f>
        <v>52.589930954954113</v>
      </c>
      <c r="O19" s="98">
        <f t="shared" ref="O19" si="32">O18/O17*1000</f>
        <v>53.089060164472507</v>
      </c>
    </row>
    <row r="20" spans="1:15" ht="14" customHeight="1">
      <c r="A20" s="1017"/>
      <c r="B20" s="812" t="s">
        <v>393</v>
      </c>
      <c r="C20" s="613">
        <v>7.3371273104837744</v>
      </c>
      <c r="D20" s="175">
        <v>7.2338572059808453</v>
      </c>
      <c r="E20" s="175">
        <v>7.2567083761696995</v>
      </c>
      <c r="F20" s="175">
        <v>7.2801907283067262</v>
      </c>
      <c r="G20" s="175">
        <v>7.3158299224609653</v>
      </c>
      <c r="H20" s="175">
        <v>7.3132370591714899</v>
      </c>
      <c r="I20" s="175">
        <v>7.3255686870552621</v>
      </c>
      <c r="J20" s="175">
        <v>7.3573201208762047</v>
      </c>
      <c r="K20" s="175">
        <v>7.3707817677206533</v>
      </c>
      <c r="L20" s="175">
        <v>7.3707319320542979</v>
      </c>
      <c r="M20" s="175">
        <v>7.3689427584801965</v>
      </c>
      <c r="N20" s="175">
        <v>7.3783627303746737</v>
      </c>
      <c r="O20" s="175">
        <v>7.4218830043333774</v>
      </c>
    </row>
    <row r="21" spans="1:15" ht="14" customHeight="1">
      <c r="A21" s="1014" t="s">
        <v>67</v>
      </c>
      <c r="B21" s="811" t="s">
        <v>326</v>
      </c>
      <c r="C21" s="611">
        <v>5842166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</row>
    <row r="22" spans="1:15" ht="14" customHeight="1">
      <c r="A22" s="1015"/>
      <c r="B22" s="811" t="s">
        <v>195</v>
      </c>
      <c r="C22" s="611">
        <f>SUM(D22:O22)</f>
        <v>1380599</v>
      </c>
      <c r="D22" s="98">
        <v>106511</v>
      </c>
      <c r="E22" s="71">
        <v>110151</v>
      </c>
      <c r="F22" s="71">
        <v>110756</v>
      </c>
      <c r="G22" s="71">
        <v>118038</v>
      </c>
      <c r="H22" s="71">
        <v>120496</v>
      </c>
      <c r="I22" s="71">
        <v>119641</v>
      </c>
      <c r="J22" s="71">
        <v>120975</v>
      </c>
      <c r="K22" s="71">
        <v>118367</v>
      </c>
      <c r="L22" s="71">
        <v>116917</v>
      </c>
      <c r="M22" s="71">
        <v>110482</v>
      </c>
      <c r="N22" s="71">
        <v>112103</v>
      </c>
      <c r="O22" s="71">
        <v>116162</v>
      </c>
    </row>
    <row r="23" spans="1:15" ht="14" customHeight="1">
      <c r="A23" s="1015"/>
      <c r="B23" s="811" t="s">
        <v>370</v>
      </c>
      <c r="C23" s="611">
        <v>203990.58498943603</v>
      </c>
      <c r="D23" s="71">
        <v>15737.673000000001</v>
      </c>
      <c r="E23" s="71">
        <v>16190.59</v>
      </c>
      <c r="F23" s="71">
        <v>16431.510999999999</v>
      </c>
      <c r="G23" s="71">
        <v>17309.868999999999</v>
      </c>
      <c r="H23" s="71">
        <v>17798.302</v>
      </c>
      <c r="I23" s="71">
        <v>17784.018</v>
      </c>
      <c r="J23" s="71">
        <v>17931.812999999998</v>
      </c>
      <c r="K23" s="71">
        <v>17540.971000000001</v>
      </c>
      <c r="L23" s="71">
        <v>17094.199000000001</v>
      </c>
      <c r="M23" s="71">
        <v>16285.689</v>
      </c>
      <c r="N23" s="71">
        <v>16679.166000000001</v>
      </c>
      <c r="O23" s="71">
        <v>17206.786</v>
      </c>
    </row>
    <row r="24" spans="1:15" ht="14" customHeight="1">
      <c r="A24" s="1015"/>
      <c r="B24" s="811" t="s">
        <v>361</v>
      </c>
      <c r="C24" s="614">
        <f>C23/C22*1000</f>
        <v>147.75513019307999</v>
      </c>
      <c r="D24" s="98">
        <f>D23/D22*1000</f>
        <v>147.75631624902593</v>
      </c>
      <c r="E24" s="98">
        <f t="shared" ref="E24" si="33">E23/E22*1000</f>
        <v>146.98541093589708</v>
      </c>
      <c r="F24" s="98">
        <f t="shared" ref="F24" si="34">F23/F22*1000</f>
        <v>148.35775037018308</v>
      </c>
      <c r="G24" s="98">
        <f t="shared" ref="G24" si="35">G23/G22*1000</f>
        <v>146.64657991494263</v>
      </c>
      <c r="H24" s="98">
        <f t="shared" ref="H24" si="36">H23/H22*1000</f>
        <v>147.70865422918604</v>
      </c>
      <c r="I24" s="98">
        <f t="shared" ref="I24" si="37">I23/I22*1000</f>
        <v>148.64484583044273</v>
      </c>
      <c r="J24" s="98">
        <f t="shared" ref="J24" si="38">J23/J22*1000</f>
        <v>148.22742715437073</v>
      </c>
      <c r="K24" s="98">
        <f t="shared" ref="K24" si="39">K23/K22*1000</f>
        <v>148.1913962506442</v>
      </c>
      <c r="L24" s="98">
        <f t="shared" ref="L24" si="40">L23/L22*1000</f>
        <v>146.20798515185987</v>
      </c>
      <c r="M24" s="98">
        <f t="shared" ref="M24" si="41">M23/M22*1000</f>
        <v>147.40581271157293</v>
      </c>
      <c r="N24" s="98">
        <f t="shared" ref="N24" si="42">N23/N22*1000</f>
        <v>148.78429658439114</v>
      </c>
      <c r="O24" s="98">
        <f t="shared" ref="O24" si="43">O23/O22*1000</f>
        <v>148.12749436132296</v>
      </c>
    </row>
    <row r="25" spans="1:15" ht="14" customHeight="1">
      <c r="A25" s="1017"/>
      <c r="B25" s="812" t="s">
        <v>393</v>
      </c>
      <c r="C25" s="613">
        <v>5.9100678408924443</v>
      </c>
      <c r="D25" s="175">
        <v>5.8481597152237388</v>
      </c>
      <c r="E25" s="175">
        <v>5.8567271555058298</v>
      </c>
      <c r="F25" s="175">
        <v>5.8743652194321276</v>
      </c>
      <c r="G25" s="175">
        <v>5.8860760140893182</v>
      </c>
      <c r="H25" s="175">
        <v>5.8989613452142491</v>
      </c>
      <c r="I25" s="175">
        <v>5.9180632043267725</v>
      </c>
      <c r="J25" s="175">
        <v>5.9221803663922552</v>
      </c>
      <c r="K25" s="175">
        <v>5.9365086916487888</v>
      </c>
      <c r="L25" s="175">
        <v>5.9403930105267353</v>
      </c>
      <c r="M25" s="175">
        <v>5.9478978295328631</v>
      </c>
      <c r="N25" s="175">
        <v>5.9461190793842791</v>
      </c>
      <c r="O25" s="175">
        <v>5.9378803116245082</v>
      </c>
    </row>
    <row r="26" spans="1:15" ht="14" customHeight="1">
      <c r="A26" s="1014" t="s">
        <v>68</v>
      </c>
      <c r="B26" s="811" t="s">
        <v>326</v>
      </c>
      <c r="C26" s="611">
        <v>1749263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</row>
    <row r="27" spans="1:15" ht="14" customHeight="1">
      <c r="A27" s="1015"/>
      <c r="B27" s="811" t="s">
        <v>195</v>
      </c>
      <c r="C27" s="611">
        <f>SUM(D27:O27)</f>
        <v>392832</v>
      </c>
      <c r="D27" s="98">
        <v>30850</v>
      </c>
      <c r="E27" s="71">
        <v>31462</v>
      </c>
      <c r="F27" s="71">
        <v>32887</v>
      </c>
      <c r="G27" s="71">
        <v>32904</v>
      </c>
      <c r="H27" s="71">
        <v>34109</v>
      </c>
      <c r="I27" s="71">
        <v>35068</v>
      </c>
      <c r="J27" s="71">
        <v>35238</v>
      </c>
      <c r="K27" s="71">
        <v>34077</v>
      </c>
      <c r="L27" s="71">
        <v>31101</v>
      </c>
      <c r="M27" s="71">
        <v>30335</v>
      </c>
      <c r="N27" s="71">
        <v>31572</v>
      </c>
      <c r="O27" s="71">
        <v>33229</v>
      </c>
    </row>
    <row r="28" spans="1:15" ht="14" customHeight="1">
      <c r="A28" s="1015"/>
      <c r="B28" s="811" t="s">
        <v>370</v>
      </c>
      <c r="C28" s="611">
        <v>4951.9427489497693</v>
      </c>
      <c r="D28" s="71">
        <v>383.94400000000002</v>
      </c>
      <c r="E28" s="71">
        <v>390.06299999999999</v>
      </c>
      <c r="F28" s="71">
        <v>415.99599999999998</v>
      </c>
      <c r="G28" s="71">
        <v>423.279</v>
      </c>
      <c r="H28" s="71">
        <v>438.97899999999998</v>
      </c>
      <c r="I28" s="71">
        <v>454.08699999999999</v>
      </c>
      <c r="J28" s="71">
        <v>452.71199999999999</v>
      </c>
      <c r="K28" s="71">
        <v>428.14699999999999</v>
      </c>
      <c r="L28" s="71">
        <v>389.95800000000003</v>
      </c>
      <c r="M28" s="71">
        <v>373.78500000000003</v>
      </c>
      <c r="N28" s="71">
        <v>384.77699999999999</v>
      </c>
      <c r="O28" s="71">
        <v>416.21499999999997</v>
      </c>
    </row>
    <row r="29" spans="1:15" ht="14" customHeight="1">
      <c r="A29" s="1015"/>
      <c r="B29" s="811" t="s">
        <v>361</v>
      </c>
      <c r="C29" s="614">
        <f>C28/C27*1000</f>
        <v>12.605751947269493</v>
      </c>
      <c r="D29" s="98">
        <f>D28/D27*1000</f>
        <v>12.445510534846031</v>
      </c>
      <c r="E29" s="98">
        <f t="shared" ref="E29" si="44">E28/E27*1000</f>
        <v>12.397908588138071</v>
      </c>
      <c r="F29" s="98">
        <f t="shared" ref="F29" si="45">F28/F27*1000</f>
        <v>12.649253504424239</v>
      </c>
      <c r="G29" s="98">
        <f t="shared" ref="G29" si="46">G28/G27*1000</f>
        <v>12.864059080962802</v>
      </c>
      <c r="H29" s="98">
        <f t="shared" ref="H29" si="47">H28/H27*1000</f>
        <v>12.869887712920342</v>
      </c>
      <c r="I29" s="98">
        <f t="shared" ref="I29" si="48">I28/I27*1000</f>
        <v>12.948756701266111</v>
      </c>
      <c r="J29" s="98">
        <f t="shared" ref="J29" si="49">J28/J27*1000</f>
        <v>12.847267154776095</v>
      </c>
      <c r="K29" s="98">
        <f t="shared" ref="K29" si="50">K28/K27*1000</f>
        <v>12.564104821433812</v>
      </c>
      <c r="L29" s="98">
        <f t="shared" ref="L29" si="51">L28/L27*1000</f>
        <v>12.538439278479792</v>
      </c>
      <c r="M29" s="98">
        <f t="shared" ref="M29" si="52">M28/M27*1000</f>
        <v>12.321905389813747</v>
      </c>
      <c r="N29" s="98">
        <f t="shared" ref="N29" si="53">N28/N27*1000</f>
        <v>12.187286202964652</v>
      </c>
      <c r="O29" s="98">
        <f t="shared" ref="O29" si="54">O28/O27*1000</f>
        <v>12.525655301092419</v>
      </c>
    </row>
    <row r="30" spans="1:15" ht="14" customHeight="1">
      <c r="A30" s="1017"/>
      <c r="B30" s="812" t="s">
        <v>393</v>
      </c>
      <c r="C30" s="613">
        <v>4.8358450824020132</v>
      </c>
      <c r="D30" s="175">
        <v>4.7985611960500147</v>
      </c>
      <c r="E30" s="175">
        <v>4.8256759059400718</v>
      </c>
      <c r="F30" s="175">
        <v>4.8199266363551381</v>
      </c>
      <c r="G30" s="175">
        <v>4.8246023364893293</v>
      </c>
      <c r="H30" s="175">
        <v>4.8159515197315983</v>
      </c>
      <c r="I30" s="175">
        <v>4.8360610731469293</v>
      </c>
      <c r="J30" s="175">
        <v>4.83471630644868</v>
      </c>
      <c r="K30" s="175">
        <v>4.8461631527242535</v>
      </c>
      <c r="L30" s="175">
        <v>4.8569056368177908</v>
      </c>
      <c r="M30" s="175">
        <v>4.8554791032868181</v>
      </c>
      <c r="N30" s="175">
        <v>4.8572877602349287</v>
      </c>
      <c r="O30" s="175">
        <v>4.8612843802868682</v>
      </c>
    </row>
    <row r="31" spans="1:15" ht="14" customHeight="1">
      <c r="A31" s="1014" t="s">
        <v>69</v>
      </c>
      <c r="B31" s="811" t="s">
        <v>326</v>
      </c>
      <c r="C31" s="611">
        <v>4545820</v>
      </c>
      <c r="D31" s="98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</row>
    <row r="32" spans="1:15" ht="14" customHeight="1">
      <c r="A32" s="1015"/>
      <c r="B32" s="811" t="s">
        <v>195</v>
      </c>
      <c r="C32" s="611">
        <v>481195.18687776715</v>
      </c>
      <c r="D32" s="71">
        <v>33129</v>
      </c>
      <c r="E32" s="71">
        <v>37602</v>
      </c>
      <c r="F32" s="71">
        <v>39709</v>
      </c>
      <c r="G32" s="71">
        <v>47687</v>
      </c>
      <c r="H32" s="71">
        <v>47594</v>
      </c>
      <c r="I32" s="71">
        <v>47192</v>
      </c>
      <c r="J32" s="71">
        <v>46573</v>
      </c>
      <c r="K32" s="71">
        <v>42349</v>
      </c>
      <c r="L32" s="71">
        <v>37384</v>
      </c>
      <c r="M32" s="71">
        <v>36471</v>
      </c>
      <c r="N32" s="71">
        <v>34453</v>
      </c>
      <c r="O32" s="71">
        <v>31051</v>
      </c>
    </row>
    <row r="33" spans="1:16" ht="14" customHeight="1">
      <c r="A33" s="1015"/>
      <c r="B33" s="811" t="s">
        <v>370</v>
      </c>
      <c r="C33" s="611">
        <v>13009.44632673468</v>
      </c>
      <c r="D33" s="71">
        <v>866.21500000000003</v>
      </c>
      <c r="E33" s="71">
        <v>1006.888</v>
      </c>
      <c r="F33" s="71">
        <v>1090.519</v>
      </c>
      <c r="G33" s="71">
        <v>1317.8789999999999</v>
      </c>
      <c r="H33" s="71">
        <v>1323.7529999999999</v>
      </c>
      <c r="I33" s="71">
        <v>1306.221</v>
      </c>
      <c r="J33" s="71">
        <v>1282.057</v>
      </c>
      <c r="K33" s="71">
        <v>1142.403</v>
      </c>
      <c r="L33" s="71">
        <v>1004.8579999999999</v>
      </c>
      <c r="M33" s="71">
        <v>951.02</v>
      </c>
      <c r="N33" s="71">
        <v>903.93899999999996</v>
      </c>
      <c r="O33" s="71">
        <v>813.69299999999998</v>
      </c>
    </row>
    <row r="34" spans="1:16" ht="14" customHeight="1">
      <c r="A34" s="1015"/>
      <c r="B34" s="811" t="s">
        <v>361</v>
      </c>
      <c r="C34" s="614">
        <f>C33/C32*1000</f>
        <v>27.035695039151189</v>
      </c>
      <c r="D34" s="98">
        <f>D33/D32*1000</f>
        <v>26.146729451537929</v>
      </c>
      <c r="E34" s="98">
        <f t="shared" ref="E34" si="55">E33/E32*1000</f>
        <v>26.77751183447689</v>
      </c>
      <c r="F34" s="98">
        <f t="shared" ref="F34" si="56">F33/F32*1000</f>
        <v>27.462766627212975</v>
      </c>
      <c r="G34" s="98">
        <f t="shared" ref="G34" si="57">G33/G32*1000</f>
        <v>27.63602239604085</v>
      </c>
      <c r="H34" s="98">
        <f t="shared" ref="H34" si="58">H33/H32*1000</f>
        <v>27.813442870950119</v>
      </c>
      <c r="I34" s="98">
        <f t="shared" ref="I34" si="59">I33/I32*1000</f>
        <v>27.678865061874895</v>
      </c>
      <c r="J34" s="98">
        <f t="shared" ref="J34" si="60">J33/J32*1000</f>
        <v>27.527902432739999</v>
      </c>
      <c r="K34" s="98">
        <f t="shared" ref="K34" si="61">K33/K32*1000</f>
        <v>26.975914425370139</v>
      </c>
      <c r="L34" s="98">
        <f t="shared" ref="L34" si="62">L33/L32*1000</f>
        <v>26.879360154076611</v>
      </c>
      <c r="M34" s="98">
        <f t="shared" ref="M34" si="63">M33/M32*1000</f>
        <v>26.076060431575772</v>
      </c>
      <c r="N34" s="98">
        <f t="shared" ref="N34" si="64">N33/N32*1000</f>
        <v>26.236873421762979</v>
      </c>
      <c r="O34" s="98">
        <f t="shared" ref="O34" si="65">O33/O32*1000</f>
        <v>26.205049756851633</v>
      </c>
    </row>
    <row r="35" spans="1:16" ht="14" customHeight="1">
      <c r="A35" s="1017"/>
      <c r="B35" s="812" t="s">
        <v>393</v>
      </c>
      <c r="C35" s="613">
        <v>4.7840641109549926</v>
      </c>
      <c r="D35" s="175">
        <v>4.6927148753963372</v>
      </c>
      <c r="E35" s="175">
        <v>4.7484503231349811</v>
      </c>
      <c r="F35" s="175">
        <v>4.777757535479485</v>
      </c>
      <c r="G35" s="175">
        <v>4.822046173316906</v>
      </c>
      <c r="H35" s="175">
        <v>4.8094498447178813</v>
      </c>
      <c r="I35" s="175">
        <v>4.8067021735472366</v>
      </c>
      <c r="J35" s="175">
        <v>4.8069571423503783</v>
      </c>
      <c r="K35" s="175">
        <v>4.806152880836561</v>
      </c>
      <c r="L35" s="175">
        <v>4.7967137272340841</v>
      </c>
      <c r="M35" s="175">
        <v>4.7797468611618328</v>
      </c>
      <c r="N35" s="175">
        <v>4.7741180508641055</v>
      </c>
      <c r="O35" s="175">
        <v>4.7280663962707683</v>
      </c>
      <c r="P35" s="100"/>
    </row>
    <row r="36" spans="1:16" ht="14" customHeight="1">
      <c r="A36" s="1014" t="s">
        <v>70</v>
      </c>
      <c r="B36" s="811" t="s">
        <v>326</v>
      </c>
      <c r="C36" s="611">
        <v>1056907</v>
      </c>
      <c r="D36" s="98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</row>
    <row r="37" spans="1:16" ht="14" customHeight="1">
      <c r="A37" s="1015"/>
      <c r="B37" s="811" t="s">
        <v>195</v>
      </c>
      <c r="C37" s="611">
        <v>115666.27778732296</v>
      </c>
      <c r="D37" s="71">
        <v>8918</v>
      </c>
      <c r="E37" s="71">
        <v>9252</v>
      </c>
      <c r="F37" s="71">
        <v>9427</v>
      </c>
      <c r="G37" s="71">
        <v>10711</v>
      </c>
      <c r="H37" s="71">
        <v>10772</v>
      </c>
      <c r="I37" s="71">
        <v>11034</v>
      </c>
      <c r="J37" s="71">
        <v>10568</v>
      </c>
      <c r="K37" s="71">
        <v>9822</v>
      </c>
      <c r="L37" s="71">
        <v>9070</v>
      </c>
      <c r="M37" s="71">
        <v>8828</v>
      </c>
      <c r="N37" s="71">
        <v>8227</v>
      </c>
      <c r="O37" s="71">
        <v>9037</v>
      </c>
    </row>
    <row r="38" spans="1:16" ht="14" customHeight="1">
      <c r="A38" s="1015"/>
      <c r="B38" s="811" t="s">
        <v>370</v>
      </c>
      <c r="C38" s="611">
        <v>3961.8268804917011</v>
      </c>
      <c r="D38" s="71">
        <v>294.33499999999998</v>
      </c>
      <c r="E38" s="71">
        <v>314.72199999999998</v>
      </c>
      <c r="F38" s="71">
        <v>327.11700000000002</v>
      </c>
      <c r="G38" s="71">
        <v>381.84399999999999</v>
      </c>
      <c r="H38" s="71">
        <v>383.62799999999999</v>
      </c>
      <c r="I38" s="71">
        <v>392.35500000000002</v>
      </c>
      <c r="J38" s="71">
        <v>365.07100000000003</v>
      </c>
      <c r="K38" s="71">
        <v>337.71800000000002</v>
      </c>
      <c r="L38" s="71">
        <v>306.19499999999999</v>
      </c>
      <c r="M38" s="71">
        <v>289.40699999999998</v>
      </c>
      <c r="N38" s="71">
        <v>274.197</v>
      </c>
      <c r="O38" s="71">
        <v>295.23700000000002</v>
      </c>
    </row>
    <row r="39" spans="1:16" ht="14" customHeight="1">
      <c r="A39" s="1015"/>
      <c r="B39" s="811" t="s">
        <v>361</v>
      </c>
      <c r="C39" s="614">
        <f>C38/C37*1000</f>
        <v>34.252220753367389</v>
      </c>
      <c r="D39" s="98">
        <f>D38/D37*1000</f>
        <v>33.004597443372951</v>
      </c>
      <c r="E39" s="98">
        <f t="shared" ref="E39" si="66">E38/E37*1000</f>
        <v>34.016645049718974</v>
      </c>
      <c r="F39" s="98">
        <f t="shared" ref="F39" si="67">F38/F37*1000</f>
        <v>34.700010607828581</v>
      </c>
      <c r="G39" s="98">
        <f t="shared" ref="G39" si="68">G38/G37*1000</f>
        <v>35.64970590981234</v>
      </c>
      <c r="H39" s="98">
        <f t="shared" ref="H39" si="69">H38/H37*1000</f>
        <v>35.613442257705159</v>
      </c>
      <c r="I39" s="98">
        <f t="shared" ref="I39" si="70">I38/I37*1000</f>
        <v>35.558727569331154</v>
      </c>
      <c r="J39" s="98">
        <f t="shared" ref="J39" si="71">J38/J37*1000</f>
        <v>34.544947009841032</v>
      </c>
      <c r="K39" s="98">
        <f t="shared" ref="K39" si="72">K38/K37*1000</f>
        <v>34.383832213398499</v>
      </c>
      <c r="L39" s="98">
        <f t="shared" ref="L39" si="73">L38/L37*1000</f>
        <v>33.759095920617419</v>
      </c>
      <c r="M39" s="98">
        <f t="shared" ref="M39" si="74">M38/M37*1000</f>
        <v>32.782850022655182</v>
      </c>
      <c r="N39" s="98">
        <f t="shared" ref="N39" si="75">N38/N37*1000</f>
        <v>33.328916980673391</v>
      </c>
      <c r="O39" s="98">
        <f t="shared" ref="O39" si="76">O38/O37*1000</f>
        <v>32.66980192541773</v>
      </c>
    </row>
    <row r="40" spans="1:16" ht="14" customHeight="1">
      <c r="A40" s="1017"/>
      <c r="B40" s="812" t="s">
        <v>393</v>
      </c>
      <c r="C40" s="613">
        <v>3.86088675537352</v>
      </c>
      <c r="D40" s="175">
        <v>3.747450693539379</v>
      </c>
      <c r="E40" s="175">
        <v>3.8275032006338354</v>
      </c>
      <c r="F40" s="175">
        <v>3.8566132271890203</v>
      </c>
      <c r="G40" s="175">
        <v>3.9030332706999289</v>
      </c>
      <c r="H40" s="175">
        <v>3.9063887101199892</v>
      </c>
      <c r="I40" s="175">
        <v>3.8865584501019548</v>
      </c>
      <c r="J40" s="175">
        <v>3.8843946800409763</v>
      </c>
      <c r="K40" s="175">
        <v>3.8785925656634932</v>
      </c>
      <c r="L40" s="175">
        <v>3.8794650586125834</v>
      </c>
      <c r="M40" s="175">
        <v>3.8500724919833851</v>
      </c>
      <c r="N40" s="175">
        <v>3.8383138494383968</v>
      </c>
      <c r="O40" s="175">
        <v>3.8295223287388729</v>
      </c>
    </row>
    <row r="41" spans="1:16" ht="14" customHeight="1">
      <c r="A41" s="1014" t="s">
        <v>408</v>
      </c>
      <c r="B41" s="811" t="s">
        <v>327</v>
      </c>
      <c r="C41" s="611">
        <v>27776727.125386391</v>
      </c>
      <c r="D41" s="71">
        <v>28038224</v>
      </c>
      <c r="E41" s="71">
        <v>28143483</v>
      </c>
      <c r="F41" s="71">
        <v>28065283</v>
      </c>
      <c r="G41" s="71">
        <v>28144550</v>
      </c>
      <c r="H41" s="71">
        <v>27757723</v>
      </c>
      <c r="I41" s="71">
        <v>27801664</v>
      </c>
      <c r="J41" s="71">
        <v>27580450</v>
      </c>
      <c r="K41" s="71">
        <v>27600592</v>
      </c>
      <c r="L41" s="71">
        <v>27658463</v>
      </c>
      <c r="M41" s="71">
        <v>27628064</v>
      </c>
      <c r="N41" s="71">
        <v>27448800</v>
      </c>
      <c r="O41" s="71">
        <v>27453431</v>
      </c>
    </row>
    <row r="42" spans="1:16" ht="14" customHeight="1">
      <c r="A42" s="1015"/>
      <c r="B42" s="811" t="s">
        <v>371</v>
      </c>
      <c r="C42" s="611">
        <v>508591.81465513736</v>
      </c>
      <c r="D42" s="71">
        <v>42476.78</v>
      </c>
      <c r="E42" s="71">
        <v>41940.478000000003</v>
      </c>
      <c r="F42" s="71">
        <v>42001.228000000003</v>
      </c>
      <c r="G42" s="71">
        <v>41643.885999999999</v>
      </c>
      <c r="H42" s="71">
        <v>42712.703000000001</v>
      </c>
      <c r="I42" s="71">
        <v>42335.928</v>
      </c>
      <c r="J42" s="71">
        <v>42329.661</v>
      </c>
      <c r="K42" s="71">
        <v>42920.09</v>
      </c>
      <c r="L42" s="71">
        <v>42314.23</v>
      </c>
      <c r="M42" s="71">
        <v>42557.231</v>
      </c>
      <c r="N42" s="71">
        <v>42517.345999999998</v>
      </c>
      <c r="O42" s="71">
        <v>42842.254999999997</v>
      </c>
    </row>
    <row r="43" spans="1:16" ht="14" customHeight="1">
      <c r="A43" s="1015"/>
      <c r="B43" s="811" t="s">
        <v>364</v>
      </c>
      <c r="C43" s="612">
        <f>C42/C41*1000</f>
        <v>18.309997875534897</v>
      </c>
      <c r="D43" s="72">
        <f>D42/D41*1000</f>
        <v>1.5149597207012826</v>
      </c>
      <c r="E43" s="72">
        <f t="shared" ref="E43" si="77">E42/E41*1000</f>
        <v>1.4902376511109161</v>
      </c>
      <c r="F43" s="72">
        <f t="shared" ref="F43" si="78">F42/F41*1000</f>
        <v>1.4965545866756449</v>
      </c>
      <c r="G43" s="72">
        <f t="shared" ref="G43" si="79">G42/G41*1000</f>
        <v>1.479642985942216</v>
      </c>
      <c r="H43" s="72">
        <f t="shared" ref="H43" si="80">H42/H41*1000</f>
        <v>1.5387682555950284</v>
      </c>
      <c r="I43" s="72">
        <f t="shared" ref="I43" si="81">I42/I41*1000</f>
        <v>1.5227839599816759</v>
      </c>
      <c r="J43" s="72">
        <f t="shared" ref="J43" si="82">J42/J41*1000</f>
        <v>1.534770498668441</v>
      </c>
      <c r="K43" s="72">
        <f t="shared" ref="K43" si="83">K42/K41*1000</f>
        <v>1.5550423701056846</v>
      </c>
      <c r="L43" s="72">
        <f t="shared" ref="L43" si="84">L42/L41*1000</f>
        <v>1.5298836381472103</v>
      </c>
      <c r="M43" s="72">
        <f t="shared" ref="M43" si="85">M42/M41*1000</f>
        <v>1.5403624010716059</v>
      </c>
      <c r="N43" s="72">
        <f t="shared" ref="N43" si="86">N42/N41*1000</f>
        <v>1.5489692081256738</v>
      </c>
      <c r="O43" s="72">
        <f t="shared" ref="O43" si="87">O42/O41*1000</f>
        <v>1.5605428334258111</v>
      </c>
    </row>
    <row r="44" spans="1:16" ht="14" customHeight="1">
      <c r="A44" s="1017"/>
      <c r="B44" s="812" t="s">
        <v>362</v>
      </c>
      <c r="C44" s="613">
        <v>5.2360585756598015</v>
      </c>
      <c r="D44" s="175">
        <v>5.1870676320631102</v>
      </c>
      <c r="E44" s="175">
        <v>5.2104546242603842</v>
      </c>
      <c r="F44" s="175">
        <v>5.2200934850919261</v>
      </c>
      <c r="G44" s="175">
        <v>5.228692264570082</v>
      </c>
      <c r="H44" s="175">
        <v>5.2314220632004149</v>
      </c>
      <c r="I44" s="175">
        <v>5.2367083966837802</v>
      </c>
      <c r="J44" s="175">
        <v>5.240810543466198</v>
      </c>
      <c r="K44" s="175">
        <v>5.2465095571083582</v>
      </c>
      <c r="L44" s="175">
        <v>5.2498956316459156</v>
      </c>
      <c r="M44" s="175">
        <v>5.2548663640301143</v>
      </c>
      <c r="N44" s="175">
        <v>5.2605656753881185</v>
      </c>
      <c r="O44" s="175">
        <v>5.2646534067974908</v>
      </c>
    </row>
    <row r="45" spans="1:16" ht="14" customHeight="1">
      <c r="A45" s="1014" t="s">
        <v>423</v>
      </c>
      <c r="B45" s="811" t="s">
        <v>328</v>
      </c>
      <c r="C45" s="615">
        <f>AVERAGE(D45:O45)</f>
        <v>933907.08333333337</v>
      </c>
      <c r="D45" s="71">
        <v>920503</v>
      </c>
      <c r="E45" s="71">
        <v>955924</v>
      </c>
      <c r="F45" s="71">
        <v>969202</v>
      </c>
      <c r="G45" s="71">
        <v>971817</v>
      </c>
      <c r="H45" s="71">
        <v>970575</v>
      </c>
      <c r="I45" s="71">
        <v>962127</v>
      </c>
      <c r="J45" s="71">
        <v>938081</v>
      </c>
      <c r="K45" s="71">
        <v>921774</v>
      </c>
      <c r="L45" s="71">
        <v>904777</v>
      </c>
      <c r="M45" s="71">
        <v>893612</v>
      </c>
      <c r="N45" s="71">
        <v>896758</v>
      </c>
      <c r="O45" s="71">
        <v>901735</v>
      </c>
    </row>
    <row r="46" spans="1:16" ht="14" customHeight="1">
      <c r="A46" s="1015"/>
      <c r="B46" s="811" t="s">
        <v>372</v>
      </c>
      <c r="C46" s="611">
        <f>SUM(D46:O46)</f>
        <v>2228888.9709999999</v>
      </c>
      <c r="D46" s="71">
        <v>185338.34700000001</v>
      </c>
      <c r="E46" s="71">
        <v>180951.02299999999</v>
      </c>
      <c r="F46" s="71">
        <v>191960.31099999999</v>
      </c>
      <c r="G46" s="71">
        <v>194197.109</v>
      </c>
      <c r="H46" s="71">
        <v>196177.549</v>
      </c>
      <c r="I46" s="71">
        <v>191233.399</v>
      </c>
      <c r="J46" s="71">
        <v>189444.622</v>
      </c>
      <c r="K46" s="71">
        <v>185274.86199999999</v>
      </c>
      <c r="L46" s="71">
        <v>176821.57800000001</v>
      </c>
      <c r="M46" s="71">
        <v>179492.747</v>
      </c>
      <c r="N46" s="71">
        <v>176419.932</v>
      </c>
      <c r="O46" s="71">
        <v>181577.492</v>
      </c>
    </row>
    <row r="47" spans="1:16" ht="14" customHeight="1">
      <c r="A47" s="1015"/>
      <c r="B47" s="811" t="s">
        <v>373</v>
      </c>
      <c r="C47" s="614">
        <f>C46/C45*1000/366</f>
        <v>6.5208420464770347</v>
      </c>
      <c r="D47" s="98">
        <f>D46/D45*1000/31</f>
        <v>6.4949884517907162</v>
      </c>
      <c r="E47" s="98">
        <f>E46/E45*1000/29</f>
        <v>6.5273917678349553</v>
      </c>
      <c r="F47" s="98">
        <f t="shared" ref="F47:O47" si="88">F46/F45*1000/31</f>
        <v>6.3890376792187729</v>
      </c>
      <c r="G47" s="98">
        <f>G46/G45*1000/30</f>
        <v>6.6609628836156061</v>
      </c>
      <c r="H47" s="98">
        <f t="shared" si="88"/>
        <v>6.5201638536517681</v>
      </c>
      <c r="I47" s="98">
        <f>I46/I45*1000/30</f>
        <v>6.6253692426606197</v>
      </c>
      <c r="J47" s="98">
        <f t="shared" si="88"/>
        <v>6.5144873829761787</v>
      </c>
      <c r="K47" s="98">
        <f t="shared" si="88"/>
        <v>6.4838110552184185</v>
      </c>
      <c r="L47" s="98">
        <f>L46/L45*1000/30</f>
        <v>6.5143705023447769</v>
      </c>
      <c r="M47" s="98">
        <f t="shared" si="88"/>
        <v>6.4794212845208277</v>
      </c>
      <c r="N47" s="98">
        <f>N46/N45*1000/30</f>
        <v>6.5576938259820379</v>
      </c>
      <c r="O47" s="98">
        <f t="shared" si="88"/>
        <v>6.4956317006802475</v>
      </c>
    </row>
    <row r="48" spans="1:16" ht="14" customHeight="1">
      <c r="A48" s="1017"/>
      <c r="B48" s="812" t="s">
        <v>362</v>
      </c>
      <c r="C48" s="613">
        <v>1.5387871674935578</v>
      </c>
      <c r="D48" s="175">
        <v>1.5155973323606231</v>
      </c>
      <c r="E48" s="175">
        <v>1.5249092153258192</v>
      </c>
      <c r="F48" s="175">
        <v>1.5348758527941362</v>
      </c>
      <c r="G48" s="175">
        <v>1.5418766501970886</v>
      </c>
      <c r="H48" s="175">
        <v>1.5445847245002016</v>
      </c>
      <c r="I48" s="175">
        <v>1.5442136752579467</v>
      </c>
      <c r="J48" s="175">
        <v>1.5433870403463366</v>
      </c>
      <c r="K48" s="175">
        <v>1.54147704165675</v>
      </c>
      <c r="L48" s="175">
        <v>1.5413603513998457</v>
      </c>
      <c r="M48" s="175">
        <v>1.5403777885438408</v>
      </c>
      <c r="N48" s="175">
        <v>1.5451563959454373</v>
      </c>
      <c r="O48" s="175">
        <v>1.547329076427739</v>
      </c>
    </row>
    <row r="49" spans="1:16" ht="14" customHeight="1">
      <c r="A49" s="1014" t="s">
        <v>409</v>
      </c>
      <c r="B49" s="811" t="s">
        <v>71</v>
      </c>
      <c r="C49" s="615">
        <f>SUM(D49:O49)</f>
        <v>2119261</v>
      </c>
      <c r="D49" s="71">
        <v>206465</v>
      </c>
      <c r="E49" s="71">
        <v>307328</v>
      </c>
      <c r="F49" s="71">
        <v>292550</v>
      </c>
      <c r="G49" s="71">
        <v>27044</v>
      </c>
      <c r="H49" s="71">
        <v>32178</v>
      </c>
      <c r="I49" s="71">
        <v>21268</v>
      </c>
      <c r="J49" s="71">
        <v>2240</v>
      </c>
      <c r="K49" s="71">
        <v>286</v>
      </c>
      <c r="L49" s="71">
        <v>12720</v>
      </c>
      <c r="M49" s="71">
        <v>80198</v>
      </c>
      <c r="N49" s="71">
        <v>826670</v>
      </c>
      <c r="O49" s="71">
        <v>310314</v>
      </c>
    </row>
    <row r="50" spans="1:16" ht="14" customHeight="1">
      <c r="A50" s="1015"/>
      <c r="B50" s="811" t="s">
        <v>374</v>
      </c>
      <c r="C50" s="611">
        <f>SUM(D50:O50)</f>
        <v>4615.2290000000003</v>
      </c>
      <c r="D50" s="71">
        <v>426.363</v>
      </c>
      <c r="E50" s="71">
        <v>621.88699999999994</v>
      </c>
      <c r="F50" s="71">
        <v>594.19299999999998</v>
      </c>
      <c r="G50" s="71">
        <v>44.591999999999999</v>
      </c>
      <c r="H50" s="71">
        <v>60.462000000000003</v>
      </c>
      <c r="I50" s="71">
        <v>40.198999999999998</v>
      </c>
      <c r="J50" s="71">
        <v>4.0389999999999997</v>
      </c>
      <c r="K50" s="71">
        <v>0.60699999999999998</v>
      </c>
      <c r="L50" s="71">
        <v>26.736999999999998</v>
      </c>
      <c r="M50" s="71">
        <v>228.44800000000001</v>
      </c>
      <c r="N50" s="71">
        <v>1861.087</v>
      </c>
      <c r="O50" s="71">
        <v>706.61500000000001</v>
      </c>
    </row>
    <row r="51" spans="1:16" ht="14" customHeight="1">
      <c r="A51" s="1015"/>
      <c r="B51" s="811" t="s">
        <v>375</v>
      </c>
      <c r="C51" s="612">
        <f>C50/C49*1000</f>
        <v>2.1777539434736921</v>
      </c>
      <c r="D51" s="72">
        <f>D50/D49*1000</f>
        <v>2.0650618748940501</v>
      </c>
      <c r="E51" s="72">
        <f t="shared" ref="E51" si="89">E50/E49*1000</f>
        <v>2.0235286078717203</v>
      </c>
      <c r="F51" s="72">
        <f t="shared" ref="F51" si="90">F50/F49*1000</f>
        <v>2.0310818663476327</v>
      </c>
      <c r="G51" s="72">
        <f t="shared" ref="G51" si="91">G50/G49*1000</f>
        <v>1.6488685105753587</v>
      </c>
      <c r="H51" s="72">
        <f t="shared" ref="H51" si="92">H50/H49*1000</f>
        <v>1.8789856423643485</v>
      </c>
      <c r="I51" s="72">
        <f t="shared" ref="I51" si="93">I50/I49*1000</f>
        <v>1.8901166071092721</v>
      </c>
      <c r="J51" s="72">
        <f t="shared" ref="J51" si="94">J50/J49*1000</f>
        <v>1.8031249999999999</v>
      </c>
      <c r="K51" s="72">
        <f t="shared" ref="K51" si="95">K50/K49*1000</f>
        <v>2.1223776223776225</v>
      </c>
      <c r="L51" s="72">
        <f t="shared" ref="L51" si="96">L50/L49*1000</f>
        <v>2.1019654088050315</v>
      </c>
      <c r="M51" s="72">
        <f t="shared" ref="M51" si="97">M50/M49*1000</f>
        <v>2.8485498391481086</v>
      </c>
      <c r="N51" s="72">
        <f t="shared" ref="N51" si="98">N50/N49*1000</f>
        <v>2.2513058415087039</v>
      </c>
      <c r="O51" s="72">
        <f t="shared" ref="O51" si="99">O50/O49*1000</f>
        <v>2.2770967471657739</v>
      </c>
      <c r="P51" s="72"/>
    </row>
    <row r="52" spans="1:16" ht="14" customHeight="1">
      <c r="A52" s="1017"/>
      <c r="B52" s="812" t="s">
        <v>362</v>
      </c>
      <c r="C52" s="613">
        <v>14.74780990183822</v>
      </c>
      <c r="D52" s="175">
        <v>14.930398932108631</v>
      </c>
      <c r="E52" s="175">
        <v>14.826707353028965</v>
      </c>
      <c r="F52" s="175">
        <v>14.852387016279261</v>
      </c>
      <c r="G52" s="175">
        <v>13.647168054397122</v>
      </c>
      <c r="H52" s="175">
        <v>13.791153092212289</v>
      </c>
      <c r="I52" s="175">
        <v>14.072384206070124</v>
      </c>
      <c r="J52" s="175">
        <v>14.751759824083118</v>
      </c>
      <c r="K52" s="175">
        <v>14.590593503751391</v>
      </c>
      <c r="L52" s="175">
        <v>14.044836497014435</v>
      </c>
      <c r="M52" s="175">
        <v>14.336370790681459</v>
      </c>
      <c r="N52" s="175">
        <v>14.782667739895011</v>
      </c>
      <c r="O52" s="175">
        <v>14.737920497812263</v>
      </c>
      <c r="P52" s="100"/>
    </row>
    <row r="53" spans="1:16" ht="14" customHeight="1">
      <c r="A53" s="1014" t="s">
        <v>410</v>
      </c>
      <c r="B53" s="811" t="s">
        <v>376</v>
      </c>
      <c r="C53" s="615">
        <f>SUM(D53:O53)</f>
        <v>336239</v>
      </c>
      <c r="D53" s="71">
        <v>17515</v>
      </c>
      <c r="E53" s="71">
        <v>56589</v>
      </c>
      <c r="F53" s="71">
        <v>52733</v>
      </c>
      <c r="G53" s="71">
        <v>5797</v>
      </c>
      <c r="H53" s="71">
        <v>3509</v>
      </c>
      <c r="I53" s="71">
        <v>1462</v>
      </c>
      <c r="J53" s="71">
        <v>118</v>
      </c>
      <c r="K53" s="71">
        <v>0</v>
      </c>
      <c r="L53" s="71">
        <v>4924</v>
      </c>
      <c r="M53" s="71">
        <v>17563</v>
      </c>
      <c r="N53" s="71">
        <v>146821</v>
      </c>
      <c r="O53" s="71">
        <v>29208</v>
      </c>
    </row>
    <row r="54" spans="1:16" ht="14" customHeight="1">
      <c r="A54" s="1015"/>
      <c r="B54" s="811" t="s">
        <v>374</v>
      </c>
      <c r="C54" s="611">
        <f>SUM(D54:O54)</f>
        <v>712.40999999999985</v>
      </c>
      <c r="D54" s="71">
        <v>36.064999999999998</v>
      </c>
      <c r="E54" s="71">
        <v>110.941</v>
      </c>
      <c r="F54" s="71">
        <v>104.764</v>
      </c>
      <c r="G54" s="71">
        <v>9.9410000000000007</v>
      </c>
      <c r="H54" s="71">
        <v>5.7960000000000003</v>
      </c>
      <c r="I54" s="71">
        <v>2.7269999999999999</v>
      </c>
      <c r="J54" s="71">
        <v>0.161</v>
      </c>
      <c r="K54" s="71">
        <v>0</v>
      </c>
      <c r="L54" s="71">
        <v>6.8289999999999997</v>
      </c>
      <c r="M54" s="71">
        <v>52.045999999999999</v>
      </c>
      <c r="N54" s="71">
        <v>317.399</v>
      </c>
      <c r="O54" s="71">
        <v>65.741</v>
      </c>
    </row>
    <row r="55" spans="1:16" ht="14" customHeight="1">
      <c r="A55" s="1015"/>
      <c r="B55" s="811" t="s">
        <v>377</v>
      </c>
      <c r="C55" s="612">
        <f>C54/C53*1000</f>
        <v>2.1187607624338636</v>
      </c>
      <c r="D55" s="72">
        <f>D54/D53*1000</f>
        <v>2.0590922066799884</v>
      </c>
      <c r="E55" s="72">
        <f t="shared" ref="E55" si="100">E54/E53*1000</f>
        <v>1.960469349166799</v>
      </c>
      <c r="F55" s="72">
        <f t="shared" ref="F55" si="101">F54/F53*1000</f>
        <v>1.9866876528928752</v>
      </c>
      <c r="G55" s="72">
        <f t="shared" ref="G55" si="102">G54/G53*1000</f>
        <v>1.7148525099189238</v>
      </c>
      <c r="H55" s="72">
        <f t="shared" ref="H55" si="103">H54/H53*1000</f>
        <v>1.651752636078655</v>
      </c>
      <c r="I55" s="72">
        <f t="shared" ref="I55" si="104">I54/I53*1000</f>
        <v>1.865253077975376</v>
      </c>
      <c r="J55" s="72">
        <f t="shared" ref="J55" si="105">J54/J53*1000</f>
        <v>1.3644067796610171</v>
      </c>
      <c r="K55" s="72">
        <v>0</v>
      </c>
      <c r="L55" s="72">
        <f t="shared" ref="L55" si="106">L54/L53*1000</f>
        <v>1.3868805848903329</v>
      </c>
      <c r="M55" s="72">
        <f t="shared" ref="M55" si="107">M54/M53*1000</f>
        <v>2.963388942663554</v>
      </c>
      <c r="N55" s="72">
        <f t="shared" ref="N55" si="108">N54/N53*1000</f>
        <v>2.1618092779643239</v>
      </c>
      <c r="O55" s="72">
        <f t="shared" ref="O55" si="109">O54/O53*1000</f>
        <v>2.2507874554916465</v>
      </c>
      <c r="P55" s="157"/>
    </row>
    <row r="56" spans="1:16" ht="14" customHeight="1">
      <c r="A56" s="1017"/>
      <c r="B56" s="812" t="s">
        <v>362</v>
      </c>
      <c r="C56" s="613">
        <v>6.6147688046628588</v>
      </c>
      <c r="D56" s="175">
        <v>6.5549889017770768</v>
      </c>
      <c r="E56" s="175">
        <v>6.4349293408582806</v>
      </c>
      <c r="F56" s="175">
        <v>6.5291166371568057</v>
      </c>
      <c r="G56" s="175">
        <v>6.0301254604422363</v>
      </c>
      <c r="H56" s="175">
        <v>6.3845284342348396</v>
      </c>
      <c r="I56" s="175">
        <v>6.7607697207018234</v>
      </c>
      <c r="J56" s="175">
        <v>6.4591611479028694</v>
      </c>
      <c r="K56" s="175">
        <v>0</v>
      </c>
      <c r="L56" s="175">
        <v>6.9495583847275437</v>
      </c>
      <c r="M56" s="175">
        <v>6.9718328846118576</v>
      </c>
      <c r="N56" s="175">
        <v>6.6442271388964196</v>
      </c>
      <c r="O56" s="175">
        <v>6.7308860044715608</v>
      </c>
      <c r="P56" s="100"/>
    </row>
    <row r="57" spans="1:16" ht="14" customHeight="1">
      <c r="A57" s="1014" t="s">
        <v>72</v>
      </c>
      <c r="B57" s="813" t="s">
        <v>378</v>
      </c>
      <c r="C57" s="615">
        <f>SUM(D57:O57)</f>
        <v>4238563</v>
      </c>
      <c r="D57" s="532">
        <v>422925</v>
      </c>
      <c r="E57" s="532">
        <v>1419946</v>
      </c>
      <c r="F57" s="532">
        <v>1128276</v>
      </c>
      <c r="G57" s="532">
        <v>211267</v>
      </c>
      <c r="H57" s="532">
        <v>174602</v>
      </c>
      <c r="I57" s="532">
        <v>117391</v>
      </c>
      <c r="J57" s="532">
        <v>102539</v>
      </c>
      <c r="K57" s="532">
        <v>61196</v>
      </c>
      <c r="L57" s="532">
        <v>60437</v>
      </c>
      <c r="M57" s="532">
        <v>11542</v>
      </c>
      <c r="N57" s="532">
        <v>335177</v>
      </c>
      <c r="O57" s="532">
        <v>193265</v>
      </c>
      <c r="P57" s="101"/>
    </row>
    <row r="58" spans="1:16" ht="14" customHeight="1">
      <c r="A58" s="1015"/>
      <c r="B58" s="811" t="s">
        <v>379</v>
      </c>
      <c r="C58" s="611">
        <f>SUM(D58:O58)</f>
        <v>8031.4620000000004</v>
      </c>
      <c r="D58" s="71">
        <v>752.44200000000001</v>
      </c>
      <c r="E58" s="71">
        <v>2581.8040000000001</v>
      </c>
      <c r="F58" s="71">
        <v>2129.3690000000001</v>
      </c>
      <c r="G58" s="71">
        <v>417.43900000000002</v>
      </c>
      <c r="H58" s="71">
        <v>455.00900000000001</v>
      </c>
      <c r="I58" s="71">
        <v>260.404</v>
      </c>
      <c r="J58" s="71">
        <v>206.35599999999999</v>
      </c>
      <c r="K58" s="71">
        <v>130.96299999999999</v>
      </c>
      <c r="L58" s="71">
        <v>114.321</v>
      </c>
      <c r="M58" s="71">
        <v>25.087</v>
      </c>
      <c r="N58" s="71">
        <v>634.60299999999995</v>
      </c>
      <c r="O58" s="71">
        <v>323.66500000000002</v>
      </c>
    </row>
    <row r="59" spans="1:16" ht="14" customHeight="1">
      <c r="A59" s="1015"/>
      <c r="B59" s="811" t="s">
        <v>380</v>
      </c>
      <c r="C59" s="612">
        <f>C58/C57*1000</f>
        <v>1.8948549307866842</v>
      </c>
      <c r="D59" s="72">
        <f>D58/D57*1000</f>
        <v>1.7791381450611812</v>
      </c>
      <c r="E59" s="72">
        <f t="shared" ref="E59:O59" si="110">E58/E57*1000</f>
        <v>1.8182409753610349</v>
      </c>
      <c r="F59" s="72">
        <f t="shared" si="110"/>
        <v>1.8872766947094506</v>
      </c>
      <c r="G59" s="72">
        <f t="shared" si="110"/>
        <v>1.9758835975329796</v>
      </c>
      <c r="H59" s="72">
        <f t="shared" si="110"/>
        <v>2.6059781674894902</v>
      </c>
      <c r="I59" s="72">
        <f t="shared" si="110"/>
        <v>2.2182620473460486</v>
      </c>
      <c r="J59" s="72">
        <f t="shared" si="110"/>
        <v>2.0124635504539734</v>
      </c>
      <c r="K59" s="72">
        <f t="shared" si="110"/>
        <v>2.1400581737368456</v>
      </c>
      <c r="L59" s="72">
        <f t="shared" si="110"/>
        <v>1.8915730430034581</v>
      </c>
      <c r="M59" s="72">
        <f t="shared" si="110"/>
        <v>2.1735401143649278</v>
      </c>
      <c r="N59" s="72">
        <f t="shared" si="110"/>
        <v>1.8933369533112354</v>
      </c>
      <c r="O59" s="72">
        <f t="shared" si="110"/>
        <v>1.6747212376788347</v>
      </c>
    </row>
    <row r="60" spans="1:16" ht="14" customHeight="1" thickBot="1">
      <c r="A60" s="1016"/>
      <c r="B60" s="814" t="s">
        <v>362</v>
      </c>
      <c r="C60" s="616">
        <v>6.885016857383178</v>
      </c>
      <c r="D60" s="158">
        <v>7.0116050769577036</v>
      </c>
      <c r="E60" s="158">
        <v>6.8146677407588623</v>
      </c>
      <c r="F60" s="158">
        <v>6.8667891686877827</v>
      </c>
      <c r="G60" s="158">
        <v>7.0124999848909333</v>
      </c>
      <c r="H60" s="158">
        <v>7.0520426210296598</v>
      </c>
      <c r="I60" s="158">
        <v>7.1226097129436123</v>
      </c>
      <c r="J60" s="158">
        <v>6.860625339181734</v>
      </c>
      <c r="K60" s="158">
        <v>6.797608881509837</v>
      </c>
      <c r="L60" s="158">
        <v>6.7409250370829321</v>
      </c>
      <c r="M60" s="158">
        <v>6.8170589481381301</v>
      </c>
      <c r="N60" s="158">
        <v>6.8178843502226893</v>
      </c>
      <c r="O60" s="158">
        <v>6.9201352021302966</v>
      </c>
    </row>
    <row r="61" spans="1:16" ht="9" customHeight="1">
      <c r="A61" s="449" t="s">
        <v>330</v>
      </c>
      <c r="B61" s="462"/>
      <c r="C61" s="463"/>
      <c r="D61" s="463"/>
      <c r="E61" s="463"/>
      <c r="F61" s="463" t="s">
        <v>306</v>
      </c>
      <c r="G61" s="463"/>
      <c r="H61" s="172"/>
      <c r="I61" s="172"/>
      <c r="J61" s="172"/>
      <c r="K61" s="172"/>
      <c r="L61" s="172"/>
      <c r="M61" s="172"/>
      <c r="N61" s="172"/>
      <c r="O61" s="100"/>
    </row>
    <row r="62" spans="1:16" ht="9" customHeight="1">
      <c r="A62" s="449" t="s">
        <v>304</v>
      </c>
      <c r="B62" s="462"/>
      <c r="C62" s="463"/>
      <c r="D62" s="462"/>
      <c r="E62" s="464"/>
      <c r="F62" s="462"/>
      <c r="G62" s="463"/>
      <c r="H62" s="172"/>
      <c r="I62" s="172"/>
      <c r="J62" s="172"/>
      <c r="K62" s="173"/>
      <c r="L62" s="171"/>
      <c r="M62" s="172"/>
      <c r="N62" s="171"/>
      <c r="O62" s="100"/>
    </row>
    <row r="63" spans="1:16" ht="9" customHeight="1">
      <c r="A63" s="451" t="s">
        <v>303</v>
      </c>
      <c r="B63" s="462"/>
      <c r="C63" s="463"/>
      <c r="D63" s="462"/>
      <c r="E63" s="464"/>
      <c r="F63" s="462"/>
      <c r="G63" s="463"/>
      <c r="H63" s="172"/>
      <c r="I63" s="172"/>
      <c r="J63" s="172"/>
      <c r="K63" s="173"/>
      <c r="L63" s="171"/>
      <c r="M63" s="172"/>
      <c r="N63" s="171"/>
      <c r="O63" s="100"/>
    </row>
    <row r="64" spans="1:16" ht="9" customHeight="1">
      <c r="A64" s="451"/>
      <c r="B64" s="462"/>
      <c r="C64" s="463"/>
      <c r="D64" s="462"/>
      <c r="E64" s="464"/>
      <c r="F64" s="462"/>
      <c r="G64" s="463"/>
      <c r="H64" s="172"/>
      <c r="I64" s="172"/>
      <c r="J64" s="172"/>
      <c r="K64" s="173"/>
      <c r="L64" s="171"/>
      <c r="M64" s="172"/>
      <c r="N64" s="171"/>
      <c r="O64" s="100"/>
    </row>
    <row r="65" spans="1:15" ht="10.25" customHeight="1">
      <c r="A65" s="174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71"/>
    </row>
    <row r="66" spans="1:15" ht="10.25" customHeight="1">
      <c r="A66" s="174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71"/>
    </row>
    <row r="67" spans="1:15" ht="10.25" customHeight="1">
      <c r="A67" s="173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71"/>
    </row>
    <row r="68" spans="1:15" ht="10.2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71"/>
    </row>
    <row r="69" spans="1:15" ht="10.2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71"/>
    </row>
    <row r="70" spans="1:15" ht="13.2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</row>
    <row r="71" spans="1:15" ht="13.2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</row>
    <row r="72" spans="1:15" ht="13.2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</row>
    <row r="73" spans="1:15" ht="13.2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</row>
    <row r="74" spans="1:15" ht="13.2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</row>
    <row r="75" spans="1:15" ht="13.2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</row>
    <row r="76" spans="1:15" ht="13.2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</row>
    <row r="77" spans="1:15" ht="13.2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</row>
    <row r="78" spans="1:15" ht="13.2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</row>
    <row r="79" spans="1:15" ht="13.2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</row>
    <row r="80" spans="1:15" ht="13.2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</row>
  </sheetData>
  <mergeCells count="12">
    <mergeCell ref="A57:A60"/>
    <mergeCell ref="A6:A10"/>
    <mergeCell ref="A11:A15"/>
    <mergeCell ref="A16:A20"/>
    <mergeCell ref="A21:A25"/>
    <mergeCell ref="A26:A30"/>
    <mergeCell ref="A31:A35"/>
    <mergeCell ref="A36:A40"/>
    <mergeCell ref="A41:A44"/>
    <mergeCell ref="A45:A48"/>
    <mergeCell ref="A49:A52"/>
    <mergeCell ref="A53:A5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E47:O4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59999389629810485"/>
  </sheetPr>
  <dimension ref="A1:I40"/>
  <sheetViews>
    <sheetView showGridLines="0" zoomScaleNormal="100" workbookViewId="0">
      <selection activeCell="F23" sqref="F23"/>
    </sheetView>
  </sheetViews>
  <sheetFormatPr baseColWidth="10" defaultColWidth="7" defaultRowHeight="13.25" customHeight="1"/>
  <cols>
    <col min="1" max="1" width="14.796875" style="67" customWidth="1"/>
    <col min="2" max="9" width="12" style="67" customWidth="1"/>
    <col min="10" max="16384" width="7" style="67"/>
  </cols>
  <sheetData>
    <row r="1" spans="1:9" ht="6.75" customHeight="1"/>
    <row r="2" spans="1:9" ht="19.5" customHeight="1">
      <c r="A2" s="178" t="s">
        <v>473</v>
      </c>
    </row>
    <row r="3" spans="1:9" ht="13.25" customHeight="1">
      <c r="A3" s="179" t="s">
        <v>203</v>
      </c>
      <c r="B3" s="561"/>
      <c r="C3" s="561"/>
      <c r="D3" s="561"/>
      <c r="E3" s="561"/>
      <c r="F3" s="561"/>
      <c r="G3" s="561"/>
      <c r="H3" s="561"/>
    </row>
    <row r="4" spans="1:9" ht="5" customHeight="1" thickBot="1"/>
    <row r="5" spans="1:9" ht="16" customHeight="1">
      <c r="A5" s="731" t="s">
        <v>16</v>
      </c>
      <c r="B5" s="731" t="s">
        <v>17</v>
      </c>
      <c r="C5" s="731" t="s">
        <v>5</v>
      </c>
      <c r="D5" s="731" t="s">
        <v>6</v>
      </c>
      <c r="E5" s="731" t="s">
        <v>7</v>
      </c>
      <c r="F5" s="731" t="s">
        <v>8</v>
      </c>
      <c r="G5" s="731" t="s">
        <v>9</v>
      </c>
      <c r="H5" s="731" t="s">
        <v>10</v>
      </c>
    </row>
    <row r="6" spans="1:9" ht="16" customHeight="1">
      <c r="A6" s="617" t="s">
        <v>87</v>
      </c>
      <c r="B6" s="618">
        <f t="shared" ref="B6:H6" si="0">(B8+B9+B10+B11+B12+B16+B17+B18+B19+B20+B21+B22+B23+B24+B25+B26+B27+B28+B31+B32+B33+B34+B35+B36)</f>
        <v>826762058</v>
      </c>
      <c r="C6" s="618">
        <f t="shared" si="0"/>
        <v>2588737</v>
      </c>
      <c r="D6" s="618">
        <f t="shared" si="0"/>
        <v>3990915</v>
      </c>
      <c r="E6" s="618">
        <f t="shared" si="0"/>
        <v>1380599</v>
      </c>
      <c r="F6" s="618">
        <f t="shared" si="0"/>
        <v>392803</v>
      </c>
      <c r="G6" s="618">
        <f t="shared" si="0"/>
        <v>481194</v>
      </c>
      <c r="H6" s="618">
        <f t="shared" si="0"/>
        <v>115666</v>
      </c>
      <c r="I6" s="388"/>
    </row>
    <row r="7" spans="1:9" ht="3" customHeight="1">
      <c r="A7" s="101"/>
      <c r="B7" s="415"/>
      <c r="C7" s="415"/>
      <c r="D7" s="415"/>
      <c r="E7" s="415"/>
      <c r="F7" s="415"/>
      <c r="G7" s="415"/>
      <c r="H7" s="415"/>
      <c r="I7" s="388"/>
    </row>
    <row r="8" spans="1:9" ht="15" customHeight="1">
      <c r="A8" s="67" t="s">
        <v>19</v>
      </c>
      <c r="B8" s="388">
        <v>93692</v>
      </c>
      <c r="C8" s="388">
        <v>2978</v>
      </c>
      <c r="D8" s="388">
        <v>5560</v>
      </c>
      <c r="E8" s="388">
        <v>3641</v>
      </c>
      <c r="F8" s="388">
        <v>21954</v>
      </c>
      <c r="G8" s="388">
        <v>0</v>
      </c>
      <c r="H8" s="388">
        <v>0</v>
      </c>
      <c r="I8" s="388"/>
    </row>
    <row r="9" spans="1:9" ht="15" customHeight="1">
      <c r="A9" s="67" t="s">
        <v>20</v>
      </c>
      <c r="B9" s="388">
        <v>13984015</v>
      </c>
      <c r="C9" s="388">
        <v>114971</v>
      </c>
      <c r="D9" s="388">
        <v>116025</v>
      </c>
      <c r="E9" s="388">
        <v>50691</v>
      </c>
      <c r="F9" s="388">
        <v>97958</v>
      </c>
      <c r="G9" s="388">
        <v>0</v>
      </c>
      <c r="H9" s="388">
        <v>0</v>
      </c>
      <c r="I9" s="388"/>
    </row>
    <row r="10" spans="1:9" ht="15" customHeight="1">
      <c r="A10" s="67" t="s">
        <v>21</v>
      </c>
      <c r="B10" s="388">
        <v>11388007</v>
      </c>
      <c r="C10" s="388">
        <v>24880</v>
      </c>
      <c r="D10" s="388">
        <v>30744</v>
      </c>
      <c r="E10" s="388">
        <v>20276</v>
      </c>
      <c r="F10" s="388">
        <v>17957</v>
      </c>
      <c r="G10" s="388">
        <v>0</v>
      </c>
      <c r="H10" s="388">
        <v>0</v>
      </c>
      <c r="I10" s="388"/>
    </row>
    <row r="11" spans="1:9" ht="15" customHeight="1">
      <c r="A11" s="67" t="s">
        <v>22</v>
      </c>
      <c r="B11" s="388">
        <v>138011041</v>
      </c>
      <c r="C11" s="388">
        <v>221021</v>
      </c>
      <c r="D11" s="388">
        <v>386387</v>
      </c>
      <c r="E11" s="388">
        <v>64178</v>
      </c>
      <c r="F11" s="388">
        <v>35659</v>
      </c>
      <c r="G11" s="388">
        <v>1649</v>
      </c>
      <c r="H11" s="388">
        <v>0</v>
      </c>
      <c r="I11" s="388"/>
    </row>
    <row r="12" spans="1:9" ht="15" customHeight="1">
      <c r="A12" s="67" t="s">
        <v>23</v>
      </c>
      <c r="B12" s="388">
        <v>1551093</v>
      </c>
      <c r="C12" s="388">
        <v>74335</v>
      </c>
      <c r="D12" s="388">
        <v>136492</v>
      </c>
      <c r="E12" s="388">
        <v>167972</v>
      </c>
      <c r="F12" s="388">
        <v>21386</v>
      </c>
      <c r="G12" s="388">
        <v>0</v>
      </c>
      <c r="H12" s="388">
        <v>0</v>
      </c>
      <c r="I12" s="388"/>
    </row>
    <row r="13" spans="1:9" ht="15" customHeight="1">
      <c r="A13" s="67" t="s">
        <v>24</v>
      </c>
      <c r="B13" s="388">
        <v>981115</v>
      </c>
      <c r="C13" s="388">
        <v>51470</v>
      </c>
      <c r="D13" s="388">
        <v>53509</v>
      </c>
      <c r="E13" s="388">
        <v>88293</v>
      </c>
      <c r="F13" s="388">
        <v>12571</v>
      </c>
      <c r="G13" s="388">
        <v>0</v>
      </c>
      <c r="H13" s="388">
        <v>0</v>
      </c>
      <c r="I13" s="388"/>
    </row>
    <row r="14" spans="1:9" ht="15" customHeight="1">
      <c r="A14" s="67" t="s">
        <v>25</v>
      </c>
      <c r="B14" s="388">
        <v>266050</v>
      </c>
      <c r="C14" s="388">
        <v>19724</v>
      </c>
      <c r="D14" s="388">
        <v>41779</v>
      </c>
      <c r="E14" s="388">
        <v>50224</v>
      </c>
      <c r="F14" s="388">
        <v>1065</v>
      </c>
      <c r="G14" s="388">
        <v>0</v>
      </c>
      <c r="H14" s="388">
        <v>0</v>
      </c>
      <c r="I14" s="388"/>
    </row>
    <row r="15" spans="1:9" ht="15" customHeight="1">
      <c r="A15" s="67" t="s">
        <v>26</v>
      </c>
      <c r="B15" s="388">
        <v>303928</v>
      </c>
      <c r="C15" s="388">
        <v>3141</v>
      </c>
      <c r="D15" s="388">
        <v>41204</v>
      </c>
      <c r="E15" s="388">
        <v>29455</v>
      </c>
      <c r="F15" s="388">
        <v>7750</v>
      </c>
      <c r="G15" s="388">
        <v>0</v>
      </c>
      <c r="H15" s="388">
        <v>0</v>
      </c>
      <c r="I15" s="388"/>
    </row>
    <row r="16" spans="1:9" ht="15" customHeight="1">
      <c r="A16" s="67" t="s">
        <v>27</v>
      </c>
      <c r="B16" s="388">
        <v>360533</v>
      </c>
      <c r="C16" s="388">
        <v>3752</v>
      </c>
      <c r="D16" s="388">
        <v>38532</v>
      </c>
      <c r="E16" s="388">
        <v>67815</v>
      </c>
      <c r="F16" s="388">
        <v>5132</v>
      </c>
      <c r="G16" s="388">
        <v>0</v>
      </c>
      <c r="H16" s="388">
        <v>0</v>
      </c>
      <c r="I16" s="388"/>
    </row>
    <row r="17" spans="1:9" ht="15" customHeight="1">
      <c r="A17" s="67" t="s">
        <v>28</v>
      </c>
      <c r="B17" s="388">
        <v>16545165</v>
      </c>
      <c r="C17" s="388">
        <v>135246</v>
      </c>
      <c r="D17" s="388">
        <v>61258</v>
      </c>
      <c r="E17" s="388">
        <v>60566</v>
      </c>
      <c r="F17" s="388">
        <v>21885</v>
      </c>
      <c r="G17" s="388">
        <v>578</v>
      </c>
      <c r="H17" s="388">
        <v>0</v>
      </c>
      <c r="I17" s="388"/>
    </row>
    <row r="18" spans="1:9" ht="15" customHeight="1">
      <c r="A18" s="67" t="s">
        <v>29</v>
      </c>
      <c r="B18" s="388">
        <v>472384881</v>
      </c>
      <c r="C18" s="388">
        <v>63970</v>
      </c>
      <c r="D18" s="388">
        <v>1520451</v>
      </c>
      <c r="E18" s="388">
        <v>123024</v>
      </c>
      <c r="F18" s="388">
        <v>39384</v>
      </c>
      <c r="G18" s="388">
        <v>3513</v>
      </c>
      <c r="H18" s="388">
        <v>2175</v>
      </c>
      <c r="I18" s="388"/>
    </row>
    <row r="19" spans="1:9" ht="15" customHeight="1">
      <c r="A19" s="67" t="s">
        <v>30</v>
      </c>
      <c r="B19" s="388">
        <v>43164575</v>
      </c>
      <c r="C19" s="388">
        <v>12625</v>
      </c>
      <c r="D19" s="388">
        <v>405041</v>
      </c>
      <c r="E19" s="388">
        <v>40371</v>
      </c>
      <c r="F19" s="388">
        <v>21374</v>
      </c>
      <c r="G19" s="388">
        <v>0</v>
      </c>
      <c r="H19" s="388">
        <v>0</v>
      </c>
      <c r="I19" s="388"/>
    </row>
    <row r="20" spans="1:9" ht="15" customHeight="1">
      <c r="A20" s="67" t="s">
        <v>31</v>
      </c>
      <c r="B20" s="388">
        <v>564447</v>
      </c>
      <c r="C20" s="388">
        <v>174789</v>
      </c>
      <c r="D20" s="388">
        <v>231783</v>
      </c>
      <c r="E20" s="388">
        <v>173113</v>
      </c>
      <c r="F20" s="388">
        <v>27535</v>
      </c>
      <c r="G20" s="388">
        <v>1788</v>
      </c>
      <c r="H20" s="388">
        <v>0</v>
      </c>
      <c r="I20" s="388"/>
    </row>
    <row r="21" spans="1:9" ht="15" customHeight="1">
      <c r="A21" s="67" t="s">
        <v>32</v>
      </c>
      <c r="B21" s="388">
        <v>243240</v>
      </c>
      <c r="C21" s="388">
        <v>116592</v>
      </c>
      <c r="D21" s="388">
        <v>39436</v>
      </c>
      <c r="E21" s="388">
        <v>24126</v>
      </c>
      <c r="F21" s="388">
        <v>1235</v>
      </c>
      <c r="G21" s="388">
        <v>18555</v>
      </c>
      <c r="H21" s="388">
        <v>4273</v>
      </c>
      <c r="I21" s="388"/>
    </row>
    <row r="22" spans="1:9" ht="15" customHeight="1">
      <c r="A22" s="67" t="s">
        <v>33</v>
      </c>
      <c r="B22" s="388">
        <v>4331426</v>
      </c>
      <c r="C22" s="388">
        <v>303797</v>
      </c>
      <c r="D22" s="388">
        <v>128833</v>
      </c>
      <c r="E22" s="388">
        <v>59597</v>
      </c>
      <c r="F22" s="388">
        <v>4172</v>
      </c>
      <c r="G22" s="388">
        <v>15345</v>
      </c>
      <c r="H22" s="388">
        <v>9372</v>
      </c>
      <c r="I22" s="388"/>
    </row>
    <row r="23" spans="1:9" ht="15" customHeight="1">
      <c r="A23" s="67" t="s">
        <v>34</v>
      </c>
      <c r="B23" s="388">
        <v>430434</v>
      </c>
      <c r="C23" s="388">
        <v>97429</v>
      </c>
      <c r="D23" s="388">
        <v>36574</v>
      </c>
      <c r="E23" s="388">
        <v>22400</v>
      </c>
      <c r="F23" s="388">
        <v>19294</v>
      </c>
      <c r="G23" s="388">
        <v>19399</v>
      </c>
      <c r="H23" s="388">
        <v>7363</v>
      </c>
      <c r="I23" s="388"/>
    </row>
    <row r="24" spans="1:9" ht="15" customHeight="1">
      <c r="A24" s="67" t="s">
        <v>35</v>
      </c>
      <c r="B24" s="388">
        <v>72903696</v>
      </c>
      <c r="C24" s="388">
        <v>105611</v>
      </c>
      <c r="D24" s="388">
        <v>237857</v>
      </c>
      <c r="E24" s="388">
        <v>31523</v>
      </c>
      <c r="F24" s="388">
        <v>8197</v>
      </c>
      <c r="G24" s="388">
        <v>49512</v>
      </c>
      <c r="H24" s="388">
        <v>10787</v>
      </c>
      <c r="I24" s="388"/>
    </row>
    <row r="25" spans="1:9" ht="15" customHeight="1">
      <c r="A25" s="67" t="s">
        <v>36</v>
      </c>
      <c r="B25" s="388">
        <v>82718</v>
      </c>
      <c r="C25" s="388">
        <v>3804</v>
      </c>
      <c r="D25" s="388">
        <v>28766</v>
      </c>
      <c r="E25" s="388">
        <v>3936</v>
      </c>
      <c r="F25" s="388">
        <v>1040</v>
      </c>
      <c r="G25" s="388">
        <v>5252</v>
      </c>
      <c r="H25" s="388">
        <v>2130</v>
      </c>
      <c r="I25" s="388"/>
    </row>
    <row r="26" spans="1:9" ht="15" customHeight="1">
      <c r="A26" s="67" t="s">
        <v>37</v>
      </c>
      <c r="B26" s="388">
        <v>8199657</v>
      </c>
      <c r="C26" s="388">
        <v>8737</v>
      </c>
      <c r="D26" s="388">
        <v>71337</v>
      </c>
      <c r="E26" s="388">
        <v>5500</v>
      </c>
      <c r="F26" s="388">
        <v>6008</v>
      </c>
      <c r="G26" s="388">
        <v>10169</v>
      </c>
      <c r="H26" s="388">
        <v>5447</v>
      </c>
      <c r="I26" s="388"/>
    </row>
    <row r="27" spans="1:9" ht="15" customHeight="1">
      <c r="A27" s="67" t="s">
        <v>38</v>
      </c>
      <c r="B27" s="388">
        <v>461215</v>
      </c>
      <c r="C27" s="388">
        <v>142794</v>
      </c>
      <c r="D27" s="388">
        <v>68090</v>
      </c>
      <c r="E27" s="388">
        <v>97622</v>
      </c>
      <c r="F27" s="388">
        <v>23826</v>
      </c>
      <c r="G27" s="388">
        <v>29343</v>
      </c>
      <c r="H27" s="388">
        <v>5888</v>
      </c>
      <c r="I27" s="388"/>
    </row>
    <row r="28" spans="1:9" ht="15" customHeight="1">
      <c r="A28" s="67" t="s">
        <v>39</v>
      </c>
      <c r="B28" s="388">
        <v>319420</v>
      </c>
      <c r="C28" s="388">
        <v>68602</v>
      </c>
      <c r="D28" s="388">
        <v>54058</v>
      </c>
      <c r="E28" s="388">
        <v>34254</v>
      </c>
      <c r="F28" s="388">
        <v>14110</v>
      </c>
      <c r="G28" s="388">
        <v>19385</v>
      </c>
      <c r="H28" s="388">
        <v>8940</v>
      </c>
      <c r="I28" s="388"/>
    </row>
    <row r="29" spans="1:9" ht="15" customHeight="1">
      <c r="A29" s="67" t="s">
        <v>40</v>
      </c>
      <c r="B29" s="388">
        <v>198723</v>
      </c>
      <c r="C29" s="388">
        <v>35465</v>
      </c>
      <c r="D29" s="388">
        <v>20888</v>
      </c>
      <c r="E29" s="388">
        <v>16965</v>
      </c>
      <c r="F29" s="388">
        <v>4026</v>
      </c>
      <c r="G29" s="388">
        <v>12795</v>
      </c>
      <c r="H29" s="388">
        <v>4633</v>
      </c>
      <c r="I29" s="388"/>
    </row>
    <row r="30" spans="1:9" ht="15" customHeight="1">
      <c r="A30" s="67" t="s">
        <v>41</v>
      </c>
      <c r="B30" s="388">
        <v>120697</v>
      </c>
      <c r="C30" s="388">
        <v>33137</v>
      </c>
      <c r="D30" s="388">
        <v>33170</v>
      </c>
      <c r="E30" s="388">
        <v>17289</v>
      </c>
      <c r="F30" s="388">
        <v>10084</v>
      </c>
      <c r="G30" s="388">
        <v>6590</v>
      </c>
      <c r="H30" s="388">
        <v>4307</v>
      </c>
      <c r="I30" s="388"/>
    </row>
    <row r="31" spans="1:9" ht="15" customHeight="1">
      <c r="A31" s="67" t="s">
        <v>42</v>
      </c>
      <c r="B31" s="388">
        <v>1663749</v>
      </c>
      <c r="C31" s="388">
        <v>312820</v>
      </c>
      <c r="D31" s="388">
        <v>149255</v>
      </c>
      <c r="E31" s="388">
        <v>77528</v>
      </c>
      <c r="F31" s="388">
        <v>4697</v>
      </c>
      <c r="G31" s="388">
        <v>95196</v>
      </c>
      <c r="H31" s="388">
        <v>19736</v>
      </c>
      <c r="I31" s="388"/>
    </row>
    <row r="32" spans="1:9" ht="15" customHeight="1">
      <c r="A32" s="67" t="s">
        <v>43</v>
      </c>
      <c r="B32" s="388">
        <v>1193047</v>
      </c>
      <c r="C32" s="388">
        <v>588240</v>
      </c>
      <c r="D32" s="388">
        <v>76055</v>
      </c>
      <c r="E32" s="388">
        <v>155930</v>
      </c>
      <c r="F32" s="388">
        <v>0</v>
      </c>
      <c r="G32" s="388">
        <v>211510</v>
      </c>
      <c r="H32" s="388">
        <v>39555</v>
      </c>
      <c r="I32" s="388"/>
    </row>
    <row r="33" spans="1:9" ht="15" customHeight="1">
      <c r="A33" s="67" t="s">
        <v>44</v>
      </c>
      <c r="B33" s="388">
        <v>17093773</v>
      </c>
      <c r="C33" s="388">
        <v>5153</v>
      </c>
      <c r="D33" s="388">
        <v>79658</v>
      </c>
      <c r="E33" s="388">
        <v>49926</v>
      </c>
      <c r="F33" s="388">
        <v>0</v>
      </c>
      <c r="G33" s="388">
        <v>0</v>
      </c>
      <c r="H33" s="388">
        <v>0</v>
      </c>
      <c r="I33" s="388"/>
    </row>
    <row r="34" spans="1:9" ht="15" customHeight="1">
      <c r="A34" s="67" t="s">
        <v>45</v>
      </c>
      <c r="B34" s="388">
        <v>11299715</v>
      </c>
      <c r="C34" s="388">
        <v>2435</v>
      </c>
      <c r="D34" s="388">
        <v>43129</v>
      </c>
      <c r="E34" s="388">
        <v>10706</v>
      </c>
      <c r="F34" s="388">
        <v>0</v>
      </c>
      <c r="G34" s="388">
        <v>0</v>
      </c>
      <c r="H34" s="388">
        <v>0</v>
      </c>
      <c r="I34" s="388"/>
    </row>
    <row r="35" spans="1:9" ht="15" customHeight="1">
      <c r="A35" s="67" t="s">
        <v>46</v>
      </c>
      <c r="B35" s="388">
        <v>6539334</v>
      </c>
      <c r="C35" s="388">
        <v>2700</v>
      </c>
      <c r="D35" s="388">
        <v>24206</v>
      </c>
      <c r="E35" s="388">
        <v>21848</v>
      </c>
      <c r="F35" s="388">
        <v>0</v>
      </c>
      <c r="G35" s="388">
        <v>0</v>
      </c>
      <c r="H35" s="388">
        <v>0</v>
      </c>
      <c r="I35" s="388"/>
    </row>
    <row r="36" spans="1:9" ht="15" customHeight="1" thickBot="1">
      <c r="A36" s="68" t="s">
        <v>47</v>
      </c>
      <c r="B36" s="389">
        <v>3953185</v>
      </c>
      <c r="C36" s="389">
        <v>1456</v>
      </c>
      <c r="D36" s="389">
        <v>21388</v>
      </c>
      <c r="E36" s="389">
        <v>14056</v>
      </c>
      <c r="F36" s="389">
        <v>0</v>
      </c>
      <c r="G36" s="389">
        <v>0</v>
      </c>
      <c r="H36" s="389">
        <v>0</v>
      </c>
      <c r="I36" s="388"/>
    </row>
    <row r="37" spans="1:9" ht="9" customHeight="1">
      <c r="A37" s="449" t="s">
        <v>330</v>
      </c>
      <c r="B37" s="462"/>
      <c r="C37" s="465"/>
      <c r="D37" s="462"/>
      <c r="E37" s="462"/>
      <c r="F37" s="180"/>
      <c r="G37" s="180"/>
      <c r="H37" s="99"/>
    </row>
    <row r="38" spans="1:9" ht="9" customHeight="1">
      <c r="A38" s="449" t="s">
        <v>304</v>
      </c>
      <c r="B38" s="466"/>
      <c r="C38" s="466"/>
      <c r="D38" s="466"/>
      <c r="E38" s="466"/>
      <c r="F38" s="181"/>
      <c r="G38" s="181"/>
      <c r="H38" s="155"/>
    </row>
    <row r="39" spans="1:9" ht="9" customHeight="1">
      <c r="A39" s="451" t="s">
        <v>303</v>
      </c>
      <c r="B39" s="462"/>
      <c r="C39" s="462"/>
      <c r="D39" s="462"/>
      <c r="E39" s="462"/>
      <c r="F39" s="171"/>
      <c r="G39" s="171"/>
      <c r="H39" s="71"/>
    </row>
    <row r="40" spans="1:9" ht="13.25" customHeight="1">
      <c r="A40" s="451"/>
      <c r="B40" s="464"/>
      <c r="C40" s="464"/>
      <c r="D40" s="464"/>
      <c r="E40" s="464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9" tint="0.59999389629810485"/>
  </sheetPr>
  <dimension ref="A2:S40"/>
  <sheetViews>
    <sheetView showGridLines="0" zoomScaleNormal="100" workbookViewId="0">
      <selection activeCell="D30" sqref="D30"/>
    </sheetView>
  </sheetViews>
  <sheetFormatPr baseColWidth="10" defaultColWidth="7" defaultRowHeight="13.25" customHeight="1"/>
  <cols>
    <col min="1" max="1" width="14" style="67" customWidth="1"/>
    <col min="2" max="9" width="12" style="67" customWidth="1"/>
    <col min="10" max="16384" width="7" style="67"/>
  </cols>
  <sheetData>
    <row r="2" spans="1:19" ht="17.25" customHeight="1">
      <c r="A2" s="178" t="s">
        <v>474</v>
      </c>
    </row>
    <row r="3" spans="1:19" ht="13.25" customHeight="1">
      <c r="A3" s="182" t="s">
        <v>207</v>
      </c>
      <c r="B3" s="95"/>
      <c r="C3" s="95"/>
      <c r="D3" s="95"/>
      <c r="E3" s="95"/>
      <c r="F3" s="95"/>
      <c r="G3" s="95"/>
      <c r="H3" s="95"/>
    </row>
    <row r="4" spans="1:19" ht="5" customHeight="1" thickBot="1"/>
    <row r="5" spans="1:19" ht="18" customHeight="1">
      <c r="A5" s="732" t="s">
        <v>16</v>
      </c>
      <c r="B5" s="732" t="s">
        <v>17</v>
      </c>
      <c r="C5" s="732" t="s">
        <v>5</v>
      </c>
      <c r="D5" s="732" t="s">
        <v>6</v>
      </c>
      <c r="E5" s="732" t="s">
        <v>7</v>
      </c>
      <c r="F5" s="732" t="s">
        <v>8</v>
      </c>
      <c r="G5" s="732" t="s">
        <v>9</v>
      </c>
      <c r="H5" s="732" t="s">
        <v>10</v>
      </c>
    </row>
    <row r="6" spans="1:19" ht="18" customHeight="1">
      <c r="A6" s="619" t="s">
        <v>87</v>
      </c>
      <c r="B6" s="620">
        <f t="shared" ref="B6:H6" si="0">(B8+B9+B10+B11+B12+B16+B17+B18+B19+B20+B21+B22+B23+B24+B25+B26+B27+B28+B31+B32+B33+B34+B35+B36)</f>
        <v>1859237.5675774855</v>
      </c>
      <c r="C6" s="620">
        <f t="shared" si="0"/>
        <v>33625.352626535067</v>
      </c>
      <c r="D6" s="620">
        <f t="shared" si="0"/>
        <v>209548.89517455015</v>
      </c>
      <c r="E6" s="620">
        <f t="shared" si="0"/>
        <v>203990.58498943612</v>
      </c>
      <c r="F6" s="620">
        <f t="shared" si="0"/>
        <v>4951.9427489497693</v>
      </c>
      <c r="G6" s="620">
        <f t="shared" si="0"/>
        <v>13009.446326734676</v>
      </c>
      <c r="H6" s="620">
        <f t="shared" si="0"/>
        <v>3961.8268804917006</v>
      </c>
      <c r="I6" s="388"/>
    </row>
    <row r="7" spans="1:19" ht="3" customHeight="1">
      <c r="A7" s="101"/>
      <c r="B7" s="415"/>
      <c r="C7" s="415"/>
      <c r="D7" s="415"/>
      <c r="E7" s="415"/>
      <c r="F7" s="415"/>
      <c r="G7" s="415"/>
      <c r="H7" s="415"/>
      <c r="I7" s="388"/>
    </row>
    <row r="8" spans="1:19" ht="15" customHeight="1">
      <c r="A8" s="67" t="s">
        <v>19</v>
      </c>
      <c r="B8" s="388">
        <v>262.91057386751072</v>
      </c>
      <c r="C8" s="388">
        <v>35.305500000000002</v>
      </c>
      <c r="D8" s="388">
        <v>306.89044999999999</v>
      </c>
      <c r="E8" s="388">
        <v>509.09321999999992</v>
      </c>
      <c r="F8" s="388">
        <v>235.82369999999997</v>
      </c>
      <c r="G8" s="388">
        <v>0</v>
      </c>
      <c r="H8" s="388">
        <v>0</v>
      </c>
      <c r="I8" s="388"/>
      <c r="J8" s="560"/>
      <c r="L8" s="388"/>
      <c r="M8" s="388"/>
      <c r="N8" s="388"/>
      <c r="O8" s="388"/>
      <c r="P8" s="388"/>
      <c r="Q8" s="388"/>
      <c r="R8" s="388"/>
      <c r="S8" s="388"/>
    </row>
    <row r="9" spans="1:19" ht="15" customHeight="1">
      <c r="A9" s="67" t="s">
        <v>20</v>
      </c>
      <c r="B9" s="388">
        <v>31027.129806463712</v>
      </c>
      <c r="C9" s="388">
        <v>1858.3685120546197</v>
      </c>
      <c r="D9" s="388">
        <v>6103.0035638552081</v>
      </c>
      <c r="E9" s="388">
        <v>7470.1779329620822</v>
      </c>
      <c r="F9" s="388">
        <v>1385.0618640200644</v>
      </c>
      <c r="G9" s="388">
        <v>0</v>
      </c>
      <c r="H9" s="388">
        <v>0</v>
      </c>
      <c r="I9" s="388"/>
      <c r="L9" s="388"/>
      <c r="M9" s="388"/>
      <c r="N9" s="388"/>
      <c r="O9" s="388"/>
      <c r="P9" s="388"/>
      <c r="Q9" s="388"/>
      <c r="R9" s="388"/>
    </row>
    <row r="10" spans="1:19" ht="15" customHeight="1">
      <c r="A10" s="67" t="s">
        <v>21</v>
      </c>
      <c r="B10" s="388">
        <v>25241.8366311639</v>
      </c>
      <c r="C10" s="388">
        <v>383.87769999999995</v>
      </c>
      <c r="D10" s="388">
        <v>1602.4635000000001</v>
      </c>
      <c r="E10" s="388">
        <v>2885.0078000000008</v>
      </c>
      <c r="F10" s="388">
        <v>267.16340000000002</v>
      </c>
      <c r="G10" s="388">
        <v>0</v>
      </c>
      <c r="H10" s="388">
        <v>0</v>
      </c>
      <c r="I10" s="388"/>
      <c r="L10" s="388"/>
      <c r="M10" s="388"/>
      <c r="N10" s="388"/>
      <c r="O10" s="388"/>
      <c r="P10" s="388"/>
      <c r="Q10" s="388"/>
      <c r="R10" s="388"/>
    </row>
    <row r="11" spans="1:19" ht="15" customHeight="1">
      <c r="A11" s="67" t="s">
        <v>22</v>
      </c>
      <c r="B11" s="388">
        <v>305189.10296292795</v>
      </c>
      <c r="C11" s="388">
        <v>3019.7650720000001</v>
      </c>
      <c r="D11" s="388">
        <v>23386.349489999997</v>
      </c>
      <c r="E11" s="388">
        <v>9279.8281802999991</v>
      </c>
      <c r="F11" s="388">
        <v>470.46452000000011</v>
      </c>
      <c r="G11" s="388">
        <v>51.194551500000003</v>
      </c>
      <c r="H11" s="388">
        <v>0</v>
      </c>
      <c r="I11" s="388"/>
      <c r="L11" s="388"/>
      <c r="M11" s="388"/>
      <c r="N11" s="388"/>
      <c r="O11" s="388"/>
      <c r="P11" s="388"/>
      <c r="Q11" s="388"/>
      <c r="R11" s="388"/>
    </row>
    <row r="12" spans="1:19" ht="15" customHeight="1">
      <c r="A12" s="67" t="s">
        <v>23</v>
      </c>
      <c r="B12" s="388">
        <v>3438.3083841127959</v>
      </c>
      <c r="C12" s="388">
        <v>872.91439999999989</v>
      </c>
      <c r="D12" s="388">
        <v>5710.1828999999998</v>
      </c>
      <c r="E12" s="388">
        <v>22242.531999999999</v>
      </c>
      <c r="F12" s="388">
        <v>232.62598999999997</v>
      </c>
      <c r="G12" s="388">
        <v>0</v>
      </c>
      <c r="H12" s="388">
        <v>0</v>
      </c>
      <c r="I12" s="388"/>
      <c r="L12" s="388"/>
      <c r="M12" s="388"/>
      <c r="N12" s="388"/>
      <c r="O12" s="388"/>
      <c r="P12" s="388"/>
      <c r="Q12" s="388"/>
      <c r="R12" s="388"/>
    </row>
    <row r="13" spans="1:19" ht="15" customHeight="1">
      <c r="A13" s="67" t="s">
        <v>24</v>
      </c>
      <c r="B13" s="388">
        <v>2215.4550841127962</v>
      </c>
      <c r="C13" s="388">
        <v>597.11849999999993</v>
      </c>
      <c r="D13" s="388">
        <v>1993.4079000000002</v>
      </c>
      <c r="E13" s="388">
        <v>11077.328</v>
      </c>
      <c r="F13" s="388">
        <v>131.54089999999999</v>
      </c>
      <c r="G13" s="388">
        <v>0</v>
      </c>
      <c r="H13" s="388">
        <v>0</v>
      </c>
      <c r="I13" s="388"/>
      <c r="L13" s="388"/>
      <c r="M13" s="388"/>
      <c r="N13" s="388"/>
      <c r="O13" s="388"/>
      <c r="P13" s="388"/>
      <c r="Q13" s="388"/>
      <c r="R13" s="388"/>
    </row>
    <row r="14" spans="1:19" ht="15" customHeight="1">
      <c r="A14" s="67" t="s">
        <v>25</v>
      </c>
      <c r="B14" s="388">
        <v>555.44729999999993</v>
      </c>
      <c r="C14" s="388">
        <v>235.60939999999999</v>
      </c>
      <c r="D14" s="388">
        <v>1819.2090000000001</v>
      </c>
      <c r="E14" s="388">
        <v>6620.5409999999993</v>
      </c>
      <c r="F14" s="388">
        <v>15.663899999999998</v>
      </c>
      <c r="G14" s="388">
        <v>0</v>
      </c>
      <c r="H14" s="388">
        <v>0</v>
      </c>
      <c r="I14" s="388"/>
      <c r="L14" s="388"/>
      <c r="M14" s="388"/>
      <c r="N14" s="388"/>
      <c r="O14" s="388"/>
      <c r="P14" s="388"/>
      <c r="Q14" s="388"/>
      <c r="R14" s="388"/>
    </row>
    <row r="15" spans="1:19" ht="15" customHeight="1">
      <c r="A15" s="67" t="s">
        <v>26</v>
      </c>
      <c r="B15" s="388">
        <v>667.40600000000006</v>
      </c>
      <c r="C15" s="388">
        <v>40.186499999999995</v>
      </c>
      <c r="D15" s="388">
        <v>1897.5659999999998</v>
      </c>
      <c r="E15" s="388">
        <v>4544.6630000000005</v>
      </c>
      <c r="F15" s="388">
        <v>85.421189999999996</v>
      </c>
      <c r="G15" s="388">
        <v>0</v>
      </c>
      <c r="H15" s="388">
        <v>0</v>
      </c>
      <c r="I15" s="388"/>
      <c r="L15" s="388"/>
      <c r="M15" s="388"/>
      <c r="N15" s="388"/>
      <c r="O15" s="388"/>
      <c r="P15" s="388"/>
      <c r="Q15" s="388"/>
      <c r="R15" s="388"/>
    </row>
    <row r="16" spans="1:19" ht="15" customHeight="1">
      <c r="A16" s="67" t="s">
        <v>27</v>
      </c>
      <c r="B16" s="388">
        <v>739.20854666999992</v>
      </c>
      <c r="C16" s="388">
        <v>60.121011999999993</v>
      </c>
      <c r="D16" s="388">
        <v>2026.0926104999999</v>
      </c>
      <c r="E16" s="388">
        <v>9911.2898731200003</v>
      </c>
      <c r="F16" s="388">
        <v>64.570199999999986</v>
      </c>
      <c r="G16" s="388">
        <v>0</v>
      </c>
      <c r="H16" s="388">
        <v>0</v>
      </c>
      <c r="I16" s="388"/>
      <c r="L16" s="388"/>
      <c r="M16" s="388"/>
      <c r="N16" s="388"/>
      <c r="O16" s="388"/>
      <c r="P16" s="388"/>
      <c r="Q16" s="388"/>
      <c r="R16" s="388"/>
    </row>
    <row r="17" spans="1:18" ht="15" customHeight="1">
      <c r="A17" s="67" t="s">
        <v>28</v>
      </c>
      <c r="B17" s="388">
        <v>37406.833775118663</v>
      </c>
      <c r="C17" s="388">
        <v>1476.8160342112003</v>
      </c>
      <c r="D17" s="388">
        <v>1983.5294420027799</v>
      </c>
      <c r="E17" s="388">
        <v>8473.2292698528909</v>
      </c>
      <c r="F17" s="388">
        <v>213.49165782215354</v>
      </c>
      <c r="G17" s="388">
        <v>13.808943858038459</v>
      </c>
      <c r="H17" s="388">
        <v>0</v>
      </c>
      <c r="I17" s="388"/>
      <c r="L17" s="388"/>
      <c r="M17" s="388"/>
      <c r="N17" s="388"/>
      <c r="O17" s="388"/>
      <c r="P17" s="388"/>
      <c r="Q17" s="388"/>
      <c r="R17" s="388"/>
    </row>
    <row r="18" spans="1:18" ht="15" customHeight="1">
      <c r="A18" s="67" t="s">
        <v>29</v>
      </c>
      <c r="B18" s="388">
        <v>1072413.5399395518</v>
      </c>
      <c r="C18" s="388">
        <v>760.26465999999994</v>
      </c>
      <c r="D18" s="388">
        <v>95076.896674999996</v>
      </c>
      <c r="E18" s="388">
        <v>23835.6579471</v>
      </c>
      <c r="F18" s="388">
        <v>475.49328000000003</v>
      </c>
      <c r="G18" s="388">
        <v>103.11423000000001</v>
      </c>
      <c r="H18" s="388">
        <v>70.63409</v>
      </c>
      <c r="I18" s="388"/>
      <c r="L18" s="388"/>
      <c r="M18" s="388"/>
      <c r="N18" s="388"/>
      <c r="O18" s="388"/>
      <c r="P18" s="388"/>
      <c r="Q18" s="388"/>
      <c r="R18" s="388"/>
    </row>
    <row r="19" spans="1:18" ht="15" customHeight="1">
      <c r="A19" s="67" t="s">
        <v>30</v>
      </c>
      <c r="B19" s="388">
        <v>96390.975807179697</v>
      </c>
      <c r="C19" s="388">
        <v>140.98679999999999</v>
      </c>
      <c r="D19" s="388">
        <v>17055.628225</v>
      </c>
      <c r="E19" s="388">
        <v>5289.4903303848805</v>
      </c>
      <c r="F19" s="388">
        <v>299.14561999999995</v>
      </c>
      <c r="G19" s="388">
        <v>0</v>
      </c>
      <c r="H19" s="388">
        <v>0</v>
      </c>
      <c r="I19" s="388"/>
      <c r="L19" s="388"/>
      <c r="M19" s="388"/>
      <c r="N19" s="388"/>
      <c r="O19" s="388"/>
      <c r="P19" s="388"/>
      <c r="Q19" s="388"/>
      <c r="R19" s="388"/>
    </row>
    <row r="20" spans="1:18" ht="15" customHeight="1">
      <c r="A20" s="67" t="s">
        <v>31</v>
      </c>
      <c r="B20" s="388">
        <v>1214.5537291440201</v>
      </c>
      <c r="C20" s="388">
        <v>1911.922421995175</v>
      </c>
      <c r="D20" s="388">
        <v>8287.9129924999997</v>
      </c>
      <c r="E20" s="388">
        <v>28592.894945400003</v>
      </c>
      <c r="F20" s="388">
        <v>260.25512000000003</v>
      </c>
      <c r="G20" s="388">
        <v>44.585474999999995</v>
      </c>
      <c r="H20" s="388">
        <v>0</v>
      </c>
      <c r="I20" s="388"/>
      <c r="L20" s="388"/>
      <c r="M20" s="388"/>
      <c r="N20" s="388"/>
      <c r="O20" s="388"/>
      <c r="P20" s="388"/>
      <c r="Q20" s="388"/>
      <c r="R20" s="388"/>
    </row>
    <row r="21" spans="1:18" ht="15" customHeight="1">
      <c r="A21" s="67" t="s">
        <v>32</v>
      </c>
      <c r="B21" s="388">
        <v>533.27201821083554</v>
      </c>
      <c r="C21" s="388">
        <v>1376.3280869488763</v>
      </c>
      <c r="D21" s="388">
        <v>1452.6193993654967</v>
      </c>
      <c r="E21" s="388">
        <v>3880.3428140624897</v>
      </c>
      <c r="F21" s="388">
        <v>13.510201726549999</v>
      </c>
      <c r="G21" s="388">
        <v>437.85560234798965</v>
      </c>
      <c r="H21" s="388">
        <v>129.74100584628502</v>
      </c>
      <c r="I21" s="388"/>
      <c r="L21" s="388"/>
      <c r="M21" s="388"/>
      <c r="N21" s="388"/>
      <c r="O21" s="388"/>
      <c r="P21" s="388"/>
      <c r="Q21" s="388"/>
      <c r="R21" s="388"/>
    </row>
    <row r="22" spans="1:18" ht="15" customHeight="1">
      <c r="A22" s="67" t="s">
        <v>33</v>
      </c>
      <c r="B22" s="388">
        <v>9569.4467743293299</v>
      </c>
      <c r="C22" s="388">
        <v>3548.9452000000001</v>
      </c>
      <c r="D22" s="388">
        <v>6074.7367499999991</v>
      </c>
      <c r="E22" s="388">
        <v>7703.6593400000002</v>
      </c>
      <c r="F22" s="388">
        <v>43.489600000000003</v>
      </c>
      <c r="G22" s="388">
        <v>339.03090000000003</v>
      </c>
      <c r="H22" s="388">
        <v>245.59514999999999</v>
      </c>
      <c r="I22" s="388"/>
      <c r="L22" s="388"/>
      <c r="M22" s="388"/>
      <c r="N22" s="388"/>
      <c r="O22" s="388"/>
      <c r="P22" s="388"/>
      <c r="Q22" s="388"/>
      <c r="R22" s="388"/>
    </row>
    <row r="23" spans="1:18" ht="15" customHeight="1">
      <c r="A23" s="67" t="s">
        <v>34</v>
      </c>
      <c r="B23" s="388">
        <v>913.40697903548789</v>
      </c>
      <c r="C23" s="388">
        <v>1211.9880000000001</v>
      </c>
      <c r="D23" s="388">
        <v>1367.586</v>
      </c>
      <c r="E23" s="388">
        <v>2773.3397999999997</v>
      </c>
      <c r="F23" s="388">
        <v>270.48599999999999</v>
      </c>
      <c r="G23" s="388">
        <v>495.65520000000004</v>
      </c>
      <c r="H23" s="388">
        <v>246.20049999999998</v>
      </c>
      <c r="I23" s="388"/>
      <c r="L23" s="388"/>
      <c r="M23" s="388"/>
      <c r="N23" s="388"/>
      <c r="O23" s="388"/>
      <c r="P23" s="388"/>
      <c r="Q23" s="388"/>
      <c r="R23" s="388"/>
    </row>
    <row r="24" spans="1:18" ht="15" customHeight="1">
      <c r="A24" s="67" t="s">
        <v>35</v>
      </c>
      <c r="B24" s="388">
        <v>162454.02352085273</v>
      </c>
      <c r="C24" s="388">
        <v>1520.5018999999998</v>
      </c>
      <c r="D24" s="388">
        <v>13346.929</v>
      </c>
      <c r="E24" s="388">
        <v>5264.2673999999997</v>
      </c>
      <c r="F24" s="388">
        <v>96.582800000000006</v>
      </c>
      <c r="G24" s="388">
        <v>1216.3823</v>
      </c>
      <c r="H24" s="388">
        <v>373.40910000000002</v>
      </c>
      <c r="I24" s="388"/>
      <c r="L24" s="388"/>
      <c r="M24" s="388"/>
      <c r="N24" s="388"/>
      <c r="O24" s="388"/>
      <c r="P24" s="388"/>
      <c r="Q24" s="388"/>
      <c r="R24" s="388"/>
    </row>
    <row r="25" spans="1:18" ht="15" customHeight="1">
      <c r="A25" s="67" t="s">
        <v>36</v>
      </c>
      <c r="B25" s="388">
        <v>180.96624499999999</v>
      </c>
      <c r="C25" s="388">
        <v>78.453800980799997</v>
      </c>
      <c r="D25" s="388">
        <v>1345.2559421600001</v>
      </c>
      <c r="E25" s="388">
        <v>751.67763371499996</v>
      </c>
      <c r="F25" s="388">
        <v>15.455268714334702</v>
      </c>
      <c r="G25" s="388">
        <v>142.26160002865004</v>
      </c>
      <c r="H25" s="388">
        <v>66.181644645415545</v>
      </c>
      <c r="I25" s="388"/>
      <c r="L25" s="388"/>
      <c r="M25" s="388"/>
      <c r="N25" s="388"/>
      <c r="O25" s="388"/>
      <c r="P25" s="388"/>
      <c r="Q25" s="388"/>
      <c r="R25" s="388"/>
    </row>
    <row r="26" spans="1:18" ht="15" customHeight="1">
      <c r="A26" s="67" t="s">
        <v>37</v>
      </c>
      <c r="B26" s="388">
        <v>18179.653542479307</v>
      </c>
      <c r="C26" s="388">
        <v>215.67362</v>
      </c>
      <c r="D26" s="388">
        <v>3143.3304166666671</v>
      </c>
      <c r="E26" s="388">
        <v>1039.8313400000002</v>
      </c>
      <c r="F26" s="388">
        <v>91.438866666666655</v>
      </c>
      <c r="G26" s="388">
        <v>284.17292400000002</v>
      </c>
      <c r="H26" s="388">
        <v>161.42228999999998</v>
      </c>
      <c r="I26" s="388"/>
      <c r="L26" s="388"/>
      <c r="M26" s="388"/>
      <c r="N26" s="388"/>
      <c r="O26" s="388"/>
      <c r="P26" s="388"/>
      <c r="Q26" s="388"/>
      <c r="R26" s="388"/>
    </row>
    <row r="27" spans="1:18" ht="15" customHeight="1">
      <c r="A27" s="67" t="s">
        <v>38</v>
      </c>
      <c r="B27" s="388">
        <v>1029.8851383457556</v>
      </c>
      <c r="C27" s="388">
        <v>1739.8634999999999</v>
      </c>
      <c r="D27" s="388">
        <v>3098.9567999999999</v>
      </c>
      <c r="E27" s="388">
        <v>12554.988000000003</v>
      </c>
      <c r="F27" s="388">
        <v>293.40100000000001</v>
      </c>
      <c r="G27" s="388">
        <v>751.07140000000004</v>
      </c>
      <c r="H27" s="388">
        <v>158.53879999999998</v>
      </c>
      <c r="I27" s="388"/>
      <c r="L27" s="388"/>
      <c r="M27" s="388"/>
      <c r="N27" s="388"/>
      <c r="O27" s="388"/>
      <c r="P27" s="388"/>
      <c r="Q27" s="388"/>
      <c r="R27" s="388"/>
    </row>
    <row r="28" spans="1:18" ht="15" customHeight="1">
      <c r="A28" s="67" t="s">
        <v>39</v>
      </c>
      <c r="B28" s="388">
        <v>696.77622056813266</v>
      </c>
      <c r="C28" s="388">
        <v>762.57559999999989</v>
      </c>
      <c r="D28" s="388">
        <v>2312.2257</v>
      </c>
      <c r="E28" s="388">
        <v>3960.4089999999997</v>
      </c>
      <c r="F28" s="388">
        <v>168.90019999999998</v>
      </c>
      <c r="G28" s="388">
        <v>489.2559</v>
      </c>
      <c r="H28" s="388">
        <v>275.10040000000004</v>
      </c>
      <c r="I28" s="388"/>
      <c r="L28" s="388"/>
      <c r="M28" s="388"/>
      <c r="N28" s="388"/>
      <c r="O28" s="388"/>
      <c r="P28" s="388"/>
      <c r="Q28" s="388"/>
      <c r="R28" s="388"/>
    </row>
    <row r="29" spans="1:18" ht="15" customHeight="1">
      <c r="A29" s="67" t="s">
        <v>40</v>
      </c>
      <c r="B29" s="388">
        <v>433.30632056813272</v>
      </c>
      <c r="C29" s="388">
        <v>408.4726</v>
      </c>
      <c r="D29" s="388">
        <v>837.32600000000002</v>
      </c>
      <c r="E29" s="388">
        <v>1997.575</v>
      </c>
      <c r="F29" s="388">
        <v>54.82119999999999</v>
      </c>
      <c r="G29" s="388">
        <v>333.66539999999998</v>
      </c>
      <c r="H29" s="388">
        <v>140.49540000000002</v>
      </c>
      <c r="I29" s="388"/>
      <c r="L29" s="388"/>
      <c r="M29" s="388"/>
      <c r="N29" s="388"/>
      <c r="O29" s="388"/>
      <c r="P29" s="388"/>
      <c r="Q29" s="388"/>
      <c r="R29" s="388"/>
    </row>
    <row r="30" spans="1:18" ht="15" customHeight="1">
      <c r="A30" s="67" t="s">
        <v>41</v>
      </c>
      <c r="B30" s="388">
        <v>263.4699</v>
      </c>
      <c r="C30" s="388">
        <v>354.10299999999995</v>
      </c>
      <c r="D30" s="388">
        <v>1474.8997000000002</v>
      </c>
      <c r="E30" s="388">
        <v>1962.8339999999998</v>
      </c>
      <c r="F30" s="388">
        <v>114.07899999999999</v>
      </c>
      <c r="G30" s="388">
        <v>155.59049999999999</v>
      </c>
      <c r="H30" s="388">
        <v>134.60499999999999</v>
      </c>
      <c r="I30" s="388"/>
      <c r="L30" s="388"/>
      <c r="M30" s="388"/>
      <c r="N30" s="388"/>
      <c r="O30" s="388"/>
      <c r="P30" s="388"/>
      <c r="Q30" s="388"/>
      <c r="R30" s="388"/>
    </row>
    <row r="31" spans="1:18" ht="15" customHeight="1">
      <c r="A31" s="67" t="s">
        <v>42</v>
      </c>
      <c r="B31" s="388">
        <v>3704.9126229036747</v>
      </c>
      <c r="C31" s="388">
        <v>4042.6616000000008</v>
      </c>
      <c r="D31" s="388">
        <v>5978.9029999999993</v>
      </c>
      <c r="E31" s="388">
        <v>12046.272999999997</v>
      </c>
      <c r="F31" s="388">
        <v>54.27409999999999</v>
      </c>
      <c r="G31" s="388">
        <v>2615.3732999999993</v>
      </c>
      <c r="H31" s="388">
        <v>626.24889999999994</v>
      </c>
      <c r="I31" s="388"/>
      <c r="L31" s="388"/>
      <c r="M31" s="388"/>
      <c r="N31" s="388"/>
      <c r="O31" s="388"/>
      <c r="P31" s="388"/>
      <c r="Q31" s="388"/>
      <c r="R31" s="388"/>
    </row>
    <row r="32" spans="1:18" ht="15" customHeight="1">
      <c r="A32" s="67" t="s">
        <v>43</v>
      </c>
      <c r="B32" s="388">
        <v>2508.2240227027401</v>
      </c>
      <c r="C32" s="388">
        <v>8455.1829999999991</v>
      </c>
      <c r="D32" s="388">
        <v>2637.7010000000005</v>
      </c>
      <c r="E32" s="388">
        <v>22913.39</v>
      </c>
      <c r="F32" s="388">
        <v>0</v>
      </c>
      <c r="G32" s="388">
        <v>6025.6839999999993</v>
      </c>
      <c r="H32" s="388">
        <v>1608.7550000000001</v>
      </c>
      <c r="I32" s="388"/>
      <c r="L32" s="388"/>
      <c r="M32" s="388"/>
      <c r="N32" s="388"/>
      <c r="O32" s="388"/>
      <c r="P32" s="388"/>
      <c r="Q32" s="388"/>
      <c r="R32" s="388"/>
    </row>
    <row r="33" spans="1:18" ht="15" customHeight="1">
      <c r="A33" s="67" t="s">
        <v>44</v>
      </c>
      <c r="B33" s="388">
        <v>37820.099282413692</v>
      </c>
      <c r="C33" s="388">
        <v>59.932706344404004</v>
      </c>
      <c r="D33" s="388">
        <v>3100.6275700000001</v>
      </c>
      <c r="E33" s="388">
        <v>5891.6084936386997</v>
      </c>
      <c r="F33" s="388">
        <v>0</v>
      </c>
      <c r="G33" s="388">
        <v>0</v>
      </c>
      <c r="H33" s="388">
        <v>0</v>
      </c>
      <c r="I33" s="388"/>
      <c r="L33" s="388"/>
      <c r="M33" s="388"/>
      <c r="N33" s="388"/>
      <c r="O33" s="388"/>
      <c r="P33" s="388"/>
      <c r="Q33" s="388"/>
      <c r="R33" s="388"/>
    </row>
    <row r="34" spans="1:18" ht="15" customHeight="1">
      <c r="A34" s="67" t="s">
        <v>45</v>
      </c>
      <c r="B34" s="388">
        <v>24983.196964125345</v>
      </c>
      <c r="C34" s="388">
        <v>36.062799999999996</v>
      </c>
      <c r="D34" s="388">
        <v>1847.98875</v>
      </c>
      <c r="E34" s="388">
        <v>1610.6162100000004</v>
      </c>
      <c r="F34" s="388">
        <v>0.30936000000000002</v>
      </c>
      <c r="G34" s="388">
        <v>0</v>
      </c>
      <c r="H34" s="388">
        <v>0</v>
      </c>
      <c r="I34" s="388"/>
      <c r="L34" s="388"/>
      <c r="M34" s="388"/>
      <c r="N34" s="388"/>
      <c r="O34" s="388"/>
      <c r="P34" s="388"/>
      <c r="Q34" s="388"/>
      <c r="R34" s="388"/>
    </row>
    <row r="35" spans="1:18" ht="15" customHeight="1">
      <c r="A35" s="67" t="s">
        <v>46</v>
      </c>
      <c r="B35" s="388">
        <v>14537.951839501431</v>
      </c>
      <c r="C35" s="388">
        <v>31.089700000000001</v>
      </c>
      <c r="D35" s="388">
        <v>987.55175000000008</v>
      </c>
      <c r="E35" s="388">
        <v>2817.8300299999996</v>
      </c>
      <c r="F35" s="388">
        <v>0</v>
      </c>
      <c r="G35" s="388">
        <v>0</v>
      </c>
      <c r="H35" s="388">
        <v>0</v>
      </c>
      <c r="I35" s="388"/>
      <c r="L35" s="388"/>
      <c r="M35" s="388"/>
      <c r="N35" s="388"/>
      <c r="O35" s="388"/>
      <c r="P35" s="388"/>
      <c r="Q35" s="388"/>
      <c r="R35" s="388"/>
    </row>
    <row r="36" spans="1:18" ht="15" customHeight="1" thickBot="1">
      <c r="A36" s="68" t="s">
        <v>47</v>
      </c>
      <c r="B36" s="389">
        <v>8801.3522508170063</v>
      </c>
      <c r="C36" s="389">
        <v>25.750999999999998</v>
      </c>
      <c r="D36" s="389">
        <v>1315.5332474999998</v>
      </c>
      <c r="E36" s="389">
        <v>2293.1504289000004</v>
      </c>
      <c r="F36" s="389">
        <v>0</v>
      </c>
      <c r="G36" s="389">
        <v>0</v>
      </c>
      <c r="H36" s="389">
        <v>0</v>
      </c>
      <c r="I36" s="388"/>
      <c r="L36" s="388"/>
      <c r="M36" s="388"/>
      <c r="N36" s="388"/>
      <c r="O36" s="388"/>
      <c r="P36" s="388"/>
      <c r="Q36" s="388"/>
      <c r="R36" s="388"/>
    </row>
    <row r="37" spans="1:18" ht="9" customHeight="1">
      <c r="A37" s="449" t="s">
        <v>330</v>
      </c>
      <c r="B37" s="462"/>
      <c r="C37" s="465"/>
      <c r="D37" s="465"/>
      <c r="E37" s="462"/>
      <c r="F37" s="180"/>
      <c r="G37" s="180"/>
      <c r="H37" s="155"/>
    </row>
    <row r="38" spans="1:18" ht="9" customHeight="1">
      <c r="A38" s="449" t="s">
        <v>304</v>
      </c>
      <c r="B38" s="466"/>
      <c r="C38" s="466"/>
      <c r="D38" s="466"/>
      <c r="E38" s="466"/>
      <c r="F38" s="181"/>
      <c r="G38" s="181"/>
      <c r="H38" s="71"/>
    </row>
    <row r="39" spans="1:18" ht="9" customHeight="1">
      <c r="A39" s="451" t="s">
        <v>303</v>
      </c>
      <c r="B39" s="462"/>
      <c r="C39" s="462"/>
      <c r="D39" s="462"/>
      <c r="E39" s="462"/>
      <c r="F39" s="171"/>
      <c r="G39" s="171"/>
    </row>
    <row r="40" spans="1:18" ht="13.25" customHeight="1">
      <c r="A40" s="451"/>
      <c r="B40" s="464"/>
      <c r="C40" s="464"/>
      <c r="D40" s="464"/>
      <c r="E40" s="464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theme="9" tint="0.59999389629810485"/>
  </sheetPr>
  <dimension ref="A2:I40"/>
  <sheetViews>
    <sheetView showGridLines="0" zoomScaleNormal="100" workbookViewId="0">
      <selection activeCell="E32" sqref="E32"/>
    </sheetView>
  </sheetViews>
  <sheetFormatPr baseColWidth="10" defaultColWidth="7" defaultRowHeight="13.25" customHeight="1"/>
  <cols>
    <col min="1" max="1" width="14" style="67" customWidth="1"/>
    <col min="2" max="9" width="12" style="67" customWidth="1"/>
    <col min="10" max="16384" width="7" style="67"/>
  </cols>
  <sheetData>
    <row r="2" spans="1:9" ht="17.25" customHeight="1">
      <c r="A2" s="178" t="s">
        <v>475</v>
      </c>
      <c r="B2" s="101"/>
      <c r="C2" s="101"/>
    </row>
    <row r="3" spans="1:9" ht="13.25" customHeight="1">
      <c r="A3" s="182" t="s">
        <v>427</v>
      </c>
      <c r="B3" s="96"/>
      <c r="C3" s="96"/>
      <c r="D3" s="95"/>
      <c r="E3" s="95"/>
      <c r="F3" s="95"/>
      <c r="G3" s="95"/>
      <c r="H3" s="95"/>
    </row>
    <row r="4" spans="1:9" ht="5" customHeight="1" thickBot="1"/>
    <row r="5" spans="1:9" ht="26" customHeight="1">
      <c r="A5" s="732" t="s">
        <v>16</v>
      </c>
      <c r="B5" s="732" t="s">
        <v>17</v>
      </c>
      <c r="C5" s="732" t="s">
        <v>5</v>
      </c>
      <c r="D5" s="732" t="s">
        <v>6</v>
      </c>
      <c r="E5" s="732" t="s">
        <v>7</v>
      </c>
      <c r="F5" s="732" t="s">
        <v>8</v>
      </c>
      <c r="G5" s="732" t="s">
        <v>9</v>
      </c>
      <c r="H5" s="732" t="s">
        <v>10</v>
      </c>
    </row>
    <row r="6" spans="1:9" ht="18" customHeight="1">
      <c r="A6" s="619" t="s">
        <v>87</v>
      </c>
      <c r="B6" s="1003">
        <v>2.2488182007052933</v>
      </c>
      <c r="C6" s="819">
        <v>12.989097388128226</v>
      </c>
      <c r="D6" s="819">
        <v>52.506482037347951</v>
      </c>
      <c r="E6" s="819">
        <v>147.75508130155887</v>
      </c>
      <c r="F6" s="819">
        <v>12.606673923409005</v>
      </c>
      <c r="G6" s="819">
        <v>27.035695039151186</v>
      </c>
      <c r="H6" s="819">
        <v>34.252220753367382</v>
      </c>
      <c r="I6" s="388"/>
    </row>
    <row r="7" spans="1:9" ht="3" customHeight="1">
      <c r="A7" s="101"/>
      <c r="B7" s="1004"/>
      <c r="C7" s="820"/>
      <c r="D7" s="820"/>
      <c r="E7" s="820"/>
      <c r="F7" s="820"/>
      <c r="G7" s="820"/>
      <c r="H7" s="820"/>
      <c r="I7" s="388"/>
    </row>
    <row r="8" spans="1:9" ht="15" customHeight="1">
      <c r="A8" s="67" t="s">
        <v>19</v>
      </c>
      <c r="B8" s="1005">
        <v>2.8061079200318146</v>
      </c>
      <c r="C8" s="821">
        <v>11.855439892545334</v>
      </c>
      <c r="D8" s="821">
        <v>55.196124100719423</v>
      </c>
      <c r="E8" s="821">
        <v>139.82236198846468</v>
      </c>
      <c r="F8" s="821">
        <v>10.741719048920469</v>
      </c>
      <c r="G8" s="821">
        <v>0</v>
      </c>
      <c r="H8" s="821">
        <v>0</v>
      </c>
      <c r="I8" s="818"/>
    </row>
    <row r="9" spans="1:9" ht="15" customHeight="1">
      <c r="A9" s="67" t="s">
        <v>20</v>
      </c>
      <c r="B9" s="1005">
        <v>2.2187568714566575</v>
      </c>
      <c r="C9" s="821">
        <v>16.163871764285958</v>
      </c>
      <c r="D9" s="821">
        <v>52.600885176990531</v>
      </c>
      <c r="E9" s="821">
        <v>147.36694744554421</v>
      </c>
      <c r="F9" s="821">
        <v>14.139319385001274</v>
      </c>
      <c r="G9" s="821">
        <v>0</v>
      </c>
      <c r="H9" s="821">
        <v>0</v>
      </c>
      <c r="I9" s="388"/>
    </row>
    <row r="10" spans="1:9" ht="15" customHeight="1">
      <c r="A10" s="67" t="s">
        <v>21</v>
      </c>
      <c r="B10" s="1005">
        <v>2.2165280050939073</v>
      </c>
      <c r="C10" s="821">
        <v>15.429168006430867</v>
      </c>
      <c r="D10" s="821">
        <v>52.122804449648719</v>
      </c>
      <c r="E10" s="821">
        <v>142.28683172223322</v>
      </c>
      <c r="F10" s="821">
        <v>14.877952887453363</v>
      </c>
      <c r="G10" s="821">
        <v>0</v>
      </c>
      <c r="H10" s="821">
        <v>0</v>
      </c>
      <c r="I10" s="388"/>
    </row>
    <row r="11" spans="1:9" ht="15" customHeight="1">
      <c r="A11" s="67" t="s">
        <v>22</v>
      </c>
      <c r="B11" s="1005">
        <v>2.2113383201353223</v>
      </c>
      <c r="C11" s="821">
        <v>13.662797073581244</v>
      </c>
      <c r="D11" s="821">
        <v>60.525715124991251</v>
      </c>
      <c r="E11" s="821">
        <v>144.59516002835863</v>
      </c>
      <c r="F11" s="821">
        <v>13.193429989623942</v>
      </c>
      <c r="G11" s="821">
        <v>31.045816555488177</v>
      </c>
      <c r="H11" s="821">
        <v>0</v>
      </c>
      <c r="I11" s="388"/>
    </row>
    <row r="12" spans="1:9" ht="15" customHeight="1">
      <c r="A12" s="67" t="s">
        <v>23</v>
      </c>
      <c r="B12" s="1005">
        <v>2.2167004577994116</v>
      </c>
      <c r="C12" s="821">
        <v>11.742979753817178</v>
      </c>
      <c r="D12" s="821">
        <v>41.835293643583512</v>
      </c>
      <c r="E12" s="821">
        <v>132.41809349177245</v>
      </c>
      <c r="F12" s="821">
        <v>10.877489479098475</v>
      </c>
      <c r="G12" s="821">
        <v>0</v>
      </c>
      <c r="H12" s="821">
        <v>0</v>
      </c>
      <c r="I12" s="388"/>
    </row>
    <row r="13" spans="1:9" ht="15" customHeight="1">
      <c r="A13" s="67" t="s">
        <v>24</v>
      </c>
      <c r="B13" s="1005">
        <v>2.2581001655911872</v>
      </c>
      <c r="C13" s="821">
        <v>11.601292014765882</v>
      </c>
      <c r="D13" s="821">
        <v>37.253693771141307</v>
      </c>
      <c r="E13" s="821">
        <v>125.46099917320738</v>
      </c>
      <c r="F13" s="821">
        <v>10.463837403547847</v>
      </c>
      <c r="G13" s="821">
        <v>0</v>
      </c>
      <c r="H13" s="821">
        <v>0</v>
      </c>
      <c r="I13" s="388"/>
    </row>
    <row r="14" spans="1:9" ht="15" customHeight="1">
      <c r="A14" s="67" t="s">
        <v>25</v>
      </c>
      <c r="B14" s="1005">
        <v>2.0877553091524148</v>
      </c>
      <c r="C14" s="821">
        <v>11.945315351855607</v>
      </c>
      <c r="D14" s="821">
        <v>43.543622394025704</v>
      </c>
      <c r="E14" s="821">
        <v>131.82026521185088</v>
      </c>
      <c r="F14" s="821">
        <v>14.707887323943659</v>
      </c>
      <c r="G14" s="821">
        <v>0</v>
      </c>
      <c r="H14" s="821">
        <v>0</v>
      </c>
      <c r="I14" s="388"/>
    </row>
    <row r="15" spans="1:9" ht="15" customHeight="1">
      <c r="A15" s="67" t="s">
        <v>26</v>
      </c>
      <c r="B15" s="1005">
        <v>2.195932395897322</v>
      </c>
      <c r="C15" s="821">
        <v>12.794173829990447</v>
      </c>
      <c r="D15" s="821">
        <v>46.052956023687017</v>
      </c>
      <c r="E15" s="821">
        <v>154.29173315226618</v>
      </c>
      <c r="F15" s="821">
        <v>11.022089032258064</v>
      </c>
      <c r="G15" s="821">
        <v>0</v>
      </c>
      <c r="H15" s="821">
        <v>0</v>
      </c>
      <c r="I15" s="388"/>
    </row>
    <row r="16" spans="1:9" ht="15" customHeight="1">
      <c r="A16" s="67" t="s">
        <v>27</v>
      </c>
      <c r="B16" s="1005">
        <v>2.0503233960479617</v>
      </c>
      <c r="C16" s="821">
        <v>16.023723880597011</v>
      </c>
      <c r="D16" s="821">
        <v>52.582077507007156</v>
      </c>
      <c r="E16" s="821">
        <v>146.15188193054635</v>
      </c>
      <c r="F16" s="821">
        <v>12.581878409976614</v>
      </c>
      <c r="G16" s="821">
        <v>0</v>
      </c>
      <c r="H16" s="821">
        <v>0</v>
      </c>
      <c r="I16" s="388"/>
    </row>
    <row r="17" spans="1:9" ht="15" customHeight="1">
      <c r="A17" s="67" t="s">
        <v>28</v>
      </c>
      <c r="B17" s="1005">
        <v>2.2608920944001167</v>
      </c>
      <c r="C17" s="821">
        <v>10.919489294713729</v>
      </c>
      <c r="D17" s="821">
        <v>32.379718324124603</v>
      </c>
      <c r="E17" s="821">
        <v>139.90157387146215</v>
      </c>
      <c r="F17" s="821">
        <v>9.7552552834972595</v>
      </c>
      <c r="G17" s="821">
        <v>23.871595766076197</v>
      </c>
      <c r="H17" s="821">
        <v>0</v>
      </c>
      <c r="I17" s="388"/>
    </row>
    <row r="18" spans="1:9" ht="15" customHeight="1">
      <c r="A18" s="67" t="s">
        <v>29</v>
      </c>
      <c r="B18" s="1005">
        <v>2.2702113955642527</v>
      </c>
      <c r="C18" s="821">
        <v>11.884706268563388</v>
      </c>
      <c r="D18" s="821">
        <v>62.532036004448678</v>
      </c>
      <c r="E18" s="821">
        <v>193.74738677551878</v>
      </c>
      <c r="F18" s="821">
        <v>12.073260207190737</v>
      </c>
      <c r="G18" s="821">
        <v>29.352186165670368</v>
      </c>
      <c r="H18" s="821">
        <v>32.475443678160921</v>
      </c>
      <c r="I18" s="388"/>
    </row>
    <row r="19" spans="1:9" ht="15" customHeight="1">
      <c r="A19" s="67" t="s">
        <v>30</v>
      </c>
      <c r="B19" s="1005">
        <v>2.2331037754145959</v>
      </c>
      <c r="C19" s="821">
        <v>11.167271287128713</v>
      </c>
      <c r="D19" s="821">
        <v>42.108399458326446</v>
      </c>
      <c r="E19" s="821">
        <v>131.02202894119245</v>
      </c>
      <c r="F19" s="821">
        <v>13.99577149808178</v>
      </c>
      <c r="G19" s="821">
        <v>0</v>
      </c>
      <c r="H19" s="821">
        <v>0</v>
      </c>
      <c r="I19" s="388"/>
    </row>
    <row r="20" spans="1:9" ht="15" customHeight="1">
      <c r="A20" s="67" t="s">
        <v>31</v>
      </c>
      <c r="B20" s="1005">
        <v>2.1517582489653062</v>
      </c>
      <c r="C20" s="821">
        <v>10.938459639881085</v>
      </c>
      <c r="D20" s="821">
        <v>35.757208218462956</v>
      </c>
      <c r="E20" s="821">
        <v>165.16896446482934</v>
      </c>
      <c r="F20" s="821">
        <v>9.4517929907390617</v>
      </c>
      <c r="G20" s="821">
        <v>24.935947986577176</v>
      </c>
      <c r="H20" s="821">
        <v>0</v>
      </c>
      <c r="I20" s="388"/>
    </row>
    <row r="21" spans="1:9" ht="15" customHeight="1">
      <c r="A21" s="67" t="s">
        <v>32</v>
      </c>
      <c r="B21" s="1005">
        <v>2.1923661456354933</v>
      </c>
      <c r="C21" s="821">
        <v>11.804648675056988</v>
      </c>
      <c r="D21" s="821">
        <v>36.834981327038776</v>
      </c>
      <c r="E21" s="821">
        <v>160.83655865300878</v>
      </c>
      <c r="F21" s="821">
        <v>10.935722218783704</v>
      </c>
      <c r="G21" s="821">
        <v>23.597367952936825</v>
      </c>
      <c r="H21" s="821">
        <v>30.36297819945823</v>
      </c>
      <c r="I21" s="388"/>
    </row>
    <row r="22" spans="1:9" ht="15" customHeight="1">
      <c r="A22" s="67" t="s">
        <v>33</v>
      </c>
      <c r="B22" s="1005">
        <v>2.2093060778380953</v>
      </c>
      <c r="C22" s="821">
        <v>11.681962626359049</v>
      </c>
      <c r="D22" s="821">
        <v>47.152024326065522</v>
      </c>
      <c r="E22" s="821">
        <v>129.26253569810561</v>
      </c>
      <c r="F22" s="821">
        <v>10.424161073825504</v>
      </c>
      <c r="G22" s="821">
        <v>22.093900293255135</v>
      </c>
      <c r="H22" s="821">
        <v>26.205201664532648</v>
      </c>
      <c r="I22" s="388"/>
    </row>
    <row r="23" spans="1:9" ht="15" customHeight="1">
      <c r="A23" s="67" t="s">
        <v>34</v>
      </c>
      <c r="B23" s="1005">
        <v>2.1220620702186532</v>
      </c>
      <c r="C23" s="821">
        <v>12.439704810682652</v>
      </c>
      <c r="D23" s="821">
        <v>37.392300541368179</v>
      </c>
      <c r="E23" s="821">
        <v>123.80981249999999</v>
      </c>
      <c r="F23" s="821">
        <v>14.019176946200892</v>
      </c>
      <c r="G23" s="821">
        <v>25.550554152275893</v>
      </c>
      <c r="H23" s="821">
        <v>33.437525465163652</v>
      </c>
      <c r="I23" s="388"/>
    </row>
    <row r="24" spans="1:9" ht="15" customHeight="1">
      <c r="A24" s="67" t="s">
        <v>35</v>
      </c>
      <c r="B24" s="1005">
        <v>2.2283372874163154</v>
      </c>
      <c r="C24" s="821">
        <v>14.397192527293555</v>
      </c>
      <c r="D24" s="821">
        <v>56.1132487166659</v>
      </c>
      <c r="E24" s="821">
        <v>166.99766519684039</v>
      </c>
      <c r="F24" s="821">
        <v>11.782700988166402</v>
      </c>
      <c r="G24" s="821">
        <v>24.567424058814023</v>
      </c>
      <c r="H24" s="821">
        <v>34.616584777973493</v>
      </c>
      <c r="I24" s="388"/>
    </row>
    <row r="25" spans="1:9" ht="15" customHeight="1">
      <c r="A25" s="67" t="s">
        <v>36</v>
      </c>
      <c r="B25" s="1005">
        <v>2.1877625049112943</v>
      </c>
      <c r="C25" s="821">
        <v>20.625111789738952</v>
      </c>
      <c r="D25" s="821">
        <v>46.766221664152141</v>
      </c>
      <c r="E25" s="821">
        <v>190.95144729292804</v>
      </c>
      <c r="F25" s="821">
        <v>14.862318372578011</v>
      </c>
      <c r="G25" s="821">
        <v>27.084826598319683</v>
      </c>
      <c r="H25" s="821">
        <v>31.067142998558737</v>
      </c>
      <c r="I25" s="388"/>
    </row>
    <row r="26" spans="1:9" ht="15" customHeight="1">
      <c r="A26" s="67" t="s">
        <v>37</v>
      </c>
      <c r="B26" s="1005">
        <v>2.2171235371047575</v>
      </c>
      <c r="C26" s="821">
        <v>24.685088703216209</v>
      </c>
      <c r="D26" s="821">
        <v>44.063114746438274</v>
      </c>
      <c r="E26" s="821">
        <v>189.06024363636368</v>
      </c>
      <c r="F26" s="821">
        <v>15.219518419884597</v>
      </c>
      <c r="G26" s="821">
        <v>27.945021536040912</v>
      </c>
      <c r="H26" s="821">
        <v>29.63508169634661</v>
      </c>
      <c r="I26" s="388"/>
    </row>
    <row r="27" spans="1:9" ht="15" customHeight="1">
      <c r="A27" s="67" t="s">
        <v>38</v>
      </c>
      <c r="B27" s="1005">
        <v>2.232982356275464</v>
      </c>
      <c r="C27" s="821">
        <v>12.184430018067985</v>
      </c>
      <c r="D27" s="821">
        <v>45.512656777794092</v>
      </c>
      <c r="E27" s="821">
        <v>128.60818258179512</v>
      </c>
      <c r="F27" s="821">
        <v>12.314320490220767</v>
      </c>
      <c r="G27" s="821">
        <v>25.596271683195312</v>
      </c>
      <c r="H27" s="821">
        <v>26.925747282608693</v>
      </c>
      <c r="I27" s="388"/>
    </row>
    <row r="28" spans="1:9" ht="15" customHeight="1">
      <c r="A28" s="67" t="s">
        <v>39</v>
      </c>
      <c r="B28" s="1005">
        <v>2.1813772525612416</v>
      </c>
      <c r="C28" s="821">
        <v>11.115938310836418</v>
      </c>
      <c r="D28" s="821">
        <v>42.773053017129747</v>
      </c>
      <c r="E28" s="821">
        <v>115.61887662754714</v>
      </c>
      <c r="F28" s="821">
        <v>11.970248051027639</v>
      </c>
      <c r="G28" s="821">
        <v>25.238890895021925</v>
      </c>
      <c r="H28" s="821">
        <v>30.771856823266223</v>
      </c>
      <c r="I28" s="388"/>
    </row>
    <row r="29" spans="1:9" ht="15" customHeight="1">
      <c r="A29" s="67" t="s">
        <v>40</v>
      </c>
      <c r="B29" s="1005">
        <v>2.1804502866299296</v>
      </c>
      <c r="C29" s="821">
        <v>11.517625828281403</v>
      </c>
      <c r="D29" s="821">
        <v>40.086461126005361</v>
      </c>
      <c r="E29" s="821">
        <v>117.74683171234895</v>
      </c>
      <c r="F29" s="821">
        <v>13.616790859413808</v>
      </c>
      <c r="G29" s="821">
        <v>26.077796014067992</v>
      </c>
      <c r="H29" s="821">
        <v>30.324929851068426</v>
      </c>
      <c r="I29" s="388"/>
    </row>
    <row r="30" spans="1:9" ht="15" customHeight="1">
      <c r="A30" s="67" t="s">
        <v>41</v>
      </c>
      <c r="B30" s="1005">
        <v>2.1829034690174569</v>
      </c>
      <c r="C30" s="821">
        <v>10.686030720946373</v>
      </c>
      <c r="D30" s="821">
        <v>44.464868857401271</v>
      </c>
      <c r="E30" s="821">
        <v>113.5307999305917</v>
      </c>
      <c r="F30" s="821">
        <v>11.312871876239587</v>
      </c>
      <c r="G30" s="821">
        <v>23.610091047040971</v>
      </c>
      <c r="H30" s="821">
        <v>31.252612026932898</v>
      </c>
      <c r="I30" s="388"/>
    </row>
    <row r="31" spans="1:9" ht="15" customHeight="1">
      <c r="A31" s="67" t="s">
        <v>42</v>
      </c>
      <c r="B31" s="1005">
        <v>2.2268460467562483</v>
      </c>
      <c r="C31" s="821">
        <v>12.923283677514227</v>
      </c>
      <c r="D31" s="821">
        <v>40.058309604368361</v>
      </c>
      <c r="E31" s="821">
        <v>155.37964348364457</v>
      </c>
      <c r="F31" s="821">
        <v>11.555056418990842</v>
      </c>
      <c r="G31" s="821">
        <v>27.47356296483045</v>
      </c>
      <c r="H31" s="821">
        <v>31.73129813538711</v>
      </c>
      <c r="I31" s="388"/>
    </row>
    <row r="32" spans="1:9" ht="15" customHeight="1">
      <c r="A32" s="67" t="s">
        <v>43</v>
      </c>
      <c r="B32" s="1005">
        <v>2.1023673789936379</v>
      </c>
      <c r="C32" s="821">
        <v>14.373696110431116</v>
      </c>
      <c r="D32" s="821">
        <v>34.681493655906912</v>
      </c>
      <c r="E32" s="821">
        <v>146.94664272429935</v>
      </c>
      <c r="F32" s="821">
        <v>0</v>
      </c>
      <c r="G32" s="821">
        <v>28.488884686303248</v>
      </c>
      <c r="H32" s="821">
        <v>40.671343698647455</v>
      </c>
      <c r="I32" s="388"/>
    </row>
    <row r="33" spans="1:9" ht="15" customHeight="1">
      <c r="A33" s="67" t="s">
        <v>44</v>
      </c>
      <c r="B33" s="1005">
        <v>2.2125074036869465</v>
      </c>
      <c r="C33" s="821">
        <v>11.629680001885626</v>
      </c>
      <c r="D33" s="821">
        <v>38.924126523764393</v>
      </c>
      <c r="E33" s="821">
        <v>118.00702167478924</v>
      </c>
      <c r="F33" s="821">
        <v>0</v>
      </c>
      <c r="G33" s="821">
        <v>0</v>
      </c>
      <c r="H33" s="821">
        <v>0</v>
      </c>
      <c r="I33" s="388"/>
    </row>
    <row r="34" spans="1:9" ht="15" customHeight="1">
      <c r="A34" s="67" t="s">
        <v>45</v>
      </c>
      <c r="B34" s="1005">
        <v>2.2109581475760578</v>
      </c>
      <c r="C34" s="821">
        <v>14.810184804928129</v>
      </c>
      <c r="D34" s="821">
        <v>42.847938741913794</v>
      </c>
      <c r="E34" s="821">
        <v>150.44052026900806</v>
      </c>
      <c r="F34" s="821">
        <v>0</v>
      </c>
      <c r="G34" s="821">
        <v>0</v>
      </c>
      <c r="H34" s="821">
        <v>0</v>
      </c>
      <c r="I34" s="388"/>
    </row>
    <row r="35" spans="1:9" ht="15" customHeight="1">
      <c r="A35" s="67" t="s">
        <v>46</v>
      </c>
      <c r="B35" s="1005">
        <v>2.2231548393997143</v>
      </c>
      <c r="C35" s="821">
        <v>11.514703703703704</v>
      </c>
      <c r="D35" s="821">
        <v>40.797808394612908</v>
      </c>
      <c r="E35" s="821">
        <v>128.97427819480043</v>
      </c>
      <c r="F35" s="821">
        <v>0</v>
      </c>
      <c r="G35" s="821">
        <v>0</v>
      </c>
      <c r="H35" s="821">
        <v>0</v>
      </c>
      <c r="I35" s="388"/>
    </row>
    <row r="36" spans="1:9" ht="15" customHeight="1" thickBot="1">
      <c r="A36" s="68" t="s">
        <v>47</v>
      </c>
      <c r="B36" s="1006">
        <v>2.2263950526000009</v>
      </c>
      <c r="C36" s="822">
        <v>17.686126373626372</v>
      </c>
      <c r="D36" s="822">
        <v>61.508006709369731</v>
      </c>
      <c r="E36" s="822">
        <v>163.14388367245309</v>
      </c>
      <c r="F36" s="822">
        <v>0</v>
      </c>
      <c r="G36" s="822">
        <v>0</v>
      </c>
      <c r="H36" s="822">
        <v>0</v>
      </c>
      <c r="I36" s="388"/>
    </row>
    <row r="37" spans="1:9" ht="9" customHeight="1">
      <c r="A37" s="449" t="s">
        <v>330</v>
      </c>
      <c r="B37" s="467"/>
      <c r="C37" s="466"/>
      <c r="D37" s="466"/>
      <c r="E37" s="466"/>
      <c r="F37" s="181"/>
      <c r="G37" s="181"/>
      <c r="H37" s="155"/>
    </row>
    <row r="38" spans="1:9" ht="9" customHeight="1">
      <c r="A38" s="449" t="s">
        <v>304</v>
      </c>
      <c r="B38" s="462"/>
      <c r="C38" s="462"/>
      <c r="D38" s="462"/>
      <c r="E38" s="462"/>
      <c r="F38" s="171"/>
      <c r="G38" s="171"/>
      <c r="H38" s="71"/>
    </row>
    <row r="39" spans="1:9" ht="9" customHeight="1">
      <c r="A39" s="451" t="s">
        <v>303</v>
      </c>
      <c r="B39" s="464"/>
      <c r="C39" s="464"/>
      <c r="D39" s="464"/>
      <c r="E39" s="464"/>
      <c r="F39" s="173"/>
      <c r="G39" s="173"/>
    </row>
    <row r="40" spans="1:9" ht="13.25" customHeight="1">
      <c r="A40" s="11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theme="9" tint="0.59999389629810485"/>
  </sheetPr>
  <dimension ref="A2:F45"/>
  <sheetViews>
    <sheetView showGridLines="0" zoomScaleNormal="100" workbookViewId="0">
      <selection activeCell="C16" sqref="C16"/>
    </sheetView>
  </sheetViews>
  <sheetFormatPr baseColWidth="10" defaultColWidth="7" defaultRowHeight="13.25" customHeight="1"/>
  <cols>
    <col min="1" max="1" width="16" style="67" customWidth="1"/>
    <col min="2" max="6" width="14" style="67" customWidth="1"/>
    <col min="7" max="7" width="3.796875" style="67" customWidth="1"/>
    <col min="8" max="16384" width="7" style="67"/>
  </cols>
  <sheetData>
    <row r="2" spans="1:6" ht="17.25" customHeight="1">
      <c r="A2" s="178" t="s">
        <v>476</v>
      </c>
    </row>
    <row r="3" spans="1:6" ht="13.25" customHeight="1">
      <c r="A3" s="179" t="s">
        <v>208</v>
      </c>
    </row>
    <row r="4" spans="1:6" ht="6" customHeight="1" thickBot="1"/>
    <row r="5" spans="1:6" ht="26" customHeight="1">
      <c r="A5" s="732" t="s">
        <v>16</v>
      </c>
      <c r="B5" s="733" t="s">
        <v>414</v>
      </c>
      <c r="C5" s="733" t="s">
        <v>529</v>
      </c>
      <c r="D5" s="734" t="s">
        <v>415</v>
      </c>
      <c r="E5" s="734" t="s">
        <v>416</v>
      </c>
      <c r="F5" s="734" t="s">
        <v>417</v>
      </c>
    </row>
    <row r="6" spans="1:6" ht="18" customHeight="1">
      <c r="A6" s="619" t="s">
        <v>87</v>
      </c>
      <c r="B6" s="621">
        <f>(B8+B9+B10+B11+B12+B16++B17+B18+B19+B20+B21+B22+B23+B24+B25+B26+B27+B28+B31+B32+B33+B34+B35+B36)</f>
        <v>27776724</v>
      </c>
      <c r="C6" s="623">
        <f>(C8+C9+C10+C11+C12+C16++C17+C18+C19+C20+C21+C22+C23+C24+C25+C26+C27+C28+C31+C32+C33+C34+C35+C36)</f>
        <v>933907</v>
      </c>
      <c r="D6" s="621">
        <f>(D8+D9+D10+D11+D12+D16++D17+D18+D19+D20+D21+D22+D23+D24+D25+D26+D27+D28+D31+D32+D33+D34+D35+D36)</f>
        <v>2119261</v>
      </c>
      <c r="E6" s="623">
        <f>(E8+E9+E10+E11+E12+E16++E17+E18+E19+E20+E21+E22+E23+E24+E25+E26+E27+E28+E31+E32+E33+E34+E35+E36)</f>
        <v>336239</v>
      </c>
      <c r="F6" s="621">
        <f>(F8+F9+F10+F11+F12+F16++F17+F18+F19+F20+F21+F22+F23+F24+F25+F26+F27+F28+F31+F32+F33+F34+F35+F36)</f>
        <v>4238563</v>
      </c>
    </row>
    <row r="7" spans="1:6" ht="3" customHeight="1">
      <c r="A7" s="101"/>
      <c r="B7" s="533"/>
      <c r="C7" s="185"/>
      <c r="D7" s="533"/>
      <c r="E7" s="185"/>
      <c r="F7" s="533"/>
    </row>
    <row r="8" spans="1:6" ht="15" customHeight="1">
      <c r="A8" s="67" t="s">
        <v>19</v>
      </c>
      <c r="B8" s="388">
        <v>6954</v>
      </c>
      <c r="C8" s="186">
        <v>314</v>
      </c>
      <c r="D8" s="386">
        <v>0</v>
      </c>
      <c r="E8" s="536">
        <v>0</v>
      </c>
      <c r="F8" s="534">
        <v>0</v>
      </c>
    </row>
    <row r="9" spans="1:6" ht="15" customHeight="1">
      <c r="A9" s="67" t="s">
        <v>20</v>
      </c>
      <c r="B9" s="388">
        <v>340578</v>
      </c>
      <c r="C9" s="186">
        <v>25670</v>
      </c>
      <c r="D9" s="386">
        <v>0</v>
      </c>
      <c r="E9" s="536">
        <v>0</v>
      </c>
      <c r="F9" s="534">
        <v>22044</v>
      </c>
    </row>
    <row r="10" spans="1:6" ht="15" customHeight="1">
      <c r="A10" s="67" t="s">
        <v>21</v>
      </c>
      <c r="B10" s="388">
        <v>433925</v>
      </c>
      <c r="C10" s="186">
        <v>18164</v>
      </c>
      <c r="D10" s="386">
        <v>0</v>
      </c>
      <c r="E10" s="536">
        <v>0</v>
      </c>
      <c r="F10" s="534">
        <v>0</v>
      </c>
    </row>
    <row r="11" spans="1:6" ht="15" customHeight="1">
      <c r="A11" s="67" t="s">
        <v>22</v>
      </c>
      <c r="B11" s="388">
        <v>4660313</v>
      </c>
      <c r="C11" s="186">
        <v>58533</v>
      </c>
      <c r="D11" s="386">
        <v>3970</v>
      </c>
      <c r="E11" s="536">
        <v>0</v>
      </c>
      <c r="F11" s="534">
        <v>266815</v>
      </c>
    </row>
    <row r="12" spans="1:6" ht="15" customHeight="1">
      <c r="A12" s="67" t="s">
        <v>23</v>
      </c>
      <c r="B12" s="388">
        <v>219674</v>
      </c>
      <c r="C12" s="386">
        <v>170497</v>
      </c>
      <c r="D12" s="386">
        <v>0</v>
      </c>
      <c r="E12" s="386">
        <v>0</v>
      </c>
      <c r="F12" s="386">
        <v>130457</v>
      </c>
    </row>
    <row r="13" spans="1:6" ht="15" customHeight="1">
      <c r="A13" s="67" t="s">
        <v>24</v>
      </c>
      <c r="B13" s="388">
        <v>124614</v>
      </c>
      <c r="C13" s="186">
        <v>99441</v>
      </c>
      <c r="D13" s="386">
        <v>0</v>
      </c>
      <c r="E13" s="536">
        <v>0</v>
      </c>
      <c r="F13" s="534">
        <v>103481</v>
      </c>
    </row>
    <row r="14" spans="1:6" ht="15" customHeight="1">
      <c r="A14" s="67" t="s">
        <v>25</v>
      </c>
      <c r="B14" s="388">
        <v>50497</v>
      </c>
      <c r="C14" s="186">
        <v>65188</v>
      </c>
      <c r="D14" s="386">
        <v>0</v>
      </c>
      <c r="E14" s="536">
        <v>0</v>
      </c>
      <c r="F14" s="534">
        <v>26976</v>
      </c>
    </row>
    <row r="15" spans="1:6" ht="15" customHeight="1">
      <c r="A15" s="67" t="s">
        <v>26</v>
      </c>
      <c r="B15" s="388">
        <v>44563</v>
      </c>
      <c r="C15" s="186">
        <v>5867</v>
      </c>
      <c r="D15" s="386">
        <v>0</v>
      </c>
      <c r="E15" s="536">
        <v>0</v>
      </c>
      <c r="F15" s="534">
        <v>0</v>
      </c>
    </row>
    <row r="16" spans="1:6" ht="15" customHeight="1">
      <c r="A16" s="67" t="s">
        <v>27</v>
      </c>
      <c r="B16" s="388">
        <v>110120</v>
      </c>
      <c r="C16" s="186">
        <v>81403</v>
      </c>
      <c r="D16" s="386">
        <v>0</v>
      </c>
      <c r="E16" s="536">
        <v>0</v>
      </c>
      <c r="F16" s="534">
        <v>5400</v>
      </c>
    </row>
    <row r="17" spans="1:6" ht="15" customHeight="1">
      <c r="A17" s="67" t="s">
        <v>28</v>
      </c>
      <c r="B17" s="388">
        <v>108196</v>
      </c>
      <c r="C17" s="186">
        <v>19937</v>
      </c>
      <c r="D17" s="386">
        <v>0</v>
      </c>
      <c r="E17" s="536">
        <v>0</v>
      </c>
      <c r="F17" s="534">
        <v>12803</v>
      </c>
    </row>
    <row r="18" spans="1:6" ht="15" customHeight="1">
      <c r="A18" s="67" t="s">
        <v>29</v>
      </c>
      <c r="B18" s="388">
        <v>7587937</v>
      </c>
      <c r="C18" s="186">
        <v>74349</v>
      </c>
      <c r="D18" s="386">
        <v>15162</v>
      </c>
      <c r="E18" s="536">
        <v>1324</v>
      </c>
      <c r="F18" s="534">
        <v>79776</v>
      </c>
    </row>
    <row r="19" spans="1:6" ht="15" customHeight="1">
      <c r="A19" s="67" t="s">
        <v>30</v>
      </c>
      <c r="B19" s="388">
        <v>10857565</v>
      </c>
      <c r="C19" s="186">
        <v>19764</v>
      </c>
      <c r="D19" s="386">
        <v>0</v>
      </c>
      <c r="E19" s="536">
        <v>0</v>
      </c>
      <c r="F19" s="534">
        <v>0</v>
      </c>
    </row>
    <row r="20" spans="1:6" ht="15" customHeight="1">
      <c r="A20" s="67" t="s">
        <v>31</v>
      </c>
      <c r="B20" s="388">
        <v>103950</v>
      </c>
      <c r="C20" s="186">
        <v>42468</v>
      </c>
      <c r="D20" s="386">
        <v>5211</v>
      </c>
      <c r="E20" s="536">
        <v>0</v>
      </c>
      <c r="F20" s="534">
        <v>88872</v>
      </c>
    </row>
    <row r="21" spans="1:6" ht="15" customHeight="1">
      <c r="A21" s="67" t="s">
        <v>32</v>
      </c>
      <c r="B21" s="388">
        <v>12789</v>
      </c>
      <c r="C21" s="186">
        <v>32505</v>
      </c>
      <c r="D21" s="386">
        <v>93713</v>
      </c>
      <c r="E21" s="536">
        <v>7826</v>
      </c>
      <c r="F21" s="534">
        <v>416654</v>
      </c>
    </row>
    <row r="22" spans="1:6" ht="15" customHeight="1">
      <c r="A22" s="67" t="s">
        <v>33</v>
      </c>
      <c r="B22" s="388">
        <v>100344</v>
      </c>
      <c r="C22" s="186">
        <v>41903</v>
      </c>
      <c r="D22" s="386">
        <v>86863</v>
      </c>
      <c r="E22" s="536">
        <v>39048</v>
      </c>
      <c r="F22" s="534">
        <v>879607</v>
      </c>
    </row>
    <row r="23" spans="1:6" ht="15" customHeight="1">
      <c r="A23" s="67" t="s">
        <v>34</v>
      </c>
      <c r="B23" s="388">
        <v>51603</v>
      </c>
      <c r="C23" s="186">
        <v>12743</v>
      </c>
      <c r="D23" s="386">
        <v>50110</v>
      </c>
      <c r="E23" s="536">
        <v>6057</v>
      </c>
      <c r="F23" s="534">
        <v>121496</v>
      </c>
    </row>
    <row r="24" spans="1:6" ht="15" customHeight="1">
      <c r="A24" s="67" t="s">
        <v>35</v>
      </c>
      <c r="B24" s="388">
        <v>1083705</v>
      </c>
      <c r="C24" s="186">
        <v>64833</v>
      </c>
      <c r="D24" s="386">
        <v>68033</v>
      </c>
      <c r="E24" s="536">
        <v>17755</v>
      </c>
      <c r="F24" s="534">
        <v>38312</v>
      </c>
    </row>
    <row r="25" spans="1:6" ht="15" customHeight="1">
      <c r="A25" s="67" t="s">
        <v>36</v>
      </c>
      <c r="B25" s="388">
        <v>18489</v>
      </c>
      <c r="C25" s="186">
        <v>5772</v>
      </c>
      <c r="D25" s="386">
        <v>25923</v>
      </c>
      <c r="E25" s="536">
        <v>4225</v>
      </c>
      <c r="F25" s="534">
        <v>2739</v>
      </c>
    </row>
    <row r="26" spans="1:6" ht="15" customHeight="1">
      <c r="A26" s="67" t="s">
        <v>37</v>
      </c>
      <c r="B26" s="388">
        <v>299720</v>
      </c>
      <c r="C26" s="186">
        <v>5460</v>
      </c>
      <c r="D26" s="386">
        <v>50111</v>
      </c>
      <c r="E26" s="536">
        <v>0</v>
      </c>
      <c r="F26" s="534">
        <v>0</v>
      </c>
    </row>
    <row r="27" spans="1:6" ht="15" customHeight="1">
      <c r="A27" s="67" t="s">
        <v>38</v>
      </c>
      <c r="B27" s="388">
        <v>68655</v>
      </c>
      <c r="C27" s="186">
        <v>28580</v>
      </c>
      <c r="D27" s="386">
        <v>61594</v>
      </c>
      <c r="E27" s="536">
        <v>5782</v>
      </c>
      <c r="F27" s="534">
        <v>113428</v>
      </c>
    </row>
    <row r="28" spans="1:6" ht="15" customHeight="1">
      <c r="A28" s="67" t="s">
        <v>39</v>
      </c>
      <c r="B28" s="388">
        <v>40505</v>
      </c>
      <c r="C28" s="386">
        <v>28415</v>
      </c>
      <c r="D28" s="386">
        <v>36054</v>
      </c>
      <c r="E28" s="386">
        <v>16752</v>
      </c>
      <c r="F28" s="386">
        <v>62924</v>
      </c>
    </row>
    <row r="29" spans="1:6" ht="15" customHeight="1">
      <c r="A29" s="67" t="s">
        <v>40</v>
      </c>
      <c r="B29" s="388">
        <v>21404</v>
      </c>
      <c r="C29" s="186">
        <v>17413</v>
      </c>
      <c r="D29" s="386">
        <v>28017</v>
      </c>
      <c r="E29" s="536">
        <v>10555</v>
      </c>
      <c r="F29" s="534">
        <v>51328</v>
      </c>
    </row>
    <row r="30" spans="1:6" ht="15" customHeight="1">
      <c r="A30" s="67" t="s">
        <v>41</v>
      </c>
      <c r="B30" s="388">
        <v>19101</v>
      </c>
      <c r="C30" s="186">
        <v>11002</v>
      </c>
      <c r="D30" s="386">
        <v>8037</v>
      </c>
      <c r="E30" s="536">
        <v>6197</v>
      </c>
      <c r="F30" s="534">
        <v>11596</v>
      </c>
    </row>
    <row r="31" spans="1:6" ht="15" customHeight="1">
      <c r="A31" s="67" t="s">
        <v>42</v>
      </c>
      <c r="B31" s="388">
        <v>70174</v>
      </c>
      <c r="C31" s="186">
        <v>81970</v>
      </c>
      <c r="D31" s="386">
        <v>346767</v>
      </c>
      <c r="E31" s="536">
        <v>18550</v>
      </c>
      <c r="F31" s="534">
        <v>452566</v>
      </c>
    </row>
    <row r="32" spans="1:6" ht="15" customHeight="1">
      <c r="A32" s="67" t="s">
        <v>43</v>
      </c>
      <c r="B32" s="388">
        <v>132647</v>
      </c>
      <c r="C32" s="186">
        <v>95466</v>
      </c>
      <c r="D32" s="386">
        <v>1275750</v>
      </c>
      <c r="E32" s="536">
        <v>218920</v>
      </c>
      <c r="F32" s="534">
        <v>1544670</v>
      </c>
    </row>
    <row r="33" spans="1:6" ht="15" customHeight="1">
      <c r="A33" s="67" t="s">
        <v>44</v>
      </c>
      <c r="B33" s="388">
        <v>823430</v>
      </c>
      <c r="C33" s="186">
        <v>20404</v>
      </c>
      <c r="D33" s="386">
        <v>0</v>
      </c>
      <c r="E33" s="536">
        <v>0</v>
      </c>
      <c r="F33" s="534">
        <v>0</v>
      </c>
    </row>
    <row r="34" spans="1:6" ht="15" customHeight="1">
      <c r="A34" s="67" t="s">
        <v>45</v>
      </c>
      <c r="B34" s="388">
        <v>263923</v>
      </c>
      <c r="C34" s="186">
        <v>1134</v>
      </c>
      <c r="D34" s="386">
        <v>0</v>
      </c>
      <c r="E34" s="536">
        <v>0</v>
      </c>
      <c r="F34" s="534">
        <v>0</v>
      </c>
    </row>
    <row r="35" spans="1:6" ht="15" customHeight="1">
      <c r="A35" s="67" t="s">
        <v>46</v>
      </c>
      <c r="B35" s="388">
        <v>199769</v>
      </c>
      <c r="C35" s="186">
        <v>2712</v>
      </c>
      <c r="D35" s="386">
        <v>0</v>
      </c>
      <c r="E35" s="536">
        <v>0</v>
      </c>
      <c r="F35" s="534">
        <v>0</v>
      </c>
    </row>
    <row r="36" spans="1:6" ht="15" customHeight="1" thickBot="1">
      <c r="A36" s="68" t="s">
        <v>47</v>
      </c>
      <c r="B36" s="389">
        <v>181759</v>
      </c>
      <c r="C36" s="443">
        <v>911</v>
      </c>
      <c r="D36" s="387">
        <v>0</v>
      </c>
      <c r="E36" s="537">
        <v>0</v>
      </c>
      <c r="F36" s="535">
        <v>0</v>
      </c>
    </row>
    <row r="37" spans="1:6" ht="9" customHeight="1">
      <c r="A37" s="449" t="s">
        <v>330</v>
      </c>
      <c r="B37" s="462"/>
      <c r="C37" s="462"/>
      <c r="D37" s="462"/>
      <c r="E37" s="462"/>
      <c r="F37" s="171"/>
    </row>
    <row r="38" spans="1:6" ht="9" customHeight="1">
      <c r="A38" s="449" t="s">
        <v>304</v>
      </c>
      <c r="B38" s="462"/>
      <c r="C38" s="462"/>
      <c r="D38" s="462"/>
      <c r="E38" s="462"/>
      <c r="F38" s="171"/>
    </row>
    <row r="39" spans="1:6" ht="9" customHeight="1">
      <c r="A39" s="451" t="s">
        <v>303</v>
      </c>
      <c r="B39" s="462"/>
      <c r="C39" s="462"/>
      <c r="D39" s="462"/>
      <c r="E39" s="462"/>
      <c r="F39" s="171"/>
    </row>
    <row r="40" spans="1:6" ht="13.25" customHeight="1">
      <c r="A40" s="451"/>
      <c r="B40" s="576"/>
      <c r="C40" s="576"/>
      <c r="D40" s="576"/>
      <c r="E40" s="576"/>
      <c r="F40" s="576"/>
    </row>
    <row r="41" spans="1:6" ht="13.25" customHeight="1">
      <c r="B41" s="71"/>
      <c r="C41" s="71"/>
      <c r="D41" s="71"/>
      <c r="E41" s="71"/>
      <c r="F41" s="71"/>
    </row>
    <row r="42" spans="1:6" ht="13.25" customHeight="1">
      <c r="C42" s="71"/>
      <c r="D42" s="156"/>
      <c r="E42" s="156"/>
      <c r="F42" s="156"/>
    </row>
    <row r="43" spans="1:6" ht="13.25" customHeight="1">
      <c r="A43" s="22"/>
      <c r="B43" s="97"/>
      <c r="C43" s="155"/>
      <c r="D43" s="155"/>
      <c r="E43" s="155"/>
      <c r="F43" s="155"/>
    </row>
    <row r="44" spans="1:6" ht="13.25" customHeight="1">
      <c r="A44" s="30"/>
      <c r="B44" s="97"/>
      <c r="C44" s="155"/>
      <c r="D44" s="155"/>
      <c r="E44" s="155"/>
      <c r="F44" s="155"/>
    </row>
    <row r="45" spans="1:6" ht="13.25" customHeight="1">
      <c r="A45" s="22"/>
      <c r="C45" s="71"/>
      <c r="D45" s="71"/>
      <c r="E45" s="71"/>
      <c r="F45" s="71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theme="9" tint="0.59999389629810485"/>
  </sheetPr>
  <dimension ref="A2:L45"/>
  <sheetViews>
    <sheetView showGridLines="0" zoomScaleNormal="100" workbookViewId="0">
      <selection activeCell="D29" sqref="D29"/>
    </sheetView>
  </sheetViews>
  <sheetFormatPr baseColWidth="10" defaultColWidth="7" defaultRowHeight="13.25" customHeight="1"/>
  <cols>
    <col min="1" max="1" width="17.59765625" style="67" customWidth="1"/>
    <col min="2" max="4" width="13" style="67" customWidth="1"/>
    <col min="5" max="5" width="10.3984375" style="67" customWidth="1"/>
    <col min="6" max="6" width="12.19921875" style="67" customWidth="1"/>
    <col min="7" max="16384" width="7" style="67"/>
  </cols>
  <sheetData>
    <row r="2" spans="1:12" ht="18.75" customHeight="1">
      <c r="A2" s="178" t="s">
        <v>477</v>
      </c>
    </row>
    <row r="3" spans="1:12" ht="12">
      <c r="A3" s="179" t="s">
        <v>210</v>
      </c>
      <c r="B3" s="95"/>
    </row>
    <row r="4" spans="1:12" ht="6" customHeight="1" thickBot="1">
      <c r="A4" s="95"/>
      <c r="B4" s="95"/>
      <c r="C4" s="95"/>
      <c r="D4" s="95"/>
      <c r="E4" s="95"/>
      <c r="F4" s="95"/>
    </row>
    <row r="5" spans="1:12" ht="26" customHeight="1">
      <c r="A5" s="732" t="s">
        <v>16</v>
      </c>
      <c r="B5" s="733" t="s">
        <v>419</v>
      </c>
      <c r="C5" s="734" t="s">
        <v>420</v>
      </c>
      <c r="D5" s="734" t="s">
        <v>421</v>
      </c>
      <c r="E5" s="734" t="s">
        <v>457</v>
      </c>
      <c r="F5" s="733" t="s">
        <v>458</v>
      </c>
    </row>
    <row r="6" spans="1:12" ht="18" customHeight="1">
      <c r="A6" s="619" t="s">
        <v>87</v>
      </c>
      <c r="B6" s="624">
        <f>(B8+B9+B10+B11+B12+B16++B17+B18+B19+B20+B21+B22+B23+B24+B25+B26+B27+B28+B31+B32+B33+B34+B35+B36)</f>
        <v>508591.81465513742</v>
      </c>
      <c r="C6" s="624">
        <f>(C8+C9+C10+C11+C12+C16++C17+C18+C19+C20+C21+C22+C23+C24+C25+C26+C27+C28+C31+C32+C33+C34+C35+C36)</f>
        <v>2228888.971499199</v>
      </c>
      <c r="D6" s="625">
        <f>(D8+D9+D10+D11+D12+D16++D17+D18+D19+D20+D21+D22+D23+D24+D25+D26+D27+D28+D31+D32+D33+D34+D35+D36)</f>
        <v>4615.2265246605402</v>
      </c>
      <c r="E6" s="625">
        <f>(E8+E9+E10+E11+E12+E16++E17+E18+E19+E20+E21+E22+E23+E24+E25+E26+E27+E28+E31+E32+E33+E34+E35+E36)</f>
        <v>712.41002360000005</v>
      </c>
      <c r="F6" s="624">
        <f>(F8+F9+F10+F11+F12+F16++F17+F18+F19+F20+F21+F22+F23+F24+F25+F26+F27+F28+F31+F32+F33+F34+F35+F36)</f>
        <v>8031.463572990885</v>
      </c>
    </row>
    <row r="7" spans="1:12" ht="3" customHeight="1">
      <c r="A7" s="101"/>
      <c r="B7" s="187"/>
      <c r="C7" s="187"/>
      <c r="D7" s="413"/>
      <c r="E7" s="413"/>
      <c r="F7" s="187"/>
    </row>
    <row r="8" spans="1:12" ht="15" customHeight="1">
      <c r="A8" s="67" t="s">
        <v>19</v>
      </c>
      <c r="B8" s="388">
        <v>89.338256279999996</v>
      </c>
      <c r="C8" s="188">
        <v>304.54310000000009</v>
      </c>
      <c r="D8" s="414">
        <v>0</v>
      </c>
      <c r="E8" s="414">
        <v>0</v>
      </c>
      <c r="F8" s="188">
        <v>0</v>
      </c>
      <c r="H8" s="188"/>
      <c r="I8" s="188"/>
      <c r="J8" s="188"/>
      <c r="K8" s="188"/>
      <c r="L8" s="188"/>
    </row>
    <row r="9" spans="1:12" ht="15" customHeight="1">
      <c r="A9" s="67" t="s">
        <v>20</v>
      </c>
      <c r="B9" s="388">
        <v>4570.9358091580007</v>
      </c>
      <c r="C9" s="188">
        <v>44641.051197489345</v>
      </c>
      <c r="D9" s="414">
        <v>0</v>
      </c>
      <c r="E9" s="414">
        <v>0</v>
      </c>
      <c r="F9" s="188">
        <v>24.488000000000003</v>
      </c>
      <c r="H9" s="188"/>
      <c r="I9" s="188"/>
      <c r="J9" s="188"/>
      <c r="K9" s="188"/>
      <c r="L9" s="188"/>
    </row>
    <row r="10" spans="1:12" ht="15" customHeight="1">
      <c r="A10" s="67" t="s">
        <v>21</v>
      </c>
      <c r="B10" s="388">
        <v>6868.3293878559998</v>
      </c>
      <c r="C10" s="188">
        <v>44199.900000000009</v>
      </c>
      <c r="D10" s="414">
        <v>0</v>
      </c>
      <c r="E10" s="414">
        <v>0</v>
      </c>
      <c r="F10" s="188">
        <v>0</v>
      </c>
      <c r="H10" s="188"/>
      <c r="I10" s="188"/>
      <c r="J10" s="188"/>
      <c r="K10" s="188"/>
      <c r="L10" s="188"/>
    </row>
    <row r="11" spans="1:12" ht="15" customHeight="1">
      <c r="A11" s="67" t="s">
        <v>22</v>
      </c>
      <c r="B11" s="388">
        <v>84400.651025231986</v>
      </c>
      <c r="C11" s="188">
        <v>190379.393255</v>
      </c>
      <c r="D11" s="414">
        <v>13.664583300000002</v>
      </c>
      <c r="E11" s="414">
        <v>0</v>
      </c>
      <c r="F11" s="188">
        <v>808.72412999999983</v>
      </c>
      <c r="H11" s="188"/>
      <c r="I11" s="188"/>
      <c r="J11" s="188"/>
      <c r="K11" s="188"/>
      <c r="L11" s="188"/>
    </row>
    <row r="12" spans="1:12" ht="15" customHeight="1">
      <c r="A12" s="67" t="s">
        <v>23</v>
      </c>
      <c r="B12" s="388">
        <v>2004.3168682083997</v>
      </c>
      <c r="C12" s="188">
        <v>382460.41639999999</v>
      </c>
      <c r="D12" s="414">
        <v>0</v>
      </c>
      <c r="E12" s="414">
        <v>0</v>
      </c>
      <c r="F12" s="188">
        <v>206.16449999999998</v>
      </c>
      <c r="H12" s="188"/>
      <c r="I12" s="188"/>
      <c r="J12" s="188"/>
      <c r="K12" s="188"/>
      <c r="L12" s="188"/>
    </row>
    <row r="13" spans="1:12" ht="15" customHeight="1">
      <c r="A13" s="67" t="s">
        <v>24</v>
      </c>
      <c r="B13" s="388">
        <v>1105.7848050899997</v>
      </c>
      <c r="C13" s="188">
        <v>237753.334</v>
      </c>
      <c r="D13" s="414">
        <v>0</v>
      </c>
      <c r="E13" s="414">
        <v>0</v>
      </c>
      <c r="F13" s="188">
        <v>169.58349999999999</v>
      </c>
      <c r="H13" s="188"/>
      <c r="I13" s="188"/>
      <c r="J13" s="188"/>
      <c r="K13" s="188"/>
      <c r="L13" s="188"/>
    </row>
    <row r="14" spans="1:12" ht="15" customHeight="1">
      <c r="A14" s="67" t="s">
        <v>25</v>
      </c>
      <c r="B14" s="388">
        <v>540.65530000000001</v>
      </c>
      <c r="C14" s="188">
        <v>136728.935</v>
      </c>
      <c r="D14" s="414">
        <v>0</v>
      </c>
      <c r="E14" s="414">
        <v>0</v>
      </c>
      <c r="F14" s="188">
        <v>36.581000000000003</v>
      </c>
      <c r="H14" s="188"/>
      <c r="I14" s="188"/>
      <c r="J14" s="188"/>
      <c r="K14" s="188"/>
      <c r="L14" s="188"/>
    </row>
    <row r="15" spans="1:12" ht="15" customHeight="1">
      <c r="A15" s="67" t="s">
        <v>26</v>
      </c>
      <c r="B15" s="388">
        <v>357.87676311840005</v>
      </c>
      <c r="C15" s="188">
        <v>7978.1473999999989</v>
      </c>
      <c r="D15" s="414">
        <v>0</v>
      </c>
      <c r="E15" s="414">
        <v>0</v>
      </c>
      <c r="F15" s="188">
        <v>0</v>
      </c>
      <c r="H15" s="188"/>
      <c r="I15" s="188"/>
      <c r="J15" s="188"/>
      <c r="K15" s="188"/>
      <c r="L15" s="188"/>
    </row>
    <row r="16" spans="1:12" ht="15" customHeight="1">
      <c r="A16" s="67" t="s">
        <v>27</v>
      </c>
      <c r="B16" s="388">
        <v>1250.4236532780001</v>
      </c>
      <c r="C16" s="188">
        <v>107322.84960977701</v>
      </c>
      <c r="D16" s="414">
        <v>0</v>
      </c>
      <c r="E16" s="414">
        <v>0</v>
      </c>
      <c r="F16" s="188">
        <v>3.6548018</v>
      </c>
      <c r="H16" s="188"/>
      <c r="I16" s="188"/>
      <c r="J16" s="188"/>
      <c r="K16" s="188"/>
      <c r="L16" s="188"/>
    </row>
    <row r="17" spans="1:12" ht="15" customHeight="1">
      <c r="A17" s="67" t="s">
        <v>28</v>
      </c>
      <c r="B17" s="388">
        <v>1188.7323413660001</v>
      </c>
      <c r="C17" s="188">
        <v>23049.489518924114</v>
      </c>
      <c r="D17" s="414">
        <v>0</v>
      </c>
      <c r="E17" s="414">
        <v>0</v>
      </c>
      <c r="F17" s="188">
        <v>27.298468390886839</v>
      </c>
      <c r="H17" s="188"/>
      <c r="I17" s="188"/>
      <c r="J17" s="188"/>
      <c r="K17" s="188"/>
      <c r="L17" s="188"/>
    </row>
    <row r="18" spans="1:12" ht="15" customHeight="1">
      <c r="A18" s="67" t="s">
        <v>29</v>
      </c>
      <c r="B18" s="388">
        <v>141289.39729432401</v>
      </c>
      <c r="C18" s="188">
        <v>376115.01201400103</v>
      </c>
      <c r="D18" s="414">
        <v>24.444194399999997</v>
      </c>
      <c r="E18" s="414">
        <v>2.0703816000000002</v>
      </c>
      <c r="F18" s="188">
        <v>108.8006752</v>
      </c>
      <c r="H18" s="188"/>
      <c r="I18" s="188"/>
      <c r="J18" s="188"/>
      <c r="K18" s="188"/>
      <c r="L18" s="188"/>
    </row>
    <row r="19" spans="1:12" ht="15" customHeight="1">
      <c r="A19" s="67" t="s">
        <v>30</v>
      </c>
      <c r="B19" s="388">
        <v>213706.57607922389</v>
      </c>
      <c r="C19" s="188">
        <v>100473.37413791403</v>
      </c>
      <c r="D19" s="414">
        <v>0</v>
      </c>
      <c r="E19" s="414">
        <v>0</v>
      </c>
      <c r="F19" s="188">
        <v>0</v>
      </c>
      <c r="H19" s="188"/>
      <c r="I19" s="188"/>
      <c r="J19" s="188"/>
      <c r="K19" s="188"/>
      <c r="L19" s="188"/>
    </row>
    <row r="20" spans="1:12" ht="15" customHeight="1">
      <c r="A20" s="67" t="s">
        <v>31</v>
      </c>
      <c r="B20" s="388">
        <v>1115.178770105</v>
      </c>
      <c r="C20" s="188">
        <v>63560.028309570007</v>
      </c>
      <c r="D20" s="414">
        <v>12.489115600000002</v>
      </c>
      <c r="E20" s="414">
        <v>0</v>
      </c>
      <c r="F20" s="188">
        <v>150.130696</v>
      </c>
      <c r="H20" s="188"/>
      <c r="I20" s="188"/>
      <c r="J20" s="188"/>
      <c r="K20" s="188"/>
      <c r="L20" s="188"/>
    </row>
    <row r="21" spans="1:12" ht="15" customHeight="1">
      <c r="A21" s="67" t="s">
        <v>32</v>
      </c>
      <c r="B21" s="388">
        <v>135.009772</v>
      </c>
      <c r="C21" s="188">
        <v>40334.379826465309</v>
      </c>
      <c r="D21" s="414">
        <v>307.60074814054053</v>
      </c>
      <c r="E21" s="414">
        <v>17.417290000000001</v>
      </c>
      <c r="F21" s="188">
        <v>767.86963500000002</v>
      </c>
      <c r="H21" s="188"/>
      <c r="I21" s="188"/>
      <c r="J21" s="188"/>
      <c r="K21" s="188"/>
      <c r="L21" s="188"/>
    </row>
    <row r="22" spans="1:12" ht="15" customHeight="1">
      <c r="A22" s="67" t="s">
        <v>33</v>
      </c>
      <c r="B22" s="388">
        <v>946.72897209600001</v>
      </c>
      <c r="C22" s="188">
        <v>62699.645392200007</v>
      </c>
      <c r="D22" s="414">
        <v>219.17725200000001</v>
      </c>
      <c r="E22" s="414">
        <v>109.39471200000001</v>
      </c>
      <c r="F22" s="188">
        <v>1588.5212615999992</v>
      </c>
      <c r="H22" s="188"/>
      <c r="I22" s="188"/>
      <c r="J22" s="188"/>
      <c r="K22" s="188"/>
      <c r="L22" s="188"/>
    </row>
    <row r="23" spans="1:12" ht="15" customHeight="1">
      <c r="A23" s="67" t="s">
        <v>34</v>
      </c>
      <c r="B23" s="388">
        <v>523.71469963000004</v>
      </c>
      <c r="C23" s="188">
        <v>21368.798900000005</v>
      </c>
      <c r="D23" s="414">
        <v>90.448800000000006</v>
      </c>
      <c r="E23" s="414">
        <v>11.11857</v>
      </c>
      <c r="F23" s="188">
        <v>186.863</v>
      </c>
      <c r="H23" s="188"/>
      <c r="I23" s="188"/>
      <c r="J23" s="188"/>
      <c r="K23" s="188"/>
      <c r="L23" s="188"/>
    </row>
    <row r="24" spans="1:12" ht="15" customHeight="1">
      <c r="A24" s="67" t="s">
        <v>35</v>
      </c>
      <c r="B24" s="388">
        <v>17512.274342921999</v>
      </c>
      <c r="C24" s="188">
        <v>332029.90457280003</v>
      </c>
      <c r="D24" s="414">
        <v>134.70536999999999</v>
      </c>
      <c r="E24" s="414">
        <v>37.665970000000002</v>
      </c>
      <c r="F24" s="188">
        <v>56.935704999999984</v>
      </c>
      <c r="H24" s="188"/>
      <c r="I24" s="188"/>
      <c r="J24" s="188"/>
      <c r="K24" s="188"/>
      <c r="L24" s="188"/>
    </row>
    <row r="25" spans="1:12" ht="15" customHeight="1">
      <c r="A25" s="67" t="s">
        <v>36</v>
      </c>
      <c r="B25" s="388">
        <v>294.73679031000006</v>
      </c>
      <c r="C25" s="188">
        <v>18005.487006039926</v>
      </c>
      <c r="D25" s="414">
        <v>58.191819219999999</v>
      </c>
      <c r="E25" s="414">
        <v>8.1539999999999999</v>
      </c>
      <c r="F25" s="188">
        <v>4.4977599999999995</v>
      </c>
      <c r="H25" s="188"/>
      <c r="I25" s="188"/>
      <c r="J25" s="188"/>
      <c r="K25" s="188"/>
      <c r="L25" s="188"/>
    </row>
    <row r="26" spans="1:12" ht="15" customHeight="1">
      <c r="A26" s="67" t="s">
        <v>37</v>
      </c>
      <c r="B26" s="388">
        <v>4864.4070147150005</v>
      </c>
      <c r="C26" s="188">
        <v>23549.507500000003</v>
      </c>
      <c r="D26" s="414">
        <v>131.70804200000001</v>
      </c>
      <c r="E26" s="414">
        <v>0</v>
      </c>
      <c r="F26" s="188">
        <v>0</v>
      </c>
      <c r="H26" s="188"/>
      <c r="I26" s="188"/>
      <c r="J26" s="188"/>
      <c r="K26" s="188"/>
      <c r="L26" s="188"/>
    </row>
    <row r="27" spans="1:12" ht="15" customHeight="1">
      <c r="A27" s="67" t="s">
        <v>38</v>
      </c>
      <c r="B27" s="388">
        <v>697.09225719400001</v>
      </c>
      <c r="C27" s="188">
        <v>45341.14910000001</v>
      </c>
      <c r="D27" s="414">
        <v>106.8967</v>
      </c>
      <c r="E27" s="414">
        <v>9.3288000000000011</v>
      </c>
      <c r="F27" s="188">
        <v>152.16434000000001</v>
      </c>
      <c r="H27" s="188"/>
      <c r="I27" s="188"/>
      <c r="J27" s="188"/>
      <c r="K27" s="188"/>
      <c r="L27" s="188"/>
    </row>
    <row r="28" spans="1:12" ht="15" customHeight="1">
      <c r="A28" s="67" t="s">
        <v>39</v>
      </c>
      <c r="B28" s="388">
        <v>412.87884644999997</v>
      </c>
      <c r="C28" s="188">
        <v>31713.832799999996</v>
      </c>
      <c r="D28" s="414">
        <v>68.480900000000005</v>
      </c>
      <c r="E28" s="414">
        <v>29.648499999999995</v>
      </c>
      <c r="F28" s="188">
        <v>112.44030000000001</v>
      </c>
      <c r="H28" s="188"/>
      <c r="I28" s="188"/>
      <c r="J28" s="188"/>
      <c r="K28" s="188"/>
      <c r="L28" s="188"/>
    </row>
    <row r="29" spans="1:12" ht="15" customHeight="1">
      <c r="A29" s="67" t="s">
        <v>40</v>
      </c>
      <c r="B29" s="388">
        <v>212.77672050999999</v>
      </c>
      <c r="C29" s="188">
        <v>17440.935999999998</v>
      </c>
      <c r="D29" s="414">
        <v>54.577200000000005</v>
      </c>
      <c r="E29" s="414">
        <v>18.118599999999997</v>
      </c>
      <c r="F29" s="188">
        <v>93.203500000000005</v>
      </c>
      <c r="H29" s="188"/>
      <c r="I29" s="188"/>
      <c r="J29" s="188"/>
      <c r="K29" s="188"/>
      <c r="L29" s="188"/>
    </row>
    <row r="30" spans="1:12" ht="15" customHeight="1">
      <c r="A30" s="67" t="s">
        <v>41</v>
      </c>
      <c r="B30" s="388">
        <v>200.10212594000001</v>
      </c>
      <c r="C30" s="188">
        <v>14272.8968</v>
      </c>
      <c r="D30" s="414">
        <v>13.903699999999999</v>
      </c>
      <c r="E30" s="414">
        <v>11.529899999999998</v>
      </c>
      <c r="F30" s="188">
        <v>19.236799999999999</v>
      </c>
      <c r="H30" s="188"/>
      <c r="I30" s="188"/>
      <c r="J30" s="188"/>
      <c r="K30" s="188"/>
      <c r="L30" s="188"/>
    </row>
    <row r="31" spans="1:12" ht="15" customHeight="1">
      <c r="A31" s="67" t="s">
        <v>42</v>
      </c>
      <c r="B31" s="388">
        <v>711.23851061999994</v>
      </c>
      <c r="C31" s="188">
        <v>136716.49099999998</v>
      </c>
      <c r="D31" s="414">
        <v>693.25600000000009</v>
      </c>
      <c r="E31" s="414">
        <v>36.977400000000003</v>
      </c>
      <c r="F31" s="188">
        <v>720.89069999999992</v>
      </c>
      <c r="H31" s="188"/>
      <c r="I31" s="188"/>
      <c r="J31" s="188"/>
      <c r="K31" s="188"/>
      <c r="L31" s="188"/>
    </row>
    <row r="32" spans="1:12" ht="15" customHeight="1">
      <c r="A32" s="67" t="s">
        <v>43</v>
      </c>
      <c r="B32" s="388">
        <v>1477.8238393470001</v>
      </c>
      <c r="C32" s="188">
        <v>144317.2885</v>
      </c>
      <c r="D32" s="414">
        <v>2754.1629999999996</v>
      </c>
      <c r="E32" s="414">
        <v>450.63440000000003</v>
      </c>
      <c r="F32" s="188">
        <v>3112.0195999999996</v>
      </c>
      <c r="H32" s="188"/>
      <c r="I32" s="188"/>
      <c r="J32" s="188"/>
      <c r="K32" s="188"/>
      <c r="L32" s="188"/>
    </row>
    <row r="33" spans="1:12" ht="15" customHeight="1">
      <c r="A33" s="67" t="s">
        <v>44</v>
      </c>
      <c r="B33" s="388">
        <v>13750.533072883998</v>
      </c>
      <c r="C33" s="188">
        <v>34002.146437787851</v>
      </c>
      <c r="D33" s="414">
        <v>0</v>
      </c>
      <c r="E33" s="414">
        <v>0</v>
      </c>
      <c r="F33" s="188">
        <v>0</v>
      </c>
      <c r="H33" s="188"/>
      <c r="I33" s="188"/>
      <c r="J33" s="188"/>
      <c r="K33" s="188"/>
      <c r="L33" s="188"/>
    </row>
    <row r="34" spans="1:12" ht="15" customHeight="1">
      <c r="A34" s="67" t="s">
        <v>45</v>
      </c>
      <c r="B34" s="388">
        <v>4526.1354439939996</v>
      </c>
      <c r="C34" s="188">
        <v>1314.6712127999999</v>
      </c>
      <c r="D34" s="414">
        <v>0</v>
      </c>
      <c r="E34" s="414">
        <v>0</v>
      </c>
      <c r="F34" s="188">
        <v>0</v>
      </c>
      <c r="H34" s="188"/>
      <c r="I34" s="188"/>
      <c r="J34" s="188"/>
      <c r="K34" s="188"/>
      <c r="L34" s="188"/>
    </row>
    <row r="35" spans="1:12" ht="15" customHeight="1">
      <c r="A35" s="67" t="s">
        <v>46</v>
      </c>
      <c r="B35" s="388">
        <v>3222.0109605439998</v>
      </c>
      <c r="C35" s="188">
        <v>3633.66514663</v>
      </c>
      <c r="D35" s="414">
        <v>0</v>
      </c>
      <c r="E35" s="414">
        <v>0</v>
      </c>
      <c r="F35" s="188">
        <v>0</v>
      </c>
      <c r="H35" s="188"/>
      <c r="I35" s="188"/>
      <c r="J35" s="188"/>
      <c r="K35" s="188"/>
      <c r="L35" s="188"/>
    </row>
    <row r="36" spans="1:12" ht="15" customHeight="1" thickBot="1">
      <c r="A36" s="68" t="s">
        <v>47</v>
      </c>
      <c r="B36" s="389">
        <v>3033.3506474000001</v>
      </c>
      <c r="C36" s="445">
        <v>1355.9465618009999</v>
      </c>
      <c r="D36" s="444">
        <v>0</v>
      </c>
      <c r="E36" s="444">
        <v>0</v>
      </c>
      <c r="F36" s="445">
        <v>0</v>
      </c>
      <c r="H36" s="188"/>
      <c r="I36" s="188"/>
      <c r="J36" s="188"/>
      <c r="K36" s="188"/>
      <c r="L36" s="188"/>
    </row>
    <row r="37" spans="1:12" ht="9" customHeight="1">
      <c r="A37" s="449" t="s">
        <v>330</v>
      </c>
      <c r="B37" s="465"/>
      <c r="C37" s="462"/>
      <c r="D37" s="462"/>
      <c r="E37" s="171"/>
      <c r="F37" s="171"/>
    </row>
    <row r="38" spans="1:12" ht="9" customHeight="1">
      <c r="A38" s="449" t="s">
        <v>304</v>
      </c>
      <c r="B38" s="465"/>
      <c r="C38" s="464"/>
      <c r="D38" s="464"/>
      <c r="E38" s="173"/>
      <c r="F38" s="173"/>
    </row>
    <row r="39" spans="1:12" ht="9" customHeight="1">
      <c r="A39" s="451" t="s">
        <v>303</v>
      </c>
      <c r="B39" s="468"/>
      <c r="C39" s="464"/>
      <c r="D39" s="464"/>
      <c r="E39" s="173"/>
      <c r="F39" s="173"/>
    </row>
    <row r="40" spans="1:12" ht="13.25" customHeight="1">
      <c r="A40" s="451"/>
      <c r="B40" s="576"/>
      <c r="C40" s="576"/>
      <c r="D40" s="576"/>
      <c r="E40" s="576"/>
      <c r="F40" s="576"/>
    </row>
    <row r="43" spans="1:12" ht="13.25" customHeight="1">
      <c r="A43" s="22"/>
    </row>
    <row r="44" spans="1:12" ht="13.25" customHeight="1">
      <c r="A44" s="30"/>
    </row>
    <row r="45" spans="1:12" ht="13.25" customHeight="1">
      <c r="A45" s="22"/>
    </row>
  </sheetData>
  <printOptions horizontalCentered="1" verticalCentered="1"/>
  <pageMargins left="0" right="0" top="0" bottom="0" header="0" footer="0"/>
  <pageSetup paperSize="8" orientation="portrait" r:id="rId1"/>
  <headerFooter scaleWithDoc="0"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theme="9" tint="0.59999389629810485"/>
  </sheetPr>
  <dimension ref="A1:K45"/>
  <sheetViews>
    <sheetView showGridLines="0" zoomScaleNormal="100" workbookViewId="0">
      <selection activeCell="D31" sqref="D31"/>
    </sheetView>
  </sheetViews>
  <sheetFormatPr baseColWidth="10" defaultColWidth="7" defaultRowHeight="13.25" customHeight="1"/>
  <cols>
    <col min="1" max="1" width="14.59765625" style="67" customWidth="1"/>
    <col min="2" max="6" width="13" style="67" customWidth="1"/>
    <col min="7" max="16384" width="7" style="67"/>
  </cols>
  <sheetData>
    <row r="1" spans="1:11" ht="13.25" customHeight="1">
      <c r="A1" s="101"/>
      <c r="B1" s="101"/>
    </row>
    <row r="2" spans="1:11" ht="21.75" customHeight="1">
      <c r="A2" s="178" t="s">
        <v>478</v>
      </c>
      <c r="B2" s="101"/>
    </row>
    <row r="3" spans="1:11" ht="13.25" customHeight="1">
      <c r="A3" s="182" t="s">
        <v>325</v>
      </c>
      <c r="B3" s="96"/>
      <c r="C3" s="95"/>
      <c r="D3" s="95"/>
      <c r="E3" s="95"/>
      <c r="F3" s="95"/>
    </row>
    <row r="4" spans="1:11" ht="5" customHeight="1" thickBot="1"/>
    <row r="5" spans="1:11" ht="26" customHeight="1">
      <c r="A5" s="732" t="s">
        <v>16</v>
      </c>
      <c r="B5" s="733" t="s">
        <v>419</v>
      </c>
      <c r="C5" s="734" t="s">
        <v>420</v>
      </c>
      <c r="D5" s="734" t="s">
        <v>418</v>
      </c>
      <c r="E5" s="734" t="s">
        <v>448</v>
      </c>
      <c r="F5" s="733" t="s">
        <v>449</v>
      </c>
    </row>
    <row r="6" spans="1:11" ht="18" customHeight="1">
      <c r="A6" s="619" t="s">
        <v>87</v>
      </c>
      <c r="B6" s="626">
        <v>18.309997875534901</v>
      </c>
      <c r="C6" s="624">
        <v>2386.6284266342072</v>
      </c>
      <c r="D6" s="993">
        <v>2.1777527754535853</v>
      </c>
      <c r="E6" s="993">
        <v>2.1187608326220335</v>
      </c>
      <c r="F6" s="993">
        <v>1.8948552465415964</v>
      </c>
    </row>
    <row r="7" spans="1:11" ht="5" customHeight="1">
      <c r="A7" s="101"/>
      <c r="B7" s="538"/>
      <c r="C7" s="187"/>
      <c r="D7" s="994"/>
      <c r="E7" s="994"/>
      <c r="F7" s="994"/>
    </row>
    <row r="8" spans="1:11" ht="15" customHeight="1">
      <c r="A8" s="67" t="s">
        <v>19</v>
      </c>
      <c r="B8" s="539">
        <v>12.84610821749629</v>
      </c>
      <c r="C8" s="188">
        <v>968.85397667020186</v>
      </c>
      <c r="D8" s="995">
        <v>0</v>
      </c>
      <c r="E8" s="995">
        <v>0</v>
      </c>
      <c r="F8" s="995">
        <v>0</v>
      </c>
      <c r="K8" s="931"/>
    </row>
    <row r="9" spans="1:11" ht="15" customHeight="1">
      <c r="A9" s="67" t="s">
        <v>20</v>
      </c>
      <c r="B9" s="539">
        <v>13.421106948890388</v>
      </c>
      <c r="C9" s="188">
        <v>1739.0294265433567</v>
      </c>
      <c r="D9" s="995">
        <v>0</v>
      </c>
      <c r="E9" s="995">
        <v>0</v>
      </c>
      <c r="F9" s="995">
        <v>1.1108691707494105</v>
      </c>
    </row>
    <row r="10" spans="1:11" ht="15" customHeight="1">
      <c r="A10" s="67" t="s">
        <v>21</v>
      </c>
      <c r="B10" s="539">
        <v>15.828369369128355</v>
      </c>
      <c r="C10" s="188">
        <v>2433.3568839748596</v>
      </c>
      <c r="D10" s="995">
        <v>0</v>
      </c>
      <c r="E10" s="995">
        <v>0</v>
      </c>
      <c r="F10" s="995">
        <v>0</v>
      </c>
    </row>
    <row r="11" spans="1:11" ht="15" customHeight="1">
      <c r="A11" s="67" t="s">
        <v>22</v>
      </c>
      <c r="B11" s="539">
        <v>18.110509492720311</v>
      </c>
      <c r="C11" s="188">
        <v>3252.4999595101931</v>
      </c>
      <c r="D11" s="995">
        <v>3.4419605289672548</v>
      </c>
      <c r="E11" s="995">
        <v>0</v>
      </c>
      <c r="F11" s="995">
        <v>3.0310294773532216</v>
      </c>
    </row>
    <row r="12" spans="1:11" ht="15" customHeight="1">
      <c r="A12" s="67" t="s">
        <v>23</v>
      </c>
      <c r="B12" s="539">
        <v>9.1240320870795326</v>
      </c>
      <c r="C12" s="188">
        <v>2243.2123568337815</v>
      </c>
      <c r="D12" s="995">
        <v>0</v>
      </c>
      <c r="E12" s="995">
        <v>0</v>
      </c>
      <c r="F12" s="995">
        <v>1.5803301634413283</v>
      </c>
    </row>
    <row r="13" spans="1:11" ht="15" customHeight="1">
      <c r="A13" s="67" t="s">
        <v>24</v>
      </c>
      <c r="B13" s="539">
        <v>8.8736869130959413</v>
      </c>
      <c r="C13" s="188">
        <v>2390.8984624048435</v>
      </c>
      <c r="D13" s="995">
        <v>0</v>
      </c>
      <c r="E13" s="995">
        <v>0</v>
      </c>
      <c r="F13" s="995">
        <v>1.6387950978250994</v>
      </c>
    </row>
    <row r="14" spans="1:11" ht="15" customHeight="1">
      <c r="A14" s="67" t="s">
        <v>25</v>
      </c>
      <c r="B14" s="539">
        <v>10.706639642737438</v>
      </c>
      <c r="C14" s="188">
        <v>2097.4421836190222</v>
      </c>
      <c r="D14" s="995">
        <v>0</v>
      </c>
      <c r="E14" s="995">
        <v>0</v>
      </c>
      <c r="F14" s="995">
        <v>1.3560572360616847</v>
      </c>
    </row>
    <row r="15" spans="1:11" ht="15" customHeight="1">
      <c r="A15" s="67" t="s">
        <v>26</v>
      </c>
      <c r="B15" s="539">
        <v>8.030740262457261</v>
      </c>
      <c r="C15" s="188">
        <v>1359.7569707987727</v>
      </c>
      <c r="D15" s="995">
        <v>0</v>
      </c>
      <c r="E15" s="995">
        <v>0</v>
      </c>
      <c r="F15" s="995">
        <v>0</v>
      </c>
    </row>
    <row r="16" spans="1:11" ht="15" customHeight="1">
      <c r="A16" s="67" t="s">
        <v>27</v>
      </c>
      <c r="B16" s="539">
        <v>11.355054320984962</v>
      </c>
      <c r="C16" s="188">
        <v>1318.4193344580481</v>
      </c>
      <c r="D16" s="995">
        <v>0</v>
      </c>
      <c r="E16" s="995">
        <v>0</v>
      </c>
      <c r="F16" s="995">
        <v>0.67681514814814814</v>
      </c>
    </row>
    <row r="17" spans="1:6" ht="15" customHeight="1">
      <c r="A17" s="67" t="s">
        <v>28</v>
      </c>
      <c r="B17" s="539">
        <v>10.986827080323303</v>
      </c>
      <c r="C17" s="188">
        <v>1156.1162421088486</v>
      </c>
      <c r="D17" s="995">
        <v>0</v>
      </c>
      <c r="E17" s="995">
        <v>0</v>
      </c>
      <c r="F17" s="995">
        <v>2.1321724876678609</v>
      </c>
    </row>
    <row r="18" spans="1:6" ht="15" customHeight="1">
      <c r="A18" s="67" t="s">
        <v>29</v>
      </c>
      <c r="B18" s="539">
        <v>18.620264152289998</v>
      </c>
      <c r="C18" s="188">
        <v>5058.7653309744483</v>
      </c>
      <c r="D18" s="995">
        <v>1.6122011871784723</v>
      </c>
      <c r="E18" s="995">
        <v>1.5637323262839882</v>
      </c>
      <c r="F18" s="995">
        <v>1.3638271560369035</v>
      </c>
    </row>
    <row r="19" spans="1:6" ht="15" customHeight="1">
      <c r="A19" s="67" t="s">
        <v>30</v>
      </c>
      <c r="B19" s="539">
        <v>19.682735288234117</v>
      </c>
      <c r="C19" s="188">
        <v>5083.6344111370727</v>
      </c>
      <c r="D19" s="995">
        <v>0</v>
      </c>
      <c r="E19" s="995">
        <v>0</v>
      </c>
      <c r="F19" s="995">
        <v>0</v>
      </c>
    </row>
    <row r="20" spans="1:6" ht="15" customHeight="1">
      <c r="A20" s="67" t="s">
        <v>31</v>
      </c>
      <c r="B20" s="539">
        <v>10.728067069396515</v>
      </c>
      <c r="C20" s="188">
        <v>1496.6687199572227</v>
      </c>
      <c r="D20" s="995">
        <v>2.3966830934561512</v>
      </c>
      <c r="E20" s="995">
        <v>0</v>
      </c>
      <c r="F20" s="995">
        <v>1.6892912953461157</v>
      </c>
    </row>
    <row r="21" spans="1:6" ht="15" customHeight="1">
      <c r="A21" s="67" t="s">
        <v>32</v>
      </c>
      <c r="B21" s="539">
        <v>10.556314490943452</v>
      </c>
      <c r="C21" s="188">
        <v>1240.8514670892905</v>
      </c>
      <c r="D21" s="995">
        <v>3.2823700888941825</v>
      </c>
      <c r="E21" s="995">
        <v>2.2255673396371076</v>
      </c>
      <c r="F21" s="995">
        <v>1.8429431494717439</v>
      </c>
    </row>
    <row r="22" spans="1:6" ht="15" customHeight="1">
      <c r="A22" s="67" t="s">
        <v>33</v>
      </c>
      <c r="B22" s="539">
        <v>9.4348289913252312</v>
      </c>
      <c r="C22" s="188">
        <v>1496.3044505691719</v>
      </c>
      <c r="D22" s="995">
        <v>2.5232521556934482</v>
      </c>
      <c r="E22" s="995">
        <v>2.8015445605408731</v>
      </c>
      <c r="F22" s="995">
        <v>1.8059443155863917</v>
      </c>
    </row>
    <row r="23" spans="1:6" ht="15" customHeight="1">
      <c r="A23" s="67" t="s">
        <v>34</v>
      </c>
      <c r="B23" s="539">
        <v>10.14882823400915</v>
      </c>
      <c r="C23" s="188">
        <v>1676.9377803064492</v>
      </c>
      <c r="D23" s="995">
        <v>1.8050049890241469</v>
      </c>
      <c r="E23" s="995">
        <v>1.8356562654779593</v>
      </c>
      <c r="F23" s="995">
        <v>1.5380126489344541</v>
      </c>
    </row>
    <row r="24" spans="1:6" ht="15" customHeight="1">
      <c r="A24" s="67" t="s">
        <v>35</v>
      </c>
      <c r="B24" s="539">
        <v>16.15962716645598</v>
      </c>
      <c r="C24" s="188">
        <v>5121.3167885058392</v>
      </c>
      <c r="D24" s="995">
        <v>1.9800004409624741</v>
      </c>
      <c r="E24" s="995">
        <v>2.1214288932695018</v>
      </c>
      <c r="F24" s="995">
        <v>1.4861063113384838</v>
      </c>
    </row>
    <row r="25" spans="1:6" ht="15" customHeight="1">
      <c r="A25" s="67" t="s">
        <v>36</v>
      </c>
      <c r="B25" s="539">
        <v>15.940790769487185</v>
      </c>
      <c r="C25" s="188">
        <v>3119.4874908075935</v>
      </c>
      <c r="D25" s="995">
        <v>2.2447949396289006</v>
      </c>
      <c r="E25" s="995">
        <v>1.9299408284023669</v>
      </c>
      <c r="F25" s="995">
        <v>1.6421175611537056</v>
      </c>
    </row>
    <row r="26" spans="1:6" ht="15" customHeight="1">
      <c r="A26" s="67" t="s">
        <v>37</v>
      </c>
      <c r="B26" s="539">
        <v>16.229851514460286</v>
      </c>
      <c r="C26" s="188">
        <v>4313.2249815127279</v>
      </c>
      <c r="D26" s="995">
        <v>2.6283259563768437</v>
      </c>
      <c r="E26" s="995">
        <v>0</v>
      </c>
      <c r="F26" s="995">
        <v>0</v>
      </c>
    </row>
    <row r="27" spans="1:6" ht="15" customHeight="1">
      <c r="A27" s="67" t="s">
        <v>38</v>
      </c>
      <c r="B27" s="539">
        <v>10.153503013801563</v>
      </c>
      <c r="C27" s="188">
        <v>1586.4522522280859</v>
      </c>
      <c r="D27" s="995">
        <v>1.7355050816637985</v>
      </c>
      <c r="E27" s="995">
        <v>1.6134209616049811</v>
      </c>
      <c r="F27" s="995">
        <v>1.3415059773600877</v>
      </c>
    </row>
    <row r="28" spans="1:6" ht="15" customHeight="1">
      <c r="A28" s="67" t="s">
        <v>39</v>
      </c>
      <c r="B28" s="539">
        <v>10.193282849964721</v>
      </c>
      <c r="C28" s="188">
        <v>1116.0980400552526</v>
      </c>
      <c r="D28" s="995">
        <v>1.8993981250346703</v>
      </c>
      <c r="E28" s="995">
        <v>1.7698483763132757</v>
      </c>
      <c r="F28" s="995">
        <v>1.7869223189879855</v>
      </c>
    </row>
    <row r="29" spans="1:6" ht="15" customHeight="1">
      <c r="A29" s="67" t="s">
        <v>40</v>
      </c>
      <c r="B29" s="539">
        <v>9.9407854922366568</v>
      </c>
      <c r="C29" s="188">
        <v>1001.6234924767409</v>
      </c>
      <c r="D29" s="995">
        <v>1.9480029981796769</v>
      </c>
      <c r="E29" s="995">
        <v>1.7165892941733771</v>
      </c>
      <c r="F29" s="995">
        <v>1.8158412562344139</v>
      </c>
    </row>
    <row r="30" spans="1:6" ht="15" customHeight="1">
      <c r="A30" s="67" t="s">
        <v>41</v>
      </c>
      <c r="B30" s="539">
        <v>10.476235520308554</v>
      </c>
      <c r="C30" s="188">
        <v>1297.2707218977937</v>
      </c>
      <c r="D30" s="995">
        <v>1.7299614283936791</v>
      </c>
      <c r="E30" s="995">
        <v>1.8605615620461511</v>
      </c>
      <c r="F30" s="995">
        <v>1.6589168678854775</v>
      </c>
    </row>
    <row r="31" spans="1:6" ht="15" customHeight="1">
      <c r="A31" s="67" t="s">
        <v>42</v>
      </c>
      <c r="B31" s="539">
        <v>10.1354008870839</v>
      </c>
      <c r="C31" s="188">
        <v>1667.8817691321715</v>
      </c>
      <c r="D31" s="995">
        <v>1.9991983089509675</v>
      </c>
      <c r="E31" s="995">
        <v>1.9933908355795151</v>
      </c>
      <c r="F31" s="995">
        <v>1.592896284740789</v>
      </c>
    </row>
    <row r="32" spans="1:6" ht="15" customHeight="1">
      <c r="A32" s="67" t="s">
        <v>43</v>
      </c>
      <c r="B32" s="539">
        <v>11.141053792947876</v>
      </c>
      <c r="C32" s="188">
        <v>1511.7100388880885</v>
      </c>
      <c r="D32" s="995">
        <v>2.1588579267097781</v>
      </c>
      <c r="E32" s="995">
        <v>2.05844326694683</v>
      </c>
      <c r="F32" s="995">
        <v>2.0146824888163812</v>
      </c>
    </row>
    <row r="33" spans="1:6" ht="15" customHeight="1">
      <c r="A33" s="67" t="s">
        <v>44</v>
      </c>
      <c r="B33" s="539">
        <v>16.699099097173921</v>
      </c>
      <c r="C33" s="188">
        <v>1666.4225448373536</v>
      </c>
      <c r="D33" s="995">
        <v>0</v>
      </c>
      <c r="E33" s="995">
        <v>0</v>
      </c>
      <c r="F33" s="995">
        <v>0</v>
      </c>
    </row>
    <row r="34" spans="1:6" ht="15" customHeight="1">
      <c r="A34" s="67" t="s">
        <v>45</v>
      </c>
      <c r="B34" s="539">
        <v>17.149470863099964</v>
      </c>
      <c r="C34" s="188">
        <v>1159.1516938721527</v>
      </c>
      <c r="D34" s="995">
        <v>0</v>
      </c>
      <c r="E34" s="995">
        <v>0</v>
      </c>
      <c r="F34" s="995">
        <v>0</v>
      </c>
    </row>
    <row r="35" spans="1:6" ht="15" customHeight="1">
      <c r="A35" s="67" t="s">
        <v>46</v>
      </c>
      <c r="B35" s="539">
        <v>16.128698071673671</v>
      </c>
      <c r="C35" s="188">
        <v>1340.0940979642264</v>
      </c>
      <c r="D35" s="995">
        <v>0</v>
      </c>
      <c r="E35" s="995">
        <v>0</v>
      </c>
      <c r="F35" s="995">
        <v>0</v>
      </c>
    </row>
    <row r="36" spans="1:6" ht="15" customHeight="1" thickBot="1">
      <c r="A36" s="68" t="s">
        <v>47</v>
      </c>
      <c r="B36" s="540">
        <v>16.688829598366468</v>
      </c>
      <c r="C36" s="445">
        <v>1489.2329069752884</v>
      </c>
      <c r="D36" s="996">
        <v>0</v>
      </c>
      <c r="E36" s="996">
        <v>0</v>
      </c>
      <c r="F36" s="996">
        <v>0</v>
      </c>
    </row>
    <row r="37" spans="1:6" ht="9" customHeight="1">
      <c r="A37" s="449" t="s">
        <v>330</v>
      </c>
      <c r="B37" s="468"/>
      <c r="C37" s="466"/>
      <c r="D37" s="466"/>
      <c r="E37" s="181"/>
      <c r="F37" s="181"/>
    </row>
    <row r="38" spans="1:6" ht="9" customHeight="1">
      <c r="A38" s="449" t="s">
        <v>304</v>
      </c>
      <c r="B38" s="464"/>
      <c r="C38" s="462"/>
      <c r="D38" s="462"/>
      <c r="E38" s="171"/>
      <c r="F38" s="171"/>
    </row>
    <row r="39" spans="1:6" ht="9" customHeight="1">
      <c r="A39" s="451" t="s">
        <v>303</v>
      </c>
      <c r="B39" s="464"/>
      <c r="C39" s="464"/>
      <c r="D39" s="464"/>
      <c r="E39" s="173"/>
    </row>
    <row r="40" spans="1:6" ht="13.25" customHeight="1">
      <c r="A40" s="11"/>
    </row>
    <row r="43" spans="1:6" ht="13.25" customHeight="1">
      <c r="A43" s="22"/>
    </row>
    <row r="44" spans="1:6" ht="13.25" customHeight="1">
      <c r="A44" s="30"/>
    </row>
    <row r="45" spans="1:6" ht="13.25" customHeight="1">
      <c r="A45" s="22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4">
    <tabColor theme="9" tint="0.59999389629810485"/>
  </sheetPr>
  <dimension ref="A2:O37"/>
  <sheetViews>
    <sheetView showGridLines="0" zoomScaleNormal="100" workbookViewId="0">
      <selection activeCell="E26" sqref="E26"/>
    </sheetView>
  </sheetViews>
  <sheetFormatPr baseColWidth="10" defaultColWidth="7" defaultRowHeight="13.25" customHeight="1"/>
  <cols>
    <col min="1" max="1" width="1" style="67" customWidth="1"/>
    <col min="2" max="2" width="16.796875" style="67" customWidth="1"/>
    <col min="3" max="3" width="8.796875" style="67" customWidth="1"/>
    <col min="4" max="15" width="8.19921875" style="67" customWidth="1"/>
    <col min="16" max="16384" width="7" style="67"/>
  </cols>
  <sheetData>
    <row r="2" spans="1:15" ht="18.75" customHeight="1">
      <c r="A2" s="189" t="s">
        <v>479</v>
      </c>
      <c r="B2" s="177"/>
      <c r="C2" s="177"/>
    </row>
    <row r="3" spans="1:15" ht="13.25" customHeight="1">
      <c r="A3" s="179" t="s">
        <v>210</v>
      </c>
      <c r="B3" s="177"/>
      <c r="C3" s="177"/>
    </row>
    <row r="4" spans="1:15" ht="6" customHeight="1" thickBot="1"/>
    <row r="5" spans="1:15" ht="18" customHeight="1">
      <c r="A5" s="1018" t="s">
        <v>74</v>
      </c>
      <c r="B5" s="1018"/>
      <c r="C5" s="732" t="s">
        <v>52</v>
      </c>
      <c r="D5" s="730" t="s">
        <v>53</v>
      </c>
      <c r="E5" s="730" t="s">
        <v>54</v>
      </c>
      <c r="F5" s="730" t="s">
        <v>55</v>
      </c>
      <c r="G5" s="730" t="s">
        <v>56</v>
      </c>
      <c r="H5" s="730" t="s">
        <v>57</v>
      </c>
      <c r="I5" s="730" t="s">
        <v>58</v>
      </c>
      <c r="J5" s="730" t="s">
        <v>59</v>
      </c>
      <c r="K5" s="730" t="s">
        <v>60</v>
      </c>
      <c r="L5" s="730" t="s">
        <v>61</v>
      </c>
      <c r="M5" s="730" t="s">
        <v>62</v>
      </c>
      <c r="N5" s="730" t="s">
        <v>63</v>
      </c>
      <c r="O5" s="730" t="s">
        <v>64</v>
      </c>
    </row>
    <row r="6" spans="1:15" ht="6" customHeight="1">
      <c r="A6" s="823"/>
      <c r="B6" s="823"/>
      <c r="C6" s="823"/>
      <c r="D6" s="824"/>
      <c r="E6" s="824"/>
      <c r="F6" s="824"/>
      <c r="G6" s="824"/>
      <c r="H6" s="824"/>
      <c r="I6" s="824"/>
      <c r="J6" s="824"/>
      <c r="K6" s="824"/>
      <c r="L6" s="824"/>
      <c r="M6" s="824"/>
      <c r="N6" s="824"/>
      <c r="O6" s="824"/>
    </row>
    <row r="7" spans="1:15" ht="15" customHeight="1">
      <c r="A7" s="101" t="s">
        <v>172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</row>
    <row r="8" spans="1:15" ht="15" customHeight="1">
      <c r="A8" s="101"/>
      <c r="B8" s="67" t="s">
        <v>65</v>
      </c>
      <c r="C8" s="627">
        <f t="shared" ref="C8:C14" si="0">SUM(D8:O8)</f>
        <v>1859237.5675774855</v>
      </c>
      <c r="D8" s="184">
        <v>152747.34135027282</v>
      </c>
      <c r="E8" s="184">
        <v>133442.2649060002</v>
      </c>
      <c r="F8" s="184">
        <v>146185.64207024421</v>
      </c>
      <c r="G8" s="184">
        <v>146782.96902402944</v>
      </c>
      <c r="H8" s="184">
        <v>159167.43631533766</v>
      </c>
      <c r="I8" s="184">
        <v>155098.14956310167</v>
      </c>
      <c r="J8" s="184">
        <v>161227.99773179684</v>
      </c>
      <c r="K8" s="184">
        <v>158745.18923724807</v>
      </c>
      <c r="L8" s="184">
        <v>157099.2405799728</v>
      </c>
      <c r="M8" s="184">
        <v>162143.98190507945</v>
      </c>
      <c r="N8" s="184">
        <v>156803.58154946519</v>
      </c>
      <c r="O8" s="184">
        <v>169793.77334493707</v>
      </c>
    </row>
    <row r="9" spans="1:15" ht="15" customHeight="1">
      <c r="A9" s="101"/>
      <c r="B9" s="67" t="s">
        <v>5</v>
      </c>
      <c r="C9" s="627">
        <f t="shared" si="0"/>
        <v>33625.352626535074</v>
      </c>
      <c r="D9" s="184">
        <v>2424.1655965229224</v>
      </c>
      <c r="E9" s="184">
        <v>2569.3588666394812</v>
      </c>
      <c r="F9" s="184">
        <v>2704.8904000000002</v>
      </c>
      <c r="G9" s="184">
        <v>3017.1671014176286</v>
      </c>
      <c r="H9" s="184">
        <v>3114.5689690545778</v>
      </c>
      <c r="I9" s="184">
        <v>3140.32208614</v>
      </c>
      <c r="J9" s="184">
        <v>3083.0530237991998</v>
      </c>
      <c r="K9" s="184">
        <v>2982.5771789300779</v>
      </c>
      <c r="L9" s="184">
        <v>2779.3159639999999</v>
      </c>
      <c r="M9" s="184">
        <v>2631.687950031187</v>
      </c>
      <c r="N9" s="184">
        <v>2549.7692919999995</v>
      </c>
      <c r="O9" s="184">
        <v>2628.4761979999994</v>
      </c>
    </row>
    <row r="10" spans="1:15" ht="15" customHeight="1">
      <c r="A10" s="101"/>
      <c r="B10" s="67" t="s">
        <v>6</v>
      </c>
      <c r="C10" s="627">
        <f t="shared" si="0"/>
        <v>209548.89517455013</v>
      </c>
      <c r="D10" s="184">
        <v>15833.868899118992</v>
      </c>
      <c r="E10" s="184">
        <v>15718.680272215288</v>
      </c>
      <c r="F10" s="184">
        <v>15855.042041666668</v>
      </c>
      <c r="G10" s="184">
        <v>15770.746321551047</v>
      </c>
      <c r="H10" s="184">
        <v>16419.965399897417</v>
      </c>
      <c r="I10" s="184">
        <v>16370.814772738699</v>
      </c>
      <c r="J10" s="184">
        <v>19557.34641300319</v>
      </c>
      <c r="K10" s="184">
        <v>19135.775691484581</v>
      </c>
      <c r="L10" s="184">
        <v>18202.813821956512</v>
      </c>
      <c r="M10" s="184">
        <v>17862.035165417754</v>
      </c>
      <c r="N10" s="184">
        <v>18150.731009749998</v>
      </c>
      <c r="O10" s="184">
        <v>20671.075365749999</v>
      </c>
    </row>
    <row r="11" spans="1:15" ht="15" customHeight="1">
      <c r="A11" s="101"/>
      <c r="B11" s="67" t="s">
        <v>7</v>
      </c>
      <c r="C11" s="627">
        <f t="shared" si="0"/>
        <v>203990.58498943603</v>
      </c>
      <c r="D11" s="184">
        <v>15737.672869916236</v>
      </c>
      <c r="E11" s="184">
        <v>16190.589701399998</v>
      </c>
      <c r="F11" s="184">
        <v>16431.510506500003</v>
      </c>
      <c r="G11" s="184">
        <v>17309.869231732559</v>
      </c>
      <c r="H11" s="184">
        <v>17798.301723572025</v>
      </c>
      <c r="I11" s="184">
        <v>17784.018169030758</v>
      </c>
      <c r="J11" s="184">
        <v>17931.81302539782</v>
      </c>
      <c r="K11" s="184">
        <v>17540.970899845921</v>
      </c>
      <c r="L11" s="184">
        <v>17094.198691219997</v>
      </c>
      <c r="M11" s="184">
        <v>16285.688734405838</v>
      </c>
      <c r="N11" s="184">
        <v>16679.165915167578</v>
      </c>
      <c r="O11" s="184">
        <v>17206.785521247308</v>
      </c>
    </row>
    <row r="12" spans="1:15" ht="15" customHeight="1">
      <c r="A12" s="101"/>
      <c r="B12" s="67" t="s">
        <v>8</v>
      </c>
      <c r="C12" s="627">
        <f t="shared" si="0"/>
        <v>4951.9427489497693</v>
      </c>
      <c r="D12" s="184">
        <v>383.94363412554998</v>
      </c>
      <c r="E12" s="184">
        <v>390.0634386210171</v>
      </c>
      <c r="F12" s="184">
        <v>415.99585266666662</v>
      </c>
      <c r="G12" s="184">
        <v>423.27949965512278</v>
      </c>
      <c r="H12" s="184">
        <v>438.97931251323968</v>
      </c>
      <c r="I12" s="184">
        <v>454.08653425</v>
      </c>
      <c r="J12" s="184">
        <v>452.71225149697113</v>
      </c>
      <c r="K12" s="184">
        <v>428.14652057291823</v>
      </c>
      <c r="L12" s="184">
        <v>389.95810799999992</v>
      </c>
      <c r="M12" s="184">
        <v>373.78544804828363</v>
      </c>
      <c r="N12" s="184">
        <v>384.77718100000004</v>
      </c>
      <c r="O12" s="184">
        <v>416.21496800000011</v>
      </c>
    </row>
    <row r="13" spans="1:15" ht="15" customHeight="1">
      <c r="A13" s="101"/>
      <c r="B13" s="67" t="s">
        <v>9</v>
      </c>
      <c r="C13" s="627">
        <f t="shared" si="0"/>
        <v>13009.44632673468</v>
      </c>
      <c r="D13" s="184">
        <v>866.21541908996437</v>
      </c>
      <c r="E13" s="184">
        <v>1006.8880344431384</v>
      </c>
      <c r="F13" s="184">
        <v>1090.5192644145</v>
      </c>
      <c r="G13" s="184">
        <v>1317.8786571870751</v>
      </c>
      <c r="H13" s="184">
        <v>1323.7527702999998</v>
      </c>
      <c r="I13" s="184">
        <v>1306.221393</v>
      </c>
      <c r="J13" s="184">
        <v>1282.0574795000002</v>
      </c>
      <c r="K13" s="184">
        <v>1142.4027747999999</v>
      </c>
      <c r="L13" s="184">
        <v>1004.8583614999999</v>
      </c>
      <c r="M13" s="184">
        <v>951.02005599999995</v>
      </c>
      <c r="N13" s="184">
        <v>903.93899450000004</v>
      </c>
      <c r="O13" s="184">
        <v>813.6931219999999</v>
      </c>
    </row>
    <row r="14" spans="1:15" ht="15" customHeight="1">
      <c r="A14" s="101"/>
      <c r="B14" s="67" t="s">
        <v>10</v>
      </c>
      <c r="C14" s="627">
        <f t="shared" si="0"/>
        <v>3961.8268804917011</v>
      </c>
      <c r="D14" s="184">
        <v>294.33548301984064</v>
      </c>
      <c r="E14" s="184">
        <v>314.72158390000004</v>
      </c>
      <c r="F14" s="184">
        <v>327.11728800000003</v>
      </c>
      <c r="G14" s="184">
        <v>381.84363500000006</v>
      </c>
      <c r="H14" s="184">
        <v>383.62756130586001</v>
      </c>
      <c r="I14" s="184">
        <v>392.35512076600003</v>
      </c>
      <c r="J14" s="184">
        <v>365.07104500000003</v>
      </c>
      <c r="K14" s="184">
        <v>337.71809999999999</v>
      </c>
      <c r="L14" s="184">
        <v>306.19533999999999</v>
      </c>
      <c r="M14" s="184">
        <v>289.40722849999997</v>
      </c>
      <c r="N14" s="184">
        <v>274.19740000000002</v>
      </c>
      <c r="O14" s="184">
        <v>295.23709500000001</v>
      </c>
    </row>
    <row r="15" spans="1:15" ht="5" customHeight="1">
      <c r="A15" s="101"/>
      <c r="C15" s="183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</row>
    <row r="16" spans="1:15" ht="15" customHeight="1">
      <c r="A16" s="101" t="s">
        <v>209</v>
      </c>
      <c r="C16" s="183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</row>
    <row r="17" spans="1:15" ht="15" customHeight="1">
      <c r="A17" s="101"/>
      <c r="B17" s="67" t="s">
        <v>5</v>
      </c>
      <c r="C17" s="627">
        <f>SUM(D17:O17)</f>
        <v>21856.479207247801</v>
      </c>
      <c r="D17" s="184">
        <v>1575.7076377398996</v>
      </c>
      <c r="E17" s="184">
        <v>1670.0832633156629</v>
      </c>
      <c r="F17" s="184">
        <v>1758.1787600000002</v>
      </c>
      <c r="G17" s="184">
        <v>1961.1586159214587</v>
      </c>
      <c r="H17" s="184">
        <v>2024.4698298854757</v>
      </c>
      <c r="I17" s="184">
        <v>2041.2093559910002</v>
      </c>
      <c r="J17" s="184">
        <v>2003.98446546948</v>
      </c>
      <c r="K17" s="184">
        <v>1938.6751663045507</v>
      </c>
      <c r="L17" s="184">
        <v>1806.5553766</v>
      </c>
      <c r="M17" s="184">
        <v>1710.5971675202716</v>
      </c>
      <c r="N17" s="184">
        <v>1657.3500397999996</v>
      </c>
      <c r="O17" s="184">
        <v>1708.5095286999997</v>
      </c>
    </row>
    <row r="18" spans="1:15" ht="15" customHeight="1">
      <c r="A18" s="101"/>
      <c r="B18" s="67" t="s">
        <v>6</v>
      </c>
      <c r="C18" s="627">
        <f>SUM(D18:O18)</f>
        <v>41909.77903491004</v>
      </c>
      <c r="D18" s="184">
        <v>3166.7737798237986</v>
      </c>
      <c r="E18" s="184">
        <v>3143.7360544430576</v>
      </c>
      <c r="F18" s="184">
        <v>3171.0084083333336</v>
      </c>
      <c r="G18" s="184">
        <v>3154.1492643102097</v>
      </c>
      <c r="H18" s="184">
        <v>3283.9930799794838</v>
      </c>
      <c r="I18" s="184">
        <v>3274.1629545477399</v>
      </c>
      <c r="J18" s="184">
        <v>3911.4692826006381</v>
      </c>
      <c r="K18" s="184">
        <v>3827.1551382969164</v>
      </c>
      <c r="L18" s="184">
        <v>3640.5627643913026</v>
      </c>
      <c r="M18" s="184">
        <v>3572.4070330835511</v>
      </c>
      <c r="N18" s="184">
        <v>3630.1462019499995</v>
      </c>
      <c r="O18" s="184">
        <v>4134.2150731499996</v>
      </c>
    </row>
    <row r="19" spans="1:15" ht="15" customHeight="1">
      <c r="A19" s="101"/>
      <c r="B19" s="67" t="s">
        <v>7</v>
      </c>
      <c r="C19" s="627">
        <f>SUM(D19:O19)</f>
        <v>71396.70474630261</v>
      </c>
      <c r="D19" s="184">
        <v>5508.1855044706826</v>
      </c>
      <c r="E19" s="184">
        <v>5666.7063954899995</v>
      </c>
      <c r="F19" s="184">
        <v>5751.0286772750005</v>
      </c>
      <c r="G19" s="184">
        <v>6058.4542311063951</v>
      </c>
      <c r="H19" s="184">
        <v>6229.4056032502085</v>
      </c>
      <c r="I19" s="184">
        <v>6224.4063591607646</v>
      </c>
      <c r="J19" s="184">
        <v>6276.1345588892364</v>
      </c>
      <c r="K19" s="184">
        <v>6139.3398149460718</v>
      </c>
      <c r="L19" s="184">
        <v>5982.9695419269983</v>
      </c>
      <c r="M19" s="184">
        <v>5699.9910570420425</v>
      </c>
      <c r="N19" s="184">
        <v>5837.7080703086522</v>
      </c>
      <c r="O19" s="184">
        <v>6022.3749324365572</v>
      </c>
    </row>
    <row r="20" spans="1:15" ht="15" customHeight="1">
      <c r="A20" s="101"/>
      <c r="B20" s="67" t="s">
        <v>8</v>
      </c>
      <c r="C20" s="627">
        <f>SUM(D20:O20)</f>
        <v>3218.7627868173504</v>
      </c>
      <c r="D20" s="184">
        <v>249.56336218160749</v>
      </c>
      <c r="E20" s="184">
        <v>253.54123510366114</v>
      </c>
      <c r="F20" s="184">
        <v>270.39730423333333</v>
      </c>
      <c r="G20" s="184">
        <v>275.13167477582982</v>
      </c>
      <c r="H20" s="184">
        <v>285.33655313360578</v>
      </c>
      <c r="I20" s="184">
        <v>295.15624726250002</v>
      </c>
      <c r="J20" s="184">
        <v>294.26296347303122</v>
      </c>
      <c r="K20" s="184">
        <v>278.29523837239685</v>
      </c>
      <c r="L20" s="184">
        <v>253.47277019999996</v>
      </c>
      <c r="M20" s="184">
        <v>242.96054123138435</v>
      </c>
      <c r="N20" s="184">
        <v>250.10516765000003</v>
      </c>
      <c r="O20" s="184">
        <v>270.53972920000007</v>
      </c>
    </row>
    <row r="21" spans="1:15" ht="5" customHeight="1">
      <c r="A21" s="101"/>
      <c r="C21" s="183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</row>
    <row r="22" spans="1:15" ht="15" customHeight="1">
      <c r="A22" s="101" t="s">
        <v>413</v>
      </c>
      <c r="C22" s="627">
        <f>SUM(D22:O22)</f>
        <v>508591.81465513736</v>
      </c>
      <c r="D22" s="184">
        <v>42476.779790499997</v>
      </c>
      <c r="E22" s="184">
        <v>41940.477799999993</v>
      </c>
      <c r="F22" s="184">
        <v>42001.227616050397</v>
      </c>
      <c r="G22" s="184">
        <v>41643.885800000018</v>
      </c>
      <c r="H22" s="184">
        <v>42712.702700000002</v>
      </c>
      <c r="I22" s="184">
        <v>42335.928000000007</v>
      </c>
      <c r="J22" s="184">
        <v>42329.661000000015</v>
      </c>
      <c r="K22" s="184">
        <v>42920.089900000014</v>
      </c>
      <c r="L22" s="184">
        <v>42314.230099999986</v>
      </c>
      <c r="M22" s="184">
        <v>42557.230835317088</v>
      </c>
      <c r="N22" s="184">
        <v>42517.345977196805</v>
      </c>
      <c r="O22" s="184">
        <v>42842.255136072992</v>
      </c>
    </row>
    <row r="23" spans="1:15" ht="5" customHeight="1">
      <c r="A23" s="101"/>
      <c r="C23" s="183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</row>
    <row r="24" spans="1:15" ht="15" customHeight="1">
      <c r="A24" s="101" t="s">
        <v>407</v>
      </c>
      <c r="C24" s="627">
        <f>SUM(D24:O24)</f>
        <v>2228888.9714991995</v>
      </c>
      <c r="D24" s="184">
        <v>185338.34671928137</v>
      </c>
      <c r="E24" s="184">
        <v>180951.02304001022</v>
      </c>
      <c r="F24" s="184">
        <v>191960.31088971102</v>
      </c>
      <c r="G24" s="184">
        <v>194197.10946517807</v>
      </c>
      <c r="H24" s="184">
        <v>196177.54893245755</v>
      </c>
      <c r="I24" s="184">
        <v>191233.39942091337</v>
      </c>
      <c r="J24" s="184">
        <v>189444.62151941404</v>
      </c>
      <c r="K24" s="184">
        <v>185274.86240357812</v>
      </c>
      <c r="L24" s="184">
        <v>176821.57761315696</v>
      </c>
      <c r="M24" s="184">
        <v>179492.74711552772</v>
      </c>
      <c r="N24" s="184">
        <v>176419.932063499</v>
      </c>
      <c r="O24" s="184">
        <v>181577.49231647202</v>
      </c>
    </row>
    <row r="25" spans="1:15" ht="5" customHeight="1">
      <c r="A25" s="101"/>
      <c r="C25" s="183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</row>
    <row r="26" spans="1:15" ht="15" customHeight="1">
      <c r="A26" s="101" t="s">
        <v>409</v>
      </c>
      <c r="C26" s="627">
        <f>SUM(D26:O26)</f>
        <v>4615.2265246605402</v>
      </c>
      <c r="D26" s="184">
        <v>426.36313814054051</v>
      </c>
      <c r="E26" s="184">
        <v>621.88691399999993</v>
      </c>
      <c r="F26" s="184">
        <v>594.19304262000003</v>
      </c>
      <c r="G26" s="184">
        <v>44.591582600000002</v>
      </c>
      <c r="H26" s="184">
        <v>60.461663600000001</v>
      </c>
      <c r="I26" s="184">
        <v>40.1985314</v>
      </c>
      <c r="J26" s="184">
        <v>4.0385752000000004</v>
      </c>
      <c r="K26" s="184">
        <v>0.60658000000000001</v>
      </c>
      <c r="L26" s="184">
        <v>26.7374568</v>
      </c>
      <c r="M26" s="184">
        <v>228.44765080000002</v>
      </c>
      <c r="N26" s="184">
        <v>1861.0866542999997</v>
      </c>
      <c r="O26" s="184">
        <v>706.61473520000004</v>
      </c>
    </row>
    <row r="27" spans="1:15" ht="5" customHeight="1">
      <c r="A27" s="101"/>
      <c r="C27" s="183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</row>
    <row r="28" spans="1:15" ht="15" customHeight="1">
      <c r="A28" s="101" t="s">
        <v>410</v>
      </c>
      <c r="B28" s="97"/>
      <c r="C28" s="627">
        <f>SUM(D28:O28)</f>
        <v>712.41002359999993</v>
      </c>
      <c r="D28" s="184">
        <v>36.064759999999993</v>
      </c>
      <c r="E28" s="184">
        <v>110.94144</v>
      </c>
      <c r="F28" s="184">
        <v>104.76349999999998</v>
      </c>
      <c r="G28" s="184">
        <v>9.9406280000000002</v>
      </c>
      <c r="H28" s="184">
        <v>5.7963000000000005</v>
      </c>
      <c r="I28" s="184">
        <v>2.7265535999999999</v>
      </c>
      <c r="J28" s="184">
        <v>0.16059999999999999</v>
      </c>
      <c r="K28" s="184">
        <v>0</v>
      </c>
      <c r="L28" s="184">
        <v>6.829288</v>
      </c>
      <c r="M28" s="184">
        <v>52.046274799999999</v>
      </c>
      <c r="N28" s="184">
        <v>317.3992528</v>
      </c>
      <c r="O28" s="184">
        <v>65.741426399999995</v>
      </c>
    </row>
    <row r="29" spans="1:15" ht="5" customHeight="1">
      <c r="A29" s="101"/>
      <c r="B29" s="97"/>
      <c r="C29" s="183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</row>
    <row r="30" spans="1:15" ht="15" customHeight="1" thickBot="1">
      <c r="A30" s="446" t="s">
        <v>205</v>
      </c>
      <c r="B30" s="68"/>
      <c r="C30" s="628">
        <f>SUM(D30:O30)</f>
        <v>8031.463572990886</v>
      </c>
      <c r="D30" s="390">
        <v>752.44203399088678</v>
      </c>
      <c r="E30" s="390">
        <v>2581.8042725999994</v>
      </c>
      <c r="F30" s="390">
        <v>2129.3690963999998</v>
      </c>
      <c r="G30" s="390">
        <v>417.43905860000001</v>
      </c>
      <c r="H30" s="390">
        <v>455.00918200000001</v>
      </c>
      <c r="I30" s="390">
        <v>260.40440559999996</v>
      </c>
      <c r="J30" s="390">
        <v>206.35578760000001</v>
      </c>
      <c r="K30" s="390">
        <v>130.96311559999998</v>
      </c>
      <c r="L30" s="390">
        <v>114.3210816</v>
      </c>
      <c r="M30" s="390">
        <v>25.087066800000002</v>
      </c>
      <c r="N30" s="390">
        <v>634.60344720000001</v>
      </c>
      <c r="O30" s="390">
        <v>323.66502500000001</v>
      </c>
    </row>
    <row r="31" spans="1:15" ht="9" customHeight="1">
      <c r="A31" s="449" t="s">
        <v>330</v>
      </c>
      <c r="B31" s="464"/>
      <c r="C31" s="464"/>
      <c r="D31" s="464"/>
      <c r="E31" s="464"/>
      <c r="F31" s="464"/>
    </row>
    <row r="32" spans="1:15" ht="9" customHeight="1">
      <c r="A32" s="449" t="s">
        <v>304</v>
      </c>
      <c r="B32" s="464"/>
      <c r="C32" s="464"/>
      <c r="D32" s="464"/>
      <c r="E32" s="464"/>
      <c r="F32" s="464"/>
    </row>
    <row r="33" spans="1:15" ht="9" customHeight="1">
      <c r="A33" s="451" t="s">
        <v>303</v>
      </c>
      <c r="B33" s="464"/>
      <c r="C33" s="464"/>
      <c r="D33" s="464"/>
      <c r="E33" s="464"/>
      <c r="F33" s="464"/>
    </row>
    <row r="34" spans="1:15" ht="13.25" customHeight="1">
      <c r="A34" s="451"/>
      <c r="B34" s="464"/>
      <c r="C34" s="464"/>
      <c r="D34" s="464"/>
      <c r="E34" s="464"/>
      <c r="F34" s="464"/>
    </row>
    <row r="37" spans="1:15" ht="13.25" customHeight="1"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</row>
  </sheetData>
  <mergeCells count="1">
    <mergeCell ref="A5:B5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>
    <tabColor theme="9" tint="0.59999389629810485"/>
  </sheetPr>
  <dimension ref="A2:W61"/>
  <sheetViews>
    <sheetView showGridLines="0" zoomScaleNormal="100" workbookViewId="0">
      <selection activeCell="U15" sqref="U15"/>
    </sheetView>
  </sheetViews>
  <sheetFormatPr baseColWidth="10" defaultColWidth="7" defaultRowHeight="13.25" customHeight="1"/>
  <cols>
    <col min="1" max="1" width="0.59765625" style="76" customWidth="1"/>
    <col min="2" max="2" width="9.59765625" style="76" customWidth="1"/>
    <col min="3" max="4" width="8" style="76" hidden="1" customWidth="1"/>
    <col min="5" max="22" width="7.59765625" style="76" customWidth="1"/>
    <col min="23" max="23" width="7.796875" style="76" customWidth="1"/>
    <col min="24" max="16384" width="7" style="76"/>
  </cols>
  <sheetData>
    <row r="2" spans="1:22" ht="17.25" customHeight="1">
      <c r="A2" s="201" t="s">
        <v>468</v>
      </c>
      <c r="B2" s="199"/>
      <c r="C2" s="199"/>
    </row>
    <row r="3" spans="1:22" ht="13.25" customHeight="1">
      <c r="A3" s="200" t="s">
        <v>211</v>
      </c>
      <c r="B3" s="200"/>
      <c r="C3" s="199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</row>
    <row r="5" spans="1:22" ht="18" customHeight="1">
      <c r="A5" s="1019" t="s">
        <v>16</v>
      </c>
      <c r="B5" s="1019"/>
      <c r="C5" s="722">
        <v>2005</v>
      </c>
      <c r="D5" s="722">
        <v>2006</v>
      </c>
      <c r="E5" s="722">
        <v>2007</v>
      </c>
      <c r="F5" s="722">
        <v>2008</v>
      </c>
      <c r="G5" s="722">
        <v>2009</v>
      </c>
      <c r="H5" s="722">
        <v>2010</v>
      </c>
      <c r="I5" s="722">
        <v>2011</v>
      </c>
      <c r="J5" s="722">
        <v>2012</v>
      </c>
      <c r="K5" s="722">
        <v>2013</v>
      </c>
      <c r="L5" s="722">
        <v>2014</v>
      </c>
      <c r="M5" s="722">
        <v>2015</v>
      </c>
      <c r="N5" s="722">
        <v>2016</v>
      </c>
      <c r="O5" s="722">
        <v>2017</v>
      </c>
      <c r="P5" s="722" t="s">
        <v>180</v>
      </c>
      <c r="Q5" s="722" t="s">
        <v>296</v>
      </c>
      <c r="R5" s="722">
        <v>2020</v>
      </c>
      <c r="S5" s="722">
        <v>2021</v>
      </c>
      <c r="T5" s="722" t="s">
        <v>396</v>
      </c>
      <c r="U5" s="722" t="s">
        <v>459</v>
      </c>
      <c r="V5" s="722" t="s">
        <v>471</v>
      </c>
    </row>
    <row r="6" spans="1:22" ht="18" customHeight="1">
      <c r="A6" s="1020" t="s">
        <v>93</v>
      </c>
      <c r="B6" s="1020"/>
      <c r="C6" s="629">
        <f t="shared" ref="C6:L6" si="0">(C8+C9+C10+C11+C12+C13+C14+C15+C16+C17+C18+C19+C20+C21+C22+C23+C24+C25+C26+C27+C28+C29+C30+C31)</f>
        <v>5249783</v>
      </c>
      <c r="D6" s="629">
        <f t="shared" si="0"/>
        <v>5241101</v>
      </c>
      <c r="E6" s="630">
        <f t="shared" si="0"/>
        <v>5420865</v>
      </c>
      <c r="F6" s="630">
        <f t="shared" si="0"/>
        <v>5442989</v>
      </c>
      <c r="G6" s="630">
        <f t="shared" si="0"/>
        <v>5459435</v>
      </c>
      <c r="H6" s="630">
        <f t="shared" si="0"/>
        <v>5520198</v>
      </c>
      <c r="I6" s="630">
        <f t="shared" si="0"/>
        <v>5589173</v>
      </c>
      <c r="J6" s="630">
        <f t="shared" si="0"/>
        <v>5660984</v>
      </c>
      <c r="K6" s="630">
        <f t="shared" si="0"/>
        <v>5555988</v>
      </c>
      <c r="L6" s="630">
        <f t="shared" si="0"/>
        <v>5577958</v>
      </c>
      <c r="M6" s="630">
        <f t="shared" ref="M6:R6" si="1">(M8+M9+M10+M11+M12+M13+M14+M15+M16+M17+M18+M19+M20+M21+M22+M23+M24+M25+M26+M27+M28+M29+M30+M31)</f>
        <v>5553469</v>
      </c>
      <c r="N6" s="630">
        <f t="shared" si="1"/>
        <v>5525455</v>
      </c>
      <c r="O6" s="630">
        <f t="shared" si="1"/>
        <v>5535569</v>
      </c>
      <c r="P6" s="630">
        <f t="shared" si="1"/>
        <v>5595483</v>
      </c>
      <c r="Q6" s="630">
        <f t="shared" si="1"/>
        <v>5599893</v>
      </c>
      <c r="R6" s="630">
        <f t="shared" si="1"/>
        <v>5688461</v>
      </c>
      <c r="S6" s="630">
        <f t="shared" ref="S6:V6" si="2">(S8+S9+S10+S11+S12+S13+S14+S15+S16+S17+S18+S19+S20+S21+S22+S23+S24+S25+S26+S27+S28+S29+S30+S31)</f>
        <v>5853660</v>
      </c>
      <c r="T6" s="630">
        <f t="shared" ref="T6:U6" si="3">(T8+T9+T10+T11+T12+T13+T14+T15+T16+T17+T18+T19+T20+T21+T22+T23+T24+T25+T26+T27+T28+T29+T30+T31)</f>
        <v>5862308</v>
      </c>
      <c r="U6" s="630">
        <f t="shared" si="3"/>
        <v>5866170</v>
      </c>
      <c r="V6" s="630">
        <f t="shared" si="2"/>
        <v>5842166</v>
      </c>
    </row>
    <row r="7" spans="1:22" ht="3" customHeight="1">
      <c r="A7" s="77"/>
      <c r="B7" s="78"/>
      <c r="C7" s="203"/>
      <c r="D7" s="203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</row>
    <row r="8" spans="1:22" ht="15" customHeight="1">
      <c r="A8" s="77"/>
      <c r="B8" s="21" t="s">
        <v>19</v>
      </c>
      <c r="C8" s="202">
        <v>13800</v>
      </c>
      <c r="D8" s="202">
        <v>14000</v>
      </c>
      <c r="E8" s="87">
        <v>13890</v>
      </c>
      <c r="F8" s="87">
        <v>17461</v>
      </c>
      <c r="G8" s="87">
        <v>17100</v>
      </c>
      <c r="H8" s="87">
        <v>13729</v>
      </c>
      <c r="I8" s="87">
        <v>14447</v>
      </c>
      <c r="J8" s="87">
        <v>18070</v>
      </c>
      <c r="K8" s="87">
        <v>18447</v>
      </c>
      <c r="L8" s="87">
        <v>19414</v>
      </c>
      <c r="M8" s="473">
        <v>21346</v>
      </c>
      <c r="N8" s="473">
        <v>22427</v>
      </c>
      <c r="O8" s="473">
        <v>22350</v>
      </c>
      <c r="P8" s="473">
        <v>22050</v>
      </c>
      <c r="Q8" s="473">
        <v>22200</v>
      </c>
      <c r="R8" s="473">
        <v>19258</v>
      </c>
      <c r="S8" s="473">
        <v>20732</v>
      </c>
      <c r="T8" s="473">
        <v>19995</v>
      </c>
      <c r="U8" s="473">
        <v>17720</v>
      </c>
      <c r="V8" s="473">
        <v>20364</v>
      </c>
    </row>
    <row r="9" spans="1:22" ht="15" customHeight="1">
      <c r="A9" s="77"/>
      <c r="B9" s="21" t="s">
        <v>20</v>
      </c>
      <c r="C9" s="202">
        <v>234260</v>
      </c>
      <c r="D9" s="202">
        <v>234260</v>
      </c>
      <c r="E9" s="87">
        <v>237774</v>
      </c>
      <c r="F9" s="87">
        <v>227803</v>
      </c>
      <c r="G9" s="87">
        <v>230765</v>
      </c>
      <c r="H9" s="87">
        <v>302158</v>
      </c>
      <c r="I9" s="87">
        <v>310158</v>
      </c>
      <c r="J9" s="87">
        <v>324960</v>
      </c>
      <c r="K9" s="87">
        <v>308181</v>
      </c>
      <c r="L9" s="87">
        <v>301926</v>
      </c>
      <c r="M9" s="473">
        <v>298200</v>
      </c>
      <c r="N9" s="473">
        <v>290882</v>
      </c>
      <c r="O9" s="473">
        <v>276247</v>
      </c>
      <c r="P9" s="473">
        <v>268181</v>
      </c>
      <c r="Q9" s="473">
        <v>258181</v>
      </c>
      <c r="R9" s="473">
        <v>248181</v>
      </c>
      <c r="S9" s="473">
        <v>292936</v>
      </c>
      <c r="T9" s="473">
        <v>280558</v>
      </c>
      <c r="U9" s="473">
        <v>268181</v>
      </c>
      <c r="V9" s="473">
        <v>258181</v>
      </c>
    </row>
    <row r="10" spans="1:22" ht="15" customHeight="1">
      <c r="A10" s="77"/>
      <c r="B10" s="21" t="s">
        <v>21</v>
      </c>
      <c r="C10" s="202">
        <v>86000</v>
      </c>
      <c r="D10" s="202">
        <v>87500</v>
      </c>
      <c r="E10" s="87">
        <v>96479</v>
      </c>
      <c r="F10" s="87">
        <v>113725</v>
      </c>
      <c r="G10" s="87">
        <v>114210</v>
      </c>
      <c r="H10" s="87">
        <v>110583</v>
      </c>
      <c r="I10" s="87">
        <v>109540</v>
      </c>
      <c r="J10" s="87">
        <v>89795</v>
      </c>
      <c r="K10" s="87">
        <v>89530</v>
      </c>
      <c r="L10" s="87">
        <v>85995</v>
      </c>
      <c r="M10" s="87">
        <v>86120</v>
      </c>
      <c r="N10" s="87">
        <v>86344</v>
      </c>
      <c r="O10" s="87">
        <v>113514</v>
      </c>
      <c r="P10" s="87">
        <v>112040</v>
      </c>
      <c r="Q10" s="87">
        <v>113602</v>
      </c>
      <c r="R10" s="87">
        <v>114530</v>
      </c>
      <c r="S10" s="87">
        <v>114053</v>
      </c>
      <c r="T10" s="87">
        <v>111810</v>
      </c>
      <c r="U10" s="87">
        <v>109560</v>
      </c>
      <c r="V10" s="87">
        <v>112932</v>
      </c>
    </row>
    <row r="11" spans="1:22" ht="15" customHeight="1">
      <c r="A11" s="77"/>
      <c r="B11" s="21" t="s">
        <v>22</v>
      </c>
      <c r="C11" s="202">
        <v>253482</v>
      </c>
      <c r="D11" s="202">
        <v>253925</v>
      </c>
      <c r="E11" s="87">
        <v>254014</v>
      </c>
      <c r="F11" s="87">
        <v>253872</v>
      </c>
      <c r="G11" s="87">
        <v>253917</v>
      </c>
      <c r="H11" s="87">
        <v>254699</v>
      </c>
      <c r="I11" s="87">
        <v>259557</v>
      </c>
      <c r="J11" s="87">
        <v>262771</v>
      </c>
      <c r="K11" s="87">
        <v>262017</v>
      </c>
      <c r="L11" s="87">
        <v>259231</v>
      </c>
      <c r="M11" s="473">
        <v>246630</v>
      </c>
      <c r="N11" s="473">
        <v>245857</v>
      </c>
      <c r="O11" s="473">
        <v>237501</v>
      </c>
      <c r="P11" s="473">
        <v>233412</v>
      </c>
      <c r="Q11" s="473">
        <v>235457</v>
      </c>
      <c r="R11" s="473">
        <v>234083</v>
      </c>
      <c r="S11" s="473">
        <v>233679</v>
      </c>
      <c r="T11" s="473">
        <v>233020</v>
      </c>
      <c r="U11" s="473">
        <v>235167</v>
      </c>
      <c r="V11" s="473">
        <v>234527</v>
      </c>
    </row>
    <row r="12" spans="1:22" ht="15" customHeight="1">
      <c r="A12" s="77"/>
      <c r="B12" s="21" t="s">
        <v>23</v>
      </c>
      <c r="C12" s="202">
        <v>567252</v>
      </c>
      <c r="D12" s="202">
        <v>585191</v>
      </c>
      <c r="E12" s="87">
        <v>647924</v>
      </c>
      <c r="F12" s="87">
        <v>663444</v>
      </c>
      <c r="G12" s="87">
        <v>668400</v>
      </c>
      <c r="H12" s="87">
        <v>661441</v>
      </c>
      <c r="I12" s="87">
        <v>664574</v>
      </c>
      <c r="J12" s="87">
        <v>645466</v>
      </c>
      <c r="K12" s="87">
        <v>654160</v>
      </c>
      <c r="L12" s="87">
        <v>661156</v>
      </c>
      <c r="M12" s="473">
        <v>663500</v>
      </c>
      <c r="N12" s="473">
        <v>657561</v>
      </c>
      <c r="O12" s="473">
        <v>645182</v>
      </c>
      <c r="P12" s="473">
        <v>648080</v>
      </c>
      <c r="Q12" s="473">
        <v>655840</v>
      </c>
      <c r="R12" s="473">
        <v>657166</v>
      </c>
      <c r="S12" s="473">
        <v>658353</v>
      </c>
      <c r="T12" s="473">
        <v>654162</v>
      </c>
      <c r="U12" s="473">
        <v>656259</v>
      </c>
      <c r="V12" s="473">
        <v>662221</v>
      </c>
    </row>
    <row r="13" spans="1:22" ht="15" customHeight="1">
      <c r="A13" s="77"/>
      <c r="B13" s="21" t="s">
        <v>27</v>
      </c>
      <c r="C13" s="202">
        <v>201868</v>
      </c>
      <c r="D13" s="202">
        <v>203000</v>
      </c>
      <c r="E13" s="87">
        <v>232617</v>
      </c>
      <c r="F13" s="87">
        <v>239911</v>
      </c>
      <c r="G13" s="87">
        <v>238500</v>
      </c>
      <c r="H13" s="87">
        <v>231680</v>
      </c>
      <c r="I13" s="87">
        <v>230526</v>
      </c>
      <c r="J13" s="87">
        <v>230190</v>
      </c>
      <c r="K13" s="87">
        <v>231874</v>
      </c>
      <c r="L13" s="87">
        <v>240121</v>
      </c>
      <c r="M13" s="87">
        <v>250584</v>
      </c>
      <c r="N13" s="87">
        <v>246360</v>
      </c>
      <c r="O13" s="87">
        <v>247610</v>
      </c>
      <c r="P13" s="87">
        <v>268100</v>
      </c>
      <c r="Q13" s="87">
        <v>247855</v>
      </c>
      <c r="R13" s="87">
        <v>375751</v>
      </c>
      <c r="S13" s="87">
        <v>382797</v>
      </c>
      <c r="T13" s="87">
        <v>390157</v>
      </c>
      <c r="U13" s="87">
        <v>405051</v>
      </c>
      <c r="V13" s="87">
        <v>405462</v>
      </c>
    </row>
    <row r="14" spans="1:22" ht="15" customHeight="1">
      <c r="A14" s="77"/>
      <c r="B14" s="21" t="s">
        <v>28</v>
      </c>
      <c r="C14" s="202">
        <v>342051</v>
      </c>
      <c r="D14" s="202">
        <v>301166</v>
      </c>
      <c r="E14" s="87">
        <v>301783</v>
      </c>
      <c r="F14" s="87">
        <v>302411</v>
      </c>
      <c r="G14" s="87">
        <v>305711</v>
      </c>
      <c r="H14" s="87">
        <v>307624</v>
      </c>
      <c r="I14" s="87">
        <v>304367</v>
      </c>
      <c r="J14" s="87">
        <v>300992</v>
      </c>
      <c r="K14" s="87">
        <v>294294</v>
      </c>
      <c r="L14" s="87">
        <v>304127</v>
      </c>
      <c r="M14" s="473">
        <v>304262</v>
      </c>
      <c r="N14" s="473">
        <v>309475</v>
      </c>
      <c r="O14" s="473">
        <v>305720</v>
      </c>
      <c r="P14" s="473">
        <v>306410</v>
      </c>
      <c r="Q14" s="473">
        <v>306065</v>
      </c>
      <c r="R14" s="473">
        <v>308564</v>
      </c>
      <c r="S14" s="473">
        <v>307349</v>
      </c>
      <c r="T14" s="473">
        <v>307057</v>
      </c>
      <c r="U14" s="473">
        <v>307203</v>
      </c>
      <c r="V14" s="473">
        <v>307203</v>
      </c>
    </row>
    <row r="15" spans="1:22" ht="15" customHeight="1">
      <c r="A15" s="77"/>
      <c r="B15" s="21" t="s">
        <v>29</v>
      </c>
      <c r="C15" s="202">
        <v>263480</v>
      </c>
      <c r="D15" s="202">
        <v>258000</v>
      </c>
      <c r="E15" s="87">
        <v>254986</v>
      </c>
      <c r="F15" s="87">
        <v>228844</v>
      </c>
      <c r="G15" s="87">
        <v>226800</v>
      </c>
      <c r="H15" s="87">
        <v>230422</v>
      </c>
      <c r="I15" s="87">
        <v>232109</v>
      </c>
      <c r="J15" s="87">
        <v>225265</v>
      </c>
      <c r="K15" s="87">
        <v>226410</v>
      </c>
      <c r="L15" s="87">
        <v>232070</v>
      </c>
      <c r="M15" s="473">
        <v>265104</v>
      </c>
      <c r="N15" s="473">
        <v>257939</v>
      </c>
      <c r="O15" s="473">
        <v>245851</v>
      </c>
      <c r="P15" s="473">
        <v>255851</v>
      </c>
      <c r="Q15" s="473">
        <v>250851</v>
      </c>
      <c r="R15" s="473">
        <v>261406</v>
      </c>
      <c r="S15" s="473">
        <v>269325</v>
      </c>
      <c r="T15" s="473">
        <v>267366</v>
      </c>
      <c r="U15" s="473">
        <v>268184</v>
      </c>
      <c r="V15" s="473">
        <v>269830</v>
      </c>
    </row>
    <row r="16" spans="1:22" ht="15" customHeight="1">
      <c r="A16" s="77"/>
      <c r="B16" s="21" t="s">
        <v>30</v>
      </c>
      <c r="C16" s="202">
        <v>36448</v>
      </c>
      <c r="D16" s="202">
        <v>36595</v>
      </c>
      <c r="E16" s="87">
        <v>36877</v>
      </c>
      <c r="F16" s="87">
        <v>37296</v>
      </c>
      <c r="G16" s="87">
        <v>38100</v>
      </c>
      <c r="H16" s="87">
        <v>37063</v>
      </c>
      <c r="I16" s="87">
        <v>38362</v>
      </c>
      <c r="J16" s="87">
        <v>43823</v>
      </c>
      <c r="K16" s="87">
        <v>45315</v>
      </c>
      <c r="L16" s="87">
        <v>46324</v>
      </c>
      <c r="M16" s="87">
        <v>47838</v>
      </c>
      <c r="N16" s="87">
        <v>47321</v>
      </c>
      <c r="O16" s="87">
        <v>50124</v>
      </c>
      <c r="P16" s="87">
        <v>49144</v>
      </c>
      <c r="Q16" s="87">
        <v>50530</v>
      </c>
      <c r="R16" s="87">
        <v>48558</v>
      </c>
      <c r="S16" s="87">
        <v>48306</v>
      </c>
      <c r="T16" s="87">
        <v>52771</v>
      </c>
      <c r="U16" s="87">
        <v>55524</v>
      </c>
      <c r="V16" s="87">
        <v>56209</v>
      </c>
    </row>
    <row r="17" spans="1:22" ht="15" customHeight="1">
      <c r="A17" s="77"/>
      <c r="B17" s="21" t="s">
        <v>31</v>
      </c>
      <c r="C17" s="202">
        <v>269149</v>
      </c>
      <c r="D17" s="202">
        <v>293273</v>
      </c>
      <c r="E17" s="87">
        <v>324363</v>
      </c>
      <c r="F17" s="87">
        <v>323160</v>
      </c>
      <c r="G17" s="87">
        <v>324200</v>
      </c>
      <c r="H17" s="87">
        <v>319829</v>
      </c>
      <c r="I17" s="87">
        <v>305300</v>
      </c>
      <c r="J17" s="87">
        <v>246716</v>
      </c>
      <c r="K17" s="87">
        <v>273992</v>
      </c>
      <c r="L17" s="87">
        <v>295422</v>
      </c>
      <c r="M17" s="473">
        <v>290997</v>
      </c>
      <c r="N17" s="473">
        <v>290400</v>
      </c>
      <c r="O17" s="473">
        <v>292412</v>
      </c>
      <c r="P17" s="473">
        <v>293320</v>
      </c>
      <c r="Q17" s="473">
        <v>292866</v>
      </c>
      <c r="R17" s="473">
        <v>290125</v>
      </c>
      <c r="S17" s="473">
        <v>289367</v>
      </c>
      <c r="T17" s="473">
        <v>285746</v>
      </c>
      <c r="U17" s="473">
        <v>285746</v>
      </c>
      <c r="V17" s="473">
        <v>287557</v>
      </c>
    </row>
    <row r="18" spans="1:22" ht="15" customHeight="1">
      <c r="A18" s="77"/>
      <c r="B18" s="21" t="s">
        <v>32</v>
      </c>
      <c r="C18" s="202">
        <v>101588</v>
      </c>
      <c r="D18" s="202">
        <v>124095</v>
      </c>
      <c r="E18" s="87">
        <v>125933</v>
      </c>
      <c r="F18" s="87">
        <v>127193</v>
      </c>
      <c r="G18" s="87">
        <v>127367</v>
      </c>
      <c r="H18" s="87">
        <v>121506</v>
      </c>
      <c r="I18" s="87">
        <v>123433</v>
      </c>
      <c r="J18" s="87">
        <v>139412</v>
      </c>
      <c r="K18" s="87">
        <v>104710</v>
      </c>
      <c r="L18" s="87">
        <v>105754</v>
      </c>
      <c r="M18" s="473">
        <v>116831</v>
      </c>
      <c r="N18" s="473">
        <v>118002</v>
      </c>
      <c r="O18" s="473">
        <v>119663</v>
      </c>
      <c r="P18" s="473">
        <v>119420</v>
      </c>
      <c r="Q18" s="473">
        <v>119542</v>
      </c>
      <c r="R18" s="473">
        <v>118658</v>
      </c>
      <c r="S18" s="473">
        <v>119084</v>
      </c>
      <c r="T18" s="473">
        <v>117871</v>
      </c>
      <c r="U18" s="473">
        <v>118478</v>
      </c>
      <c r="V18" s="473">
        <v>117698</v>
      </c>
    </row>
    <row r="19" spans="1:22" ht="15" customHeight="1">
      <c r="A19" s="77"/>
      <c r="B19" s="21" t="s">
        <v>33</v>
      </c>
      <c r="C19" s="202">
        <v>222660</v>
      </c>
      <c r="D19" s="202">
        <v>221770</v>
      </c>
      <c r="E19" s="87">
        <v>222660</v>
      </c>
      <c r="F19" s="87">
        <v>234727</v>
      </c>
      <c r="G19" s="87">
        <v>230300</v>
      </c>
      <c r="H19" s="87">
        <v>225423</v>
      </c>
      <c r="I19" s="87">
        <v>226527</v>
      </c>
      <c r="J19" s="87">
        <v>308233</v>
      </c>
      <c r="K19" s="87">
        <v>312227</v>
      </c>
      <c r="L19" s="87">
        <v>288385</v>
      </c>
      <c r="M19" s="473">
        <v>298924</v>
      </c>
      <c r="N19" s="473">
        <v>296450</v>
      </c>
      <c r="O19" s="473">
        <v>321586</v>
      </c>
      <c r="P19" s="473">
        <v>331426</v>
      </c>
      <c r="Q19" s="473">
        <v>326506</v>
      </c>
      <c r="R19" s="473">
        <v>320443</v>
      </c>
      <c r="S19" s="473">
        <v>340566</v>
      </c>
      <c r="T19" s="473">
        <v>338505</v>
      </c>
      <c r="U19" s="473">
        <v>359952</v>
      </c>
      <c r="V19" s="473">
        <v>343821</v>
      </c>
    </row>
    <row r="20" spans="1:22" ht="15" customHeight="1">
      <c r="A20" s="77"/>
      <c r="B20" s="21" t="s">
        <v>34</v>
      </c>
      <c r="C20" s="202">
        <v>190580</v>
      </c>
      <c r="D20" s="202">
        <v>192967</v>
      </c>
      <c r="E20" s="87">
        <v>192922</v>
      </c>
      <c r="F20" s="87">
        <v>192479</v>
      </c>
      <c r="G20" s="87">
        <v>196315</v>
      </c>
      <c r="H20" s="87">
        <v>193053</v>
      </c>
      <c r="I20" s="87">
        <v>190420</v>
      </c>
      <c r="J20" s="87">
        <v>181736</v>
      </c>
      <c r="K20" s="87">
        <v>192332</v>
      </c>
      <c r="L20" s="87">
        <v>210565</v>
      </c>
      <c r="M20" s="473">
        <v>178817</v>
      </c>
      <c r="N20" s="473">
        <v>175772</v>
      </c>
      <c r="O20" s="473">
        <v>174439</v>
      </c>
      <c r="P20" s="473">
        <v>173620</v>
      </c>
      <c r="Q20" s="473">
        <v>182010</v>
      </c>
      <c r="R20" s="473">
        <v>180546</v>
      </c>
      <c r="S20" s="473">
        <v>179834</v>
      </c>
      <c r="T20" s="473">
        <v>177190</v>
      </c>
      <c r="U20" s="473">
        <v>178512</v>
      </c>
      <c r="V20" s="473">
        <v>177820</v>
      </c>
    </row>
    <row r="21" spans="1:22" ht="15" customHeight="1">
      <c r="A21" s="77"/>
      <c r="B21" s="21" t="s">
        <v>35</v>
      </c>
      <c r="C21" s="202">
        <v>268845</v>
      </c>
      <c r="D21" s="202">
        <v>263905</v>
      </c>
      <c r="E21" s="87">
        <v>258328</v>
      </c>
      <c r="F21" s="87">
        <v>248526</v>
      </c>
      <c r="G21" s="87">
        <v>215164</v>
      </c>
      <c r="H21" s="87">
        <v>204164</v>
      </c>
      <c r="I21" s="87">
        <v>201854</v>
      </c>
      <c r="J21" s="87">
        <v>201589</v>
      </c>
      <c r="K21" s="87">
        <v>234323</v>
      </c>
      <c r="L21" s="87">
        <v>230560</v>
      </c>
      <c r="M21" s="473">
        <v>230298</v>
      </c>
      <c r="N21" s="473">
        <v>222440</v>
      </c>
      <c r="O21" s="473">
        <v>205693</v>
      </c>
      <c r="P21" s="473">
        <v>218640</v>
      </c>
      <c r="Q21" s="473">
        <v>212744</v>
      </c>
      <c r="R21" s="473">
        <v>215432</v>
      </c>
      <c r="S21" s="473">
        <v>232737</v>
      </c>
      <c r="T21" s="473">
        <v>220215</v>
      </c>
      <c r="U21" s="473">
        <v>219346</v>
      </c>
      <c r="V21" s="473">
        <v>215870</v>
      </c>
    </row>
    <row r="22" spans="1:22" ht="15" customHeight="1">
      <c r="A22" s="77"/>
      <c r="B22" s="21" t="s">
        <v>36</v>
      </c>
      <c r="C22" s="202">
        <v>31022</v>
      </c>
      <c r="D22" s="202">
        <v>30221</v>
      </c>
      <c r="E22" s="87">
        <v>29637</v>
      </c>
      <c r="F22" s="87">
        <v>30050</v>
      </c>
      <c r="G22" s="87">
        <v>31200</v>
      </c>
      <c r="H22" s="87">
        <v>30426</v>
      </c>
      <c r="I22" s="87">
        <v>28624</v>
      </c>
      <c r="J22" s="87">
        <v>27380</v>
      </c>
      <c r="K22" s="87">
        <v>26180</v>
      </c>
      <c r="L22" s="87">
        <v>22631</v>
      </c>
      <c r="M22" s="473">
        <v>22850</v>
      </c>
      <c r="N22" s="473">
        <v>23993</v>
      </c>
      <c r="O22" s="473">
        <v>23870</v>
      </c>
      <c r="P22" s="473">
        <v>23571</v>
      </c>
      <c r="Q22" s="473">
        <v>23721</v>
      </c>
      <c r="R22" s="473">
        <v>23687</v>
      </c>
      <c r="S22" s="473">
        <v>23706</v>
      </c>
      <c r="T22" s="473">
        <v>22697</v>
      </c>
      <c r="U22" s="473">
        <v>23202</v>
      </c>
      <c r="V22" s="473">
        <v>23187</v>
      </c>
    </row>
    <row r="23" spans="1:22" ht="15" customHeight="1">
      <c r="A23" s="77"/>
      <c r="B23" s="21" t="s">
        <v>37</v>
      </c>
      <c r="C23" s="202">
        <v>29706</v>
      </c>
      <c r="D23" s="202">
        <v>29250</v>
      </c>
      <c r="E23" s="87">
        <v>29024</v>
      </c>
      <c r="F23" s="87">
        <v>28788</v>
      </c>
      <c r="G23" s="87">
        <v>26821</v>
      </c>
      <c r="H23" s="87">
        <v>26781</v>
      </c>
      <c r="I23" s="87">
        <v>27859</v>
      </c>
      <c r="J23" s="87">
        <v>26406</v>
      </c>
      <c r="K23" s="87">
        <v>23033</v>
      </c>
      <c r="L23" s="87">
        <v>21768</v>
      </c>
      <c r="M23" s="473">
        <v>19372</v>
      </c>
      <c r="N23" s="473">
        <v>20570</v>
      </c>
      <c r="O23" s="473">
        <v>18884</v>
      </c>
      <c r="P23" s="473">
        <v>18884</v>
      </c>
      <c r="Q23" s="473">
        <v>18884</v>
      </c>
      <c r="R23" s="473">
        <v>18912</v>
      </c>
      <c r="S23" s="473">
        <v>18897</v>
      </c>
      <c r="T23" s="473">
        <v>18405</v>
      </c>
      <c r="U23" s="473">
        <v>18651</v>
      </c>
      <c r="V23" s="473">
        <v>18974</v>
      </c>
    </row>
    <row r="24" spans="1:22" ht="15" customHeight="1">
      <c r="A24" s="77"/>
      <c r="B24" s="21" t="s">
        <v>38</v>
      </c>
      <c r="C24" s="202">
        <v>445510</v>
      </c>
      <c r="D24" s="202">
        <v>402448</v>
      </c>
      <c r="E24" s="87">
        <v>414853</v>
      </c>
      <c r="F24" s="87">
        <v>422321</v>
      </c>
      <c r="G24" s="87">
        <v>433280</v>
      </c>
      <c r="H24" s="87">
        <v>457628</v>
      </c>
      <c r="I24" s="87">
        <v>502428</v>
      </c>
      <c r="J24" s="87">
        <v>523715</v>
      </c>
      <c r="K24" s="87">
        <v>534820</v>
      </c>
      <c r="L24" s="87">
        <v>496410</v>
      </c>
      <c r="M24" s="473">
        <v>447647</v>
      </c>
      <c r="N24" s="473">
        <v>430076</v>
      </c>
      <c r="O24" s="473">
        <v>431096</v>
      </c>
      <c r="P24" s="473">
        <v>438152</v>
      </c>
      <c r="Q24" s="473">
        <v>453426</v>
      </c>
      <c r="R24" s="473">
        <v>423818</v>
      </c>
      <c r="S24" s="473">
        <v>422983</v>
      </c>
      <c r="T24" s="473">
        <v>437940</v>
      </c>
      <c r="U24" s="473">
        <v>421401</v>
      </c>
      <c r="V24" s="473">
        <v>430462</v>
      </c>
    </row>
    <row r="25" spans="1:22" ht="15" customHeight="1">
      <c r="A25" s="77"/>
      <c r="B25" s="21" t="s">
        <v>39</v>
      </c>
      <c r="C25" s="202">
        <v>323150</v>
      </c>
      <c r="D25" s="202">
        <v>324950</v>
      </c>
      <c r="E25" s="87">
        <v>332040</v>
      </c>
      <c r="F25" s="87">
        <v>336476</v>
      </c>
      <c r="G25" s="87">
        <v>338610</v>
      </c>
      <c r="H25" s="87">
        <v>333045</v>
      </c>
      <c r="I25" s="87">
        <v>340719</v>
      </c>
      <c r="J25" s="87">
        <v>346088</v>
      </c>
      <c r="K25" s="87">
        <v>294610</v>
      </c>
      <c r="L25" s="87">
        <v>300975</v>
      </c>
      <c r="M25" s="473">
        <v>304190</v>
      </c>
      <c r="N25" s="473">
        <v>295400</v>
      </c>
      <c r="O25" s="473">
        <v>296290</v>
      </c>
      <c r="P25" s="473">
        <v>296843</v>
      </c>
      <c r="Q25" s="473">
        <v>296567</v>
      </c>
      <c r="R25" s="473">
        <v>295076</v>
      </c>
      <c r="S25" s="473">
        <v>294844</v>
      </c>
      <c r="T25" s="473">
        <v>292960</v>
      </c>
      <c r="U25" s="473">
        <v>293902</v>
      </c>
      <c r="V25" s="473">
        <v>292266</v>
      </c>
    </row>
    <row r="26" spans="1:22" ht="15" customHeight="1">
      <c r="A26" s="77"/>
      <c r="B26" s="21" t="s">
        <v>42</v>
      </c>
      <c r="C26" s="202">
        <v>511848</v>
      </c>
      <c r="D26" s="202">
        <v>513739</v>
      </c>
      <c r="E26" s="87">
        <v>515430</v>
      </c>
      <c r="F26" s="87">
        <v>503610</v>
      </c>
      <c r="G26" s="87">
        <v>504329</v>
      </c>
      <c r="H26" s="87">
        <v>503311</v>
      </c>
      <c r="I26" s="87">
        <v>507051</v>
      </c>
      <c r="J26" s="87">
        <v>517772</v>
      </c>
      <c r="K26" s="87">
        <v>413459</v>
      </c>
      <c r="L26" s="87">
        <v>416924</v>
      </c>
      <c r="M26" s="473">
        <v>418637</v>
      </c>
      <c r="N26" s="473">
        <v>417960</v>
      </c>
      <c r="O26" s="473">
        <v>423941</v>
      </c>
      <c r="P26" s="473">
        <v>429684</v>
      </c>
      <c r="Q26" s="473">
        <v>439168</v>
      </c>
      <c r="R26" s="473">
        <v>440840</v>
      </c>
      <c r="S26" s="473">
        <v>442818</v>
      </c>
      <c r="T26" s="473">
        <v>443671</v>
      </c>
      <c r="U26" s="473">
        <v>441440</v>
      </c>
      <c r="V26" s="473">
        <v>443245</v>
      </c>
    </row>
    <row r="27" spans="1:22" ht="15" customHeight="1">
      <c r="A27" s="77"/>
      <c r="B27" s="21" t="s">
        <v>43</v>
      </c>
      <c r="C27" s="202">
        <v>608200</v>
      </c>
      <c r="D27" s="202">
        <v>617340</v>
      </c>
      <c r="E27" s="87">
        <v>627310</v>
      </c>
      <c r="F27" s="87">
        <v>634530</v>
      </c>
      <c r="G27" s="87">
        <v>652210</v>
      </c>
      <c r="H27" s="87">
        <v>669200</v>
      </c>
      <c r="I27" s="87">
        <v>680050</v>
      </c>
      <c r="J27" s="87">
        <v>691610</v>
      </c>
      <c r="K27" s="87">
        <v>694240</v>
      </c>
      <c r="L27" s="87">
        <v>708700</v>
      </c>
      <c r="M27" s="473">
        <v>702340</v>
      </c>
      <c r="N27" s="473">
        <v>726080</v>
      </c>
      <c r="O27" s="473">
        <v>721050</v>
      </c>
      <c r="P27" s="473">
        <v>729965</v>
      </c>
      <c r="Q27" s="473">
        <v>733260</v>
      </c>
      <c r="R27" s="473">
        <v>733660</v>
      </c>
      <c r="S27" s="473">
        <v>740290</v>
      </c>
      <c r="T27" s="473">
        <v>769420</v>
      </c>
      <c r="U27" s="473">
        <v>750570</v>
      </c>
      <c r="V27" s="473">
        <v>746265</v>
      </c>
    </row>
    <row r="28" spans="1:22" ht="15" customHeight="1">
      <c r="A28" s="77"/>
      <c r="B28" s="76" t="s">
        <v>44</v>
      </c>
      <c r="C28" s="202">
        <v>128598</v>
      </c>
      <c r="D28" s="202">
        <v>135292</v>
      </c>
      <c r="E28" s="87">
        <v>149779</v>
      </c>
      <c r="F28" s="87">
        <v>155033</v>
      </c>
      <c r="G28" s="87">
        <v>158060</v>
      </c>
      <c r="H28" s="87">
        <v>155352</v>
      </c>
      <c r="I28" s="87">
        <v>162423</v>
      </c>
      <c r="J28" s="87">
        <v>180040</v>
      </c>
      <c r="K28" s="87">
        <v>181450</v>
      </c>
      <c r="L28" s="87">
        <v>185986</v>
      </c>
      <c r="M28" s="473">
        <v>196470</v>
      </c>
      <c r="N28" s="473">
        <v>193965</v>
      </c>
      <c r="O28" s="473">
        <v>213566</v>
      </c>
      <c r="P28" s="473">
        <v>210120</v>
      </c>
      <c r="Q28" s="473">
        <v>211843</v>
      </c>
      <c r="R28" s="473">
        <v>212548</v>
      </c>
      <c r="S28" s="473">
        <v>214357</v>
      </c>
      <c r="T28" s="473">
        <v>213453</v>
      </c>
      <c r="U28" s="473">
        <v>213905</v>
      </c>
      <c r="V28" s="473">
        <v>216646</v>
      </c>
    </row>
    <row r="29" spans="1:22" ht="15" customHeight="1">
      <c r="A29" s="77"/>
      <c r="B29" s="21" t="s">
        <v>45</v>
      </c>
      <c r="C29" s="202">
        <v>31586</v>
      </c>
      <c r="D29" s="202">
        <v>31586</v>
      </c>
      <c r="E29" s="87">
        <v>31318</v>
      </c>
      <c r="F29" s="87">
        <v>30598</v>
      </c>
      <c r="G29" s="87">
        <v>30790</v>
      </c>
      <c r="H29" s="87">
        <v>35486</v>
      </c>
      <c r="I29" s="87">
        <v>36670</v>
      </c>
      <c r="J29" s="87">
        <v>35080</v>
      </c>
      <c r="K29" s="87">
        <v>42824</v>
      </c>
      <c r="L29" s="87">
        <v>43860</v>
      </c>
      <c r="M29" s="473">
        <v>43342</v>
      </c>
      <c r="N29" s="473">
        <v>46053</v>
      </c>
      <c r="O29" s="473">
        <v>46870</v>
      </c>
      <c r="P29" s="473">
        <v>45510</v>
      </c>
      <c r="Q29" s="473">
        <v>46190</v>
      </c>
      <c r="R29" s="473">
        <v>45827</v>
      </c>
      <c r="S29" s="473">
        <v>79677</v>
      </c>
      <c r="T29" s="473">
        <v>80743</v>
      </c>
      <c r="U29" s="473">
        <v>79468</v>
      </c>
      <c r="V29" s="473">
        <v>75963</v>
      </c>
    </row>
    <row r="30" spans="1:22" ht="15" customHeight="1">
      <c r="A30" s="77"/>
      <c r="B30" s="21" t="s">
        <v>46</v>
      </c>
      <c r="C30" s="202">
        <v>44500</v>
      </c>
      <c r="D30" s="202">
        <v>41400</v>
      </c>
      <c r="E30" s="87">
        <v>44016</v>
      </c>
      <c r="F30" s="87">
        <v>42475</v>
      </c>
      <c r="G30" s="87">
        <v>44280</v>
      </c>
      <c r="H30" s="87">
        <v>43334</v>
      </c>
      <c r="I30" s="87">
        <v>41105</v>
      </c>
      <c r="J30" s="87">
        <v>42210</v>
      </c>
      <c r="K30" s="87">
        <v>43180</v>
      </c>
      <c r="L30" s="87">
        <v>45194</v>
      </c>
      <c r="M30" s="473">
        <v>44187</v>
      </c>
      <c r="N30" s="473">
        <v>46396</v>
      </c>
      <c r="O30" s="473">
        <v>45690</v>
      </c>
      <c r="P30" s="473">
        <v>45720</v>
      </c>
      <c r="Q30" s="473">
        <v>45705</v>
      </c>
      <c r="R30" s="473">
        <v>41015</v>
      </c>
      <c r="S30" s="473">
        <v>66095</v>
      </c>
      <c r="T30" s="473">
        <v>63298</v>
      </c>
      <c r="U30" s="473">
        <v>73825</v>
      </c>
      <c r="V30" s="473">
        <v>65346</v>
      </c>
    </row>
    <row r="31" spans="1:22" ht="15" customHeight="1" thickBot="1">
      <c r="A31" s="82"/>
      <c r="B31" s="434" t="s">
        <v>47</v>
      </c>
      <c r="C31" s="438">
        <v>44200</v>
      </c>
      <c r="D31" s="438">
        <v>45228</v>
      </c>
      <c r="E31" s="474">
        <v>46908</v>
      </c>
      <c r="F31" s="474">
        <v>48256</v>
      </c>
      <c r="G31" s="474">
        <v>53006</v>
      </c>
      <c r="H31" s="474">
        <v>52261</v>
      </c>
      <c r="I31" s="474">
        <v>51070</v>
      </c>
      <c r="J31" s="474">
        <v>51665</v>
      </c>
      <c r="K31" s="474">
        <v>54380</v>
      </c>
      <c r="L31" s="474">
        <v>54460</v>
      </c>
      <c r="M31" s="475">
        <v>54983</v>
      </c>
      <c r="N31" s="475">
        <v>57732</v>
      </c>
      <c r="O31" s="475">
        <v>56420</v>
      </c>
      <c r="P31" s="475">
        <v>57340</v>
      </c>
      <c r="Q31" s="475">
        <v>56880</v>
      </c>
      <c r="R31" s="475">
        <v>60377</v>
      </c>
      <c r="S31" s="475">
        <v>60875</v>
      </c>
      <c r="T31" s="475">
        <v>63298</v>
      </c>
      <c r="U31" s="475">
        <v>64923</v>
      </c>
      <c r="V31" s="475">
        <v>60117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3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3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3" ht="13.25" customHeight="1">
      <c r="A35" s="833"/>
      <c r="B35" s="833"/>
      <c r="C35" s="833"/>
      <c r="D35" s="833"/>
      <c r="E35" s="833"/>
      <c r="F35" s="833"/>
      <c r="G35" s="833"/>
      <c r="H35" s="833"/>
    </row>
    <row r="36" spans="1:23" ht="13.25" customHeight="1">
      <c r="A36" s="834"/>
      <c r="B36" s="834"/>
      <c r="C36" s="834"/>
      <c r="D36" s="834"/>
      <c r="E36" s="834"/>
      <c r="F36" s="834"/>
      <c r="G36" s="834"/>
      <c r="H36" s="834"/>
      <c r="W36" s="26"/>
    </row>
    <row r="37" spans="1:23" ht="13.25" customHeight="1">
      <c r="W37" s="26"/>
    </row>
    <row r="38" spans="1:23" ht="13.25" customHeight="1">
      <c r="W38" s="26"/>
    </row>
    <row r="39" spans="1:23" ht="13.25" customHeight="1">
      <c r="W39" s="63"/>
    </row>
    <row r="40" spans="1:23" ht="13.25" customHeight="1">
      <c r="W40" s="26"/>
    </row>
    <row r="41" spans="1:23" ht="13.25" customHeight="1">
      <c r="W41" s="26"/>
    </row>
    <row r="42" spans="1:23" ht="13.25" customHeight="1">
      <c r="W42" s="63"/>
    </row>
    <row r="43" spans="1:23" ht="13.25" customHeight="1">
      <c r="W43" s="63"/>
    </row>
    <row r="44" spans="1:23" ht="13.25" customHeight="1">
      <c r="W44" s="26"/>
    </row>
    <row r="45" spans="1:23" ht="13.25" customHeight="1">
      <c r="W45" s="26"/>
    </row>
    <row r="46" spans="1:23" ht="13.25" customHeight="1">
      <c r="W46" s="26"/>
    </row>
    <row r="47" spans="1:23" ht="13.25" customHeight="1">
      <c r="W47" s="26"/>
    </row>
    <row r="48" spans="1:23" ht="13.25" customHeight="1">
      <c r="W48" s="26"/>
    </row>
    <row r="49" spans="23:23" ht="13.25" customHeight="1">
      <c r="W49" s="63"/>
    </row>
    <row r="50" spans="23:23" ht="13.25" customHeight="1">
      <c r="W50" s="26"/>
    </row>
    <row r="51" spans="23:23" ht="13.25" customHeight="1">
      <c r="W51" s="26"/>
    </row>
    <row r="52" spans="23:23" ht="13.25" customHeight="1">
      <c r="W52" s="26"/>
    </row>
    <row r="53" spans="23:23" ht="13.25" customHeight="1">
      <c r="W53" s="63"/>
    </row>
    <row r="54" spans="23:23" ht="13.25" customHeight="1">
      <c r="W54" s="26"/>
    </row>
    <row r="55" spans="23:23" ht="13.25" customHeight="1">
      <c r="W55" s="26"/>
    </row>
    <row r="56" spans="23:23" ht="13.25" customHeight="1">
      <c r="W56" s="11"/>
    </row>
    <row r="57" spans="23:23" ht="13.25" customHeight="1">
      <c r="W57" s="11"/>
    </row>
    <row r="58" spans="23:23" ht="13.25" customHeight="1">
      <c r="W58" s="63"/>
    </row>
    <row r="59" spans="23:23" ht="13.25" customHeight="1">
      <c r="W59" s="63"/>
    </row>
    <row r="60" spans="23:23" ht="13.25" customHeight="1">
      <c r="W60" s="63"/>
    </row>
    <row r="61" spans="23:23" ht="13.25" customHeight="1">
      <c r="W61" s="6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02" orientation="portrait" r:id="rId1"/>
  <headerFooter scaleWithDoc="0" alignWithMargins="0"/>
  <ignoredErrors>
    <ignoredError sqref="P5:Q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6">
    <tabColor theme="9" tint="0.59999389629810485"/>
  </sheetPr>
  <dimension ref="A2:W36"/>
  <sheetViews>
    <sheetView showGridLines="0" zoomScaleNormal="100" workbookViewId="0">
      <selection activeCell="V24" sqref="V24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7.59765625" style="76" customWidth="1"/>
    <col min="23" max="16384" width="7" style="76"/>
  </cols>
  <sheetData>
    <row r="2" spans="1:23" ht="20.25" customHeight="1">
      <c r="A2" s="201" t="s">
        <v>480</v>
      </c>
      <c r="B2" s="199"/>
    </row>
    <row r="3" spans="1:23" ht="13.25" customHeight="1">
      <c r="A3" s="200" t="s">
        <v>211</v>
      </c>
      <c r="B3" s="200"/>
    </row>
    <row r="4" spans="1:23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</row>
    <row r="5" spans="1:23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 t="s">
        <v>298</v>
      </c>
      <c r="S5" s="735" t="s">
        <v>399</v>
      </c>
      <c r="T5" s="735" t="s">
        <v>396</v>
      </c>
      <c r="U5" s="735" t="s">
        <v>459</v>
      </c>
      <c r="V5" s="735" t="s">
        <v>469</v>
      </c>
    </row>
    <row r="6" spans="1:23" ht="18" customHeight="1">
      <c r="A6" s="1020" t="s">
        <v>93</v>
      </c>
      <c r="B6" s="1020"/>
      <c r="C6" s="629">
        <f t="shared" ref="C6:N6" si="0">(C8+C9+C10+C11+C12+C13+C14+C15+C16+C17+C18+C19+C20+C21+C22+C23+C24+C25+C26+C27+C28+C29+C30+C31)</f>
        <v>1074578</v>
      </c>
      <c r="D6" s="629">
        <f t="shared" si="0"/>
        <v>1127320</v>
      </c>
      <c r="E6" s="630">
        <f t="shared" si="0"/>
        <v>1138578</v>
      </c>
      <c r="F6" s="630">
        <f t="shared" si="0"/>
        <v>1151906</v>
      </c>
      <c r="G6" s="630">
        <f t="shared" si="0"/>
        <v>1168497</v>
      </c>
      <c r="H6" s="630">
        <f t="shared" si="0"/>
        <v>1218722</v>
      </c>
      <c r="I6" s="630">
        <f t="shared" si="0"/>
        <v>1266710</v>
      </c>
      <c r="J6" s="630">
        <f t="shared" si="0"/>
        <v>1319404</v>
      </c>
      <c r="K6" s="630">
        <f t="shared" si="0"/>
        <v>1375095</v>
      </c>
      <c r="L6" s="630">
        <f t="shared" si="0"/>
        <v>1376390</v>
      </c>
      <c r="M6" s="630">
        <f>(M8+M9+M10+M11+M12+M13+M14+M15+M16+M17+M18+M19+M20+M21+M22+M23+M24+M25+M26+M27+M28+M29+M30+M31)</f>
        <v>1367797</v>
      </c>
      <c r="N6" s="630">
        <f t="shared" si="0"/>
        <v>1364230</v>
      </c>
      <c r="O6" s="630">
        <f t="shared" ref="O6:V6" si="1">(O8+O9+O10+O11+O12+O13+O14+O15+O16+O17+O18+O19+O20+O21+O22+O23+O24+O25+O26+O27+O28+O29+O30+O31)</f>
        <v>1331223</v>
      </c>
      <c r="P6" s="630">
        <f t="shared" si="1"/>
        <v>1348165</v>
      </c>
      <c r="Q6" s="630">
        <f t="shared" si="1"/>
        <v>1357067</v>
      </c>
      <c r="R6" s="630">
        <f t="shared" si="1"/>
        <v>1250070</v>
      </c>
      <c r="S6" s="630">
        <f t="shared" si="1"/>
        <v>1303069</v>
      </c>
      <c r="T6" s="630">
        <f t="shared" ref="T6:U6" si="2">(T8+T9+T10+T11+T12+T13+T14+T15+T16+T17+T18+T19+T20+T21+T22+T23+T24+T25+T26+T27+T28+T29+T30+T31)</f>
        <v>1316221</v>
      </c>
      <c r="U6" s="630">
        <f t="shared" si="2"/>
        <v>1344664</v>
      </c>
      <c r="V6" s="630">
        <f t="shared" si="1"/>
        <v>1380599</v>
      </c>
    </row>
    <row r="7" spans="1:23" ht="3" customHeight="1">
      <c r="A7" s="77"/>
      <c r="B7" s="78"/>
      <c r="C7" s="203"/>
      <c r="D7" s="203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</row>
    <row r="8" spans="1:23" ht="15" customHeight="1">
      <c r="A8" s="77"/>
      <c r="B8" s="21" t="s">
        <v>19</v>
      </c>
      <c r="C8" s="202">
        <v>2573</v>
      </c>
      <c r="D8" s="202">
        <v>2418</v>
      </c>
      <c r="E8" s="87">
        <v>2930</v>
      </c>
      <c r="F8" s="87">
        <v>3894</v>
      </c>
      <c r="G8" s="87">
        <v>5335</v>
      </c>
      <c r="H8" s="87">
        <v>5461</v>
      </c>
      <c r="I8" s="87">
        <v>5844</v>
      </c>
      <c r="J8" s="87">
        <v>6574</v>
      </c>
      <c r="K8" s="87">
        <v>7212</v>
      </c>
      <c r="L8" s="87">
        <v>8084</v>
      </c>
      <c r="M8" s="87">
        <v>7723</v>
      </c>
      <c r="N8" s="473">
        <v>3812</v>
      </c>
      <c r="O8" s="473">
        <v>5673</v>
      </c>
      <c r="P8" s="473">
        <v>4958</v>
      </c>
      <c r="Q8" s="473">
        <v>4510</v>
      </c>
      <c r="R8" s="473">
        <v>4115</v>
      </c>
      <c r="S8" s="473">
        <v>3668</v>
      </c>
      <c r="T8" s="473">
        <v>3329</v>
      </c>
      <c r="U8" s="473">
        <v>3530</v>
      </c>
      <c r="V8" s="473">
        <v>3641</v>
      </c>
    </row>
    <row r="9" spans="1:23" ht="15" customHeight="1">
      <c r="A9" s="77"/>
      <c r="B9" s="21" t="s">
        <v>20</v>
      </c>
      <c r="C9" s="202">
        <v>67649</v>
      </c>
      <c r="D9" s="202">
        <v>70283</v>
      </c>
      <c r="E9" s="87">
        <v>65745</v>
      </c>
      <c r="F9" s="87">
        <v>65730</v>
      </c>
      <c r="G9" s="87">
        <v>59431</v>
      </c>
      <c r="H9" s="87">
        <v>58172</v>
      </c>
      <c r="I9" s="87">
        <v>55889</v>
      </c>
      <c r="J9" s="87">
        <v>60264</v>
      </c>
      <c r="K9" s="87">
        <v>56967</v>
      </c>
      <c r="L9" s="87">
        <v>51654</v>
      </c>
      <c r="M9" s="87">
        <v>48938</v>
      </c>
      <c r="N9" s="473">
        <v>47065</v>
      </c>
      <c r="O9" s="473">
        <v>45661</v>
      </c>
      <c r="P9" s="473">
        <v>45440</v>
      </c>
      <c r="Q9" s="473">
        <v>47805</v>
      </c>
      <c r="R9" s="473">
        <v>47306</v>
      </c>
      <c r="S9" s="473">
        <v>47401</v>
      </c>
      <c r="T9" s="473">
        <v>47004</v>
      </c>
      <c r="U9" s="473">
        <v>48982</v>
      </c>
      <c r="V9" s="473">
        <v>50691</v>
      </c>
    </row>
    <row r="10" spans="1:23" ht="15" customHeight="1">
      <c r="A10" s="77"/>
      <c r="B10" s="21" t="s">
        <v>21</v>
      </c>
      <c r="C10" s="202">
        <v>22582</v>
      </c>
      <c r="D10" s="202">
        <v>22280</v>
      </c>
      <c r="E10" s="87">
        <v>22069</v>
      </c>
      <c r="F10" s="87">
        <v>19767</v>
      </c>
      <c r="G10" s="87">
        <v>19385</v>
      </c>
      <c r="H10" s="87">
        <v>18682</v>
      </c>
      <c r="I10" s="87">
        <v>17423</v>
      </c>
      <c r="J10" s="87">
        <v>18996</v>
      </c>
      <c r="K10" s="87">
        <v>20641</v>
      </c>
      <c r="L10" s="87">
        <v>23846</v>
      </c>
      <c r="M10" s="87">
        <v>23209</v>
      </c>
      <c r="N10" s="87">
        <v>23032</v>
      </c>
      <c r="O10" s="87">
        <v>22198</v>
      </c>
      <c r="P10" s="87">
        <v>22165</v>
      </c>
      <c r="Q10" s="87">
        <v>21454</v>
      </c>
      <c r="R10" s="87">
        <v>19738</v>
      </c>
      <c r="S10" s="87">
        <v>20430</v>
      </c>
      <c r="T10" s="87">
        <v>20895</v>
      </c>
      <c r="U10" s="87">
        <v>20075</v>
      </c>
      <c r="V10" s="87">
        <v>20276</v>
      </c>
      <c r="W10" s="84"/>
    </row>
    <row r="11" spans="1:23" ht="15" customHeight="1">
      <c r="A11" s="77"/>
      <c r="B11" s="21" t="s">
        <v>22</v>
      </c>
      <c r="C11" s="202">
        <v>38590</v>
      </c>
      <c r="D11" s="202">
        <v>39984</v>
      </c>
      <c r="E11" s="87">
        <v>41125</v>
      </c>
      <c r="F11" s="87">
        <v>42224</v>
      </c>
      <c r="G11" s="87">
        <v>42848</v>
      </c>
      <c r="H11" s="87">
        <v>43307</v>
      </c>
      <c r="I11" s="87">
        <v>45452</v>
      </c>
      <c r="J11" s="87">
        <v>45649</v>
      </c>
      <c r="K11" s="87">
        <v>48278</v>
      </c>
      <c r="L11" s="87">
        <v>49237</v>
      </c>
      <c r="M11" s="87">
        <v>50755</v>
      </c>
      <c r="N11" s="473">
        <v>51726</v>
      </c>
      <c r="O11" s="473">
        <v>54880</v>
      </c>
      <c r="P11" s="473">
        <v>55173</v>
      </c>
      <c r="Q11" s="473">
        <v>58195</v>
      </c>
      <c r="R11" s="473">
        <v>60576</v>
      </c>
      <c r="S11" s="473">
        <v>60986</v>
      </c>
      <c r="T11" s="473">
        <v>63890</v>
      </c>
      <c r="U11" s="473">
        <v>62771</v>
      </c>
      <c r="V11" s="473">
        <v>64178</v>
      </c>
      <c r="W11" s="84"/>
    </row>
    <row r="12" spans="1:23" ht="15" customHeight="1">
      <c r="A12" s="77"/>
      <c r="B12" s="21" t="s">
        <v>23</v>
      </c>
      <c r="C12" s="202">
        <v>137225</v>
      </c>
      <c r="D12" s="202">
        <v>159044</v>
      </c>
      <c r="E12" s="87">
        <v>173505</v>
      </c>
      <c r="F12" s="87">
        <v>168102</v>
      </c>
      <c r="G12" s="87">
        <v>172901</v>
      </c>
      <c r="H12" s="87">
        <v>192200</v>
      </c>
      <c r="I12" s="87">
        <v>204853</v>
      </c>
      <c r="J12" s="87">
        <v>200959</v>
      </c>
      <c r="K12" s="87">
        <v>215540</v>
      </c>
      <c r="L12" s="87">
        <v>223400</v>
      </c>
      <c r="M12" s="87">
        <v>217543</v>
      </c>
      <c r="N12" s="473">
        <v>214187</v>
      </c>
      <c r="O12" s="473">
        <v>210048</v>
      </c>
      <c r="P12" s="473">
        <v>192900</v>
      </c>
      <c r="Q12" s="473">
        <v>196668</v>
      </c>
      <c r="R12" s="473">
        <v>165617</v>
      </c>
      <c r="S12" s="473">
        <v>184568</v>
      </c>
      <c r="T12" s="473">
        <v>179786</v>
      </c>
      <c r="U12" s="473">
        <v>166375</v>
      </c>
      <c r="V12" s="473">
        <v>167972</v>
      </c>
      <c r="W12" s="84"/>
    </row>
    <row r="13" spans="1:23" ht="15" customHeight="1">
      <c r="A13" s="77"/>
      <c r="B13" s="21" t="s">
        <v>27</v>
      </c>
      <c r="C13" s="202">
        <v>38436</v>
      </c>
      <c r="D13" s="202">
        <v>41714</v>
      </c>
      <c r="E13" s="87">
        <v>41250</v>
      </c>
      <c r="F13" s="87">
        <v>48751</v>
      </c>
      <c r="G13" s="87">
        <v>46747</v>
      </c>
      <c r="H13" s="87">
        <v>52759</v>
      </c>
      <c r="I13" s="87">
        <v>51187</v>
      </c>
      <c r="J13" s="87">
        <v>56188</v>
      </c>
      <c r="K13" s="87">
        <v>56942</v>
      </c>
      <c r="L13" s="87">
        <v>57637</v>
      </c>
      <c r="M13" s="87">
        <v>57779</v>
      </c>
      <c r="N13" s="87">
        <v>58697</v>
      </c>
      <c r="O13" s="87">
        <v>59675</v>
      </c>
      <c r="P13" s="87">
        <v>61709</v>
      </c>
      <c r="Q13" s="87">
        <v>62118</v>
      </c>
      <c r="R13" s="87">
        <v>54126</v>
      </c>
      <c r="S13" s="87">
        <v>50960</v>
      </c>
      <c r="T13" s="87">
        <v>56392</v>
      </c>
      <c r="U13" s="87">
        <v>63582</v>
      </c>
      <c r="V13" s="87">
        <v>67815</v>
      </c>
      <c r="W13" s="84"/>
    </row>
    <row r="14" spans="1:23" ht="15" customHeight="1">
      <c r="A14" s="77"/>
      <c r="B14" s="21" t="s">
        <v>28</v>
      </c>
      <c r="C14" s="202">
        <v>50607</v>
      </c>
      <c r="D14" s="202">
        <v>52411</v>
      </c>
      <c r="E14" s="87">
        <v>52497</v>
      </c>
      <c r="F14" s="87">
        <v>55602</v>
      </c>
      <c r="G14" s="87">
        <v>56224</v>
      </c>
      <c r="H14" s="87">
        <v>56350</v>
      </c>
      <c r="I14" s="87">
        <v>61256</v>
      </c>
      <c r="J14" s="87">
        <v>63253</v>
      </c>
      <c r="K14" s="87">
        <v>65763</v>
      </c>
      <c r="L14" s="87">
        <v>67129</v>
      </c>
      <c r="M14" s="87">
        <v>69381</v>
      </c>
      <c r="N14" s="473">
        <v>72348</v>
      </c>
      <c r="O14" s="473">
        <v>70685</v>
      </c>
      <c r="P14" s="473">
        <v>71244</v>
      </c>
      <c r="Q14" s="473">
        <v>72763</v>
      </c>
      <c r="R14" s="473">
        <v>68633</v>
      </c>
      <c r="S14" s="473">
        <v>62644</v>
      </c>
      <c r="T14" s="473">
        <v>62463</v>
      </c>
      <c r="U14" s="473">
        <v>62939</v>
      </c>
      <c r="V14" s="473">
        <v>60566</v>
      </c>
      <c r="W14" s="84"/>
    </row>
    <row r="15" spans="1:23" ht="15" customHeight="1">
      <c r="A15" s="77"/>
      <c r="B15" s="21" t="s">
        <v>29</v>
      </c>
      <c r="C15" s="202">
        <v>106742</v>
      </c>
      <c r="D15" s="202">
        <v>110598</v>
      </c>
      <c r="E15" s="87">
        <v>111846</v>
      </c>
      <c r="F15" s="87">
        <v>106946</v>
      </c>
      <c r="G15" s="87">
        <v>106932</v>
      </c>
      <c r="H15" s="87">
        <v>110315</v>
      </c>
      <c r="I15" s="87">
        <v>112788</v>
      </c>
      <c r="J15" s="87">
        <v>114785</v>
      </c>
      <c r="K15" s="87">
        <v>113303</v>
      </c>
      <c r="L15" s="87">
        <v>113750</v>
      </c>
      <c r="M15" s="87">
        <v>113823</v>
      </c>
      <c r="N15" s="473">
        <v>114444</v>
      </c>
      <c r="O15" s="473">
        <v>116208</v>
      </c>
      <c r="P15" s="473">
        <v>115837</v>
      </c>
      <c r="Q15" s="473">
        <v>113481</v>
      </c>
      <c r="R15" s="473">
        <v>106805</v>
      </c>
      <c r="S15" s="473">
        <v>109767</v>
      </c>
      <c r="T15" s="473">
        <v>109624</v>
      </c>
      <c r="U15" s="473">
        <v>110685</v>
      </c>
      <c r="V15" s="473">
        <v>123024</v>
      </c>
      <c r="W15" s="84"/>
    </row>
    <row r="16" spans="1:23" ht="15" customHeight="1">
      <c r="A16" s="77"/>
      <c r="B16" s="21" t="s">
        <v>30</v>
      </c>
      <c r="C16" s="202">
        <v>7578</v>
      </c>
      <c r="D16" s="202">
        <v>7754</v>
      </c>
      <c r="E16" s="87">
        <v>8014</v>
      </c>
      <c r="F16" s="87">
        <v>8724</v>
      </c>
      <c r="G16" s="87">
        <v>9240</v>
      </c>
      <c r="H16" s="87">
        <v>10332</v>
      </c>
      <c r="I16" s="87">
        <v>11597</v>
      </c>
      <c r="J16" s="87">
        <v>11731</v>
      </c>
      <c r="K16" s="87">
        <v>12686</v>
      </c>
      <c r="L16" s="87">
        <v>13112</v>
      </c>
      <c r="M16" s="87">
        <v>12407</v>
      </c>
      <c r="N16" s="87">
        <v>13999</v>
      </c>
      <c r="O16" s="87">
        <v>12350</v>
      </c>
      <c r="P16" s="87">
        <v>11880</v>
      </c>
      <c r="Q16" s="87">
        <v>13058</v>
      </c>
      <c r="R16" s="87">
        <v>15834</v>
      </c>
      <c r="S16" s="87">
        <v>20410</v>
      </c>
      <c r="T16" s="87">
        <v>21179</v>
      </c>
      <c r="U16" s="87">
        <v>35150</v>
      </c>
      <c r="V16" s="87">
        <v>40371</v>
      </c>
      <c r="W16" s="84"/>
    </row>
    <row r="17" spans="1:23" ht="15" customHeight="1">
      <c r="A17" s="77"/>
      <c r="B17" s="21" t="s">
        <v>31</v>
      </c>
      <c r="C17" s="202">
        <v>59649</v>
      </c>
      <c r="D17" s="202">
        <v>63816</v>
      </c>
      <c r="E17" s="87">
        <v>72114</v>
      </c>
      <c r="F17" s="87">
        <v>76355</v>
      </c>
      <c r="G17" s="87">
        <v>79585</v>
      </c>
      <c r="H17" s="87">
        <v>85815</v>
      </c>
      <c r="I17" s="87">
        <v>94930</v>
      </c>
      <c r="J17" s="87">
        <v>114520</v>
      </c>
      <c r="K17" s="87">
        <v>140057</v>
      </c>
      <c r="L17" s="87">
        <v>141250</v>
      </c>
      <c r="M17" s="87">
        <v>144125</v>
      </c>
      <c r="N17" s="473">
        <v>144071</v>
      </c>
      <c r="O17" s="473">
        <v>120539</v>
      </c>
      <c r="P17" s="473">
        <v>146932</v>
      </c>
      <c r="Q17" s="473">
        <v>149251</v>
      </c>
      <c r="R17" s="473">
        <v>148059</v>
      </c>
      <c r="S17" s="473">
        <v>150369</v>
      </c>
      <c r="T17" s="473">
        <v>151838</v>
      </c>
      <c r="U17" s="473">
        <v>159996</v>
      </c>
      <c r="V17" s="473">
        <v>173113</v>
      </c>
      <c r="W17" s="84"/>
    </row>
    <row r="18" spans="1:23" ht="15" customHeight="1">
      <c r="A18" s="77"/>
      <c r="B18" s="21" t="s">
        <v>32</v>
      </c>
      <c r="C18" s="202">
        <v>24789</v>
      </c>
      <c r="D18" s="202">
        <v>21165</v>
      </c>
      <c r="E18" s="87">
        <v>21528</v>
      </c>
      <c r="F18" s="87">
        <v>21968</v>
      </c>
      <c r="G18" s="87">
        <v>22677</v>
      </c>
      <c r="H18" s="87">
        <v>23684</v>
      </c>
      <c r="I18" s="87">
        <v>23161</v>
      </c>
      <c r="J18" s="87">
        <v>23312</v>
      </c>
      <c r="K18" s="87">
        <v>24007</v>
      </c>
      <c r="L18" s="87">
        <v>22792</v>
      </c>
      <c r="M18" s="87">
        <v>22998</v>
      </c>
      <c r="N18" s="473">
        <v>21400</v>
      </c>
      <c r="O18" s="473">
        <v>21814</v>
      </c>
      <c r="P18" s="473">
        <v>22594</v>
      </c>
      <c r="Q18" s="473">
        <v>23223</v>
      </c>
      <c r="R18" s="473">
        <v>22902</v>
      </c>
      <c r="S18" s="473">
        <v>23722</v>
      </c>
      <c r="T18" s="473">
        <v>23734</v>
      </c>
      <c r="U18" s="473">
        <v>23371</v>
      </c>
      <c r="V18" s="473">
        <v>24126</v>
      </c>
      <c r="W18" s="84"/>
    </row>
    <row r="19" spans="1:23" ht="15" customHeight="1">
      <c r="A19" s="77"/>
      <c r="B19" s="21" t="s">
        <v>33</v>
      </c>
      <c r="C19" s="202">
        <v>38200</v>
      </c>
      <c r="D19" s="202">
        <v>37880</v>
      </c>
      <c r="E19" s="87">
        <v>39227</v>
      </c>
      <c r="F19" s="87">
        <v>39152</v>
      </c>
      <c r="G19" s="87">
        <v>44461</v>
      </c>
      <c r="H19" s="87">
        <v>49775</v>
      </c>
      <c r="I19" s="87">
        <v>53811</v>
      </c>
      <c r="J19" s="87">
        <v>58536</v>
      </c>
      <c r="K19" s="87">
        <v>61110</v>
      </c>
      <c r="L19" s="87">
        <v>63524</v>
      </c>
      <c r="M19" s="87">
        <v>71403</v>
      </c>
      <c r="N19" s="473">
        <v>72302</v>
      </c>
      <c r="O19" s="473">
        <v>77250</v>
      </c>
      <c r="P19" s="473">
        <v>75790</v>
      </c>
      <c r="Q19" s="473">
        <v>61103</v>
      </c>
      <c r="R19" s="473">
        <v>49952</v>
      </c>
      <c r="S19" s="473">
        <v>55007</v>
      </c>
      <c r="T19" s="473">
        <v>59365</v>
      </c>
      <c r="U19" s="473">
        <v>58979</v>
      </c>
      <c r="V19" s="473">
        <v>59597</v>
      </c>
      <c r="W19" s="84"/>
    </row>
    <row r="20" spans="1:23" ht="15" customHeight="1">
      <c r="A20" s="77"/>
      <c r="B20" s="21" t="s">
        <v>34</v>
      </c>
      <c r="C20" s="202">
        <v>26421</v>
      </c>
      <c r="D20" s="202">
        <v>24031</v>
      </c>
      <c r="E20" s="87">
        <v>25261</v>
      </c>
      <c r="F20" s="87">
        <v>29845</v>
      </c>
      <c r="G20" s="87">
        <v>31300</v>
      </c>
      <c r="H20" s="87">
        <v>30058</v>
      </c>
      <c r="I20" s="87">
        <v>32977</v>
      </c>
      <c r="J20" s="87">
        <v>34203</v>
      </c>
      <c r="K20" s="87">
        <v>39321</v>
      </c>
      <c r="L20" s="87">
        <v>39774</v>
      </c>
      <c r="M20" s="87">
        <v>38160</v>
      </c>
      <c r="N20" s="473">
        <v>33336</v>
      </c>
      <c r="O20" s="473">
        <v>33790</v>
      </c>
      <c r="P20" s="473">
        <v>31298</v>
      </c>
      <c r="Q20" s="473">
        <v>29731</v>
      </c>
      <c r="R20" s="473">
        <v>28579</v>
      </c>
      <c r="S20" s="473">
        <v>27973</v>
      </c>
      <c r="T20" s="473">
        <v>26000</v>
      </c>
      <c r="U20" s="473">
        <v>23777</v>
      </c>
      <c r="V20" s="473">
        <v>22400</v>
      </c>
      <c r="W20" s="84"/>
    </row>
    <row r="21" spans="1:23" ht="15" customHeight="1">
      <c r="A21" s="77"/>
      <c r="B21" s="21" t="s">
        <v>35</v>
      </c>
      <c r="C21" s="202">
        <v>55525</v>
      </c>
      <c r="D21" s="202">
        <v>55736</v>
      </c>
      <c r="E21" s="87">
        <v>40546</v>
      </c>
      <c r="F21" s="87">
        <v>39625</v>
      </c>
      <c r="G21" s="87">
        <v>33291</v>
      </c>
      <c r="H21" s="87">
        <v>33050</v>
      </c>
      <c r="I21" s="87">
        <v>33713</v>
      </c>
      <c r="J21" s="87">
        <v>35916</v>
      </c>
      <c r="K21" s="87">
        <v>45090</v>
      </c>
      <c r="L21" s="87">
        <v>45436</v>
      </c>
      <c r="M21" s="87">
        <v>43383</v>
      </c>
      <c r="N21" s="473">
        <v>40991</v>
      </c>
      <c r="O21" s="473">
        <v>34053</v>
      </c>
      <c r="P21" s="473">
        <v>34646</v>
      </c>
      <c r="Q21" s="473">
        <v>35096</v>
      </c>
      <c r="R21" s="473">
        <v>28525</v>
      </c>
      <c r="S21" s="473">
        <v>30478</v>
      </c>
      <c r="T21" s="473">
        <v>32484</v>
      </c>
      <c r="U21" s="473">
        <v>33219</v>
      </c>
      <c r="V21" s="473">
        <v>31523</v>
      </c>
      <c r="W21" s="84"/>
    </row>
    <row r="22" spans="1:23" ht="15" customHeight="1">
      <c r="A22" s="77"/>
      <c r="B22" s="21" t="s">
        <v>36</v>
      </c>
      <c r="C22" s="202">
        <v>6677</v>
      </c>
      <c r="D22" s="202">
        <v>7103</v>
      </c>
      <c r="E22" s="87">
        <v>7311</v>
      </c>
      <c r="F22" s="87">
        <v>6445</v>
      </c>
      <c r="G22" s="87">
        <v>5763</v>
      </c>
      <c r="H22" s="87">
        <v>5342</v>
      </c>
      <c r="I22" s="87">
        <v>5306</v>
      </c>
      <c r="J22" s="87">
        <v>4637</v>
      </c>
      <c r="K22" s="87">
        <v>5008</v>
      </c>
      <c r="L22" s="87">
        <v>5354</v>
      </c>
      <c r="M22" s="87">
        <v>5329</v>
      </c>
      <c r="N22" s="473">
        <v>5114</v>
      </c>
      <c r="O22" s="473">
        <v>4227</v>
      </c>
      <c r="P22" s="473">
        <v>3536</v>
      </c>
      <c r="Q22" s="473">
        <v>3495</v>
      </c>
      <c r="R22" s="473">
        <v>3105</v>
      </c>
      <c r="S22" s="473">
        <v>3579</v>
      </c>
      <c r="T22" s="473">
        <v>3570</v>
      </c>
      <c r="U22" s="473">
        <v>3695</v>
      </c>
      <c r="V22" s="473">
        <v>3936</v>
      </c>
      <c r="W22" s="84"/>
    </row>
    <row r="23" spans="1:23" ht="15" customHeight="1">
      <c r="A23" s="77"/>
      <c r="B23" s="21" t="s">
        <v>37</v>
      </c>
      <c r="C23" s="202">
        <v>6140</v>
      </c>
      <c r="D23" s="202">
        <v>5963</v>
      </c>
      <c r="E23" s="87">
        <v>6056</v>
      </c>
      <c r="F23" s="87">
        <v>6208</v>
      </c>
      <c r="G23" s="87">
        <v>5910</v>
      </c>
      <c r="H23" s="87">
        <v>5982</v>
      </c>
      <c r="I23" s="87">
        <v>6016</v>
      </c>
      <c r="J23" s="87">
        <v>6451</v>
      </c>
      <c r="K23" s="87">
        <v>5996</v>
      </c>
      <c r="L23" s="87">
        <v>5897</v>
      </c>
      <c r="M23" s="87">
        <v>5465</v>
      </c>
      <c r="N23" s="473">
        <v>5253</v>
      </c>
      <c r="O23" s="473">
        <v>5042</v>
      </c>
      <c r="P23" s="473">
        <v>4960</v>
      </c>
      <c r="Q23" s="473">
        <v>5040</v>
      </c>
      <c r="R23" s="473">
        <v>5096</v>
      </c>
      <c r="S23" s="473">
        <v>5177</v>
      </c>
      <c r="T23" s="473">
        <v>5276</v>
      </c>
      <c r="U23" s="473">
        <v>5396</v>
      </c>
      <c r="V23" s="473">
        <v>5500</v>
      </c>
      <c r="W23" s="84"/>
    </row>
    <row r="24" spans="1:23" ht="15" customHeight="1">
      <c r="A24" s="77"/>
      <c r="B24" s="21" t="s">
        <v>38</v>
      </c>
      <c r="C24" s="202">
        <v>85922</v>
      </c>
      <c r="D24" s="202">
        <v>79926</v>
      </c>
      <c r="E24" s="87">
        <v>80728</v>
      </c>
      <c r="F24" s="87">
        <v>80999</v>
      </c>
      <c r="G24" s="87">
        <v>86714</v>
      </c>
      <c r="H24" s="87">
        <v>92190</v>
      </c>
      <c r="I24" s="87">
        <v>97108</v>
      </c>
      <c r="J24" s="87">
        <v>102265</v>
      </c>
      <c r="K24" s="87">
        <v>109025</v>
      </c>
      <c r="L24" s="87">
        <v>92924</v>
      </c>
      <c r="M24" s="87">
        <v>93051</v>
      </c>
      <c r="N24" s="473">
        <v>94861</v>
      </c>
      <c r="O24" s="473">
        <v>88827</v>
      </c>
      <c r="P24" s="473">
        <v>89704</v>
      </c>
      <c r="Q24" s="473">
        <v>97165</v>
      </c>
      <c r="R24" s="473">
        <v>82039</v>
      </c>
      <c r="S24" s="473">
        <v>86814</v>
      </c>
      <c r="T24" s="473">
        <v>93214</v>
      </c>
      <c r="U24" s="473">
        <v>98128</v>
      </c>
      <c r="V24" s="473">
        <v>97622</v>
      </c>
      <c r="W24" s="84"/>
    </row>
    <row r="25" spans="1:23" ht="15" customHeight="1">
      <c r="A25" s="77"/>
      <c r="B25" s="21" t="s">
        <v>39</v>
      </c>
      <c r="C25" s="202">
        <v>33857</v>
      </c>
      <c r="D25" s="202">
        <v>41333</v>
      </c>
      <c r="E25" s="87">
        <v>46278</v>
      </c>
      <c r="F25" s="87">
        <v>47821</v>
      </c>
      <c r="G25" s="87">
        <v>48703</v>
      </c>
      <c r="H25" s="87">
        <v>45601</v>
      </c>
      <c r="I25" s="87">
        <v>45634</v>
      </c>
      <c r="J25" s="87">
        <v>45250</v>
      </c>
      <c r="K25" s="87">
        <v>44459</v>
      </c>
      <c r="L25" s="87">
        <v>45263</v>
      </c>
      <c r="M25" s="87">
        <v>45361</v>
      </c>
      <c r="N25" s="473">
        <v>45260</v>
      </c>
      <c r="O25" s="473">
        <v>42914</v>
      </c>
      <c r="P25" s="473">
        <v>42220</v>
      </c>
      <c r="Q25" s="473">
        <v>42496</v>
      </c>
      <c r="R25" s="473">
        <v>41245</v>
      </c>
      <c r="S25" s="473">
        <v>40147</v>
      </c>
      <c r="T25" s="473">
        <v>37935</v>
      </c>
      <c r="U25" s="473">
        <v>35287</v>
      </c>
      <c r="V25" s="473">
        <v>34254</v>
      </c>
      <c r="W25" s="84"/>
    </row>
    <row r="26" spans="1:23" ht="15" customHeight="1">
      <c r="A26" s="77"/>
      <c r="B26" s="21" t="s">
        <v>42</v>
      </c>
      <c r="C26" s="202">
        <v>84508</v>
      </c>
      <c r="D26" s="202">
        <v>95765</v>
      </c>
      <c r="E26" s="87">
        <v>89029</v>
      </c>
      <c r="F26" s="87">
        <v>86572</v>
      </c>
      <c r="G26" s="87">
        <v>86166</v>
      </c>
      <c r="H26" s="87">
        <v>86957</v>
      </c>
      <c r="I26" s="87">
        <v>88230</v>
      </c>
      <c r="J26" s="87">
        <v>90008</v>
      </c>
      <c r="K26" s="87">
        <v>75147</v>
      </c>
      <c r="L26" s="87">
        <v>71466</v>
      </c>
      <c r="M26" s="87">
        <v>68524</v>
      </c>
      <c r="N26" s="473">
        <v>68618</v>
      </c>
      <c r="O26" s="473">
        <v>68573</v>
      </c>
      <c r="P26" s="473">
        <v>69027</v>
      </c>
      <c r="Q26" s="473">
        <v>73001</v>
      </c>
      <c r="R26" s="473">
        <v>70246</v>
      </c>
      <c r="S26" s="473">
        <v>75405</v>
      </c>
      <c r="T26" s="473">
        <v>76083</v>
      </c>
      <c r="U26" s="473">
        <v>77093</v>
      </c>
      <c r="V26" s="473">
        <v>77528</v>
      </c>
      <c r="W26" s="84"/>
    </row>
    <row r="27" spans="1:23" ht="15" customHeight="1">
      <c r="A27" s="77"/>
      <c r="B27" s="21" t="s">
        <v>43</v>
      </c>
      <c r="C27" s="202">
        <v>119310</v>
      </c>
      <c r="D27" s="202">
        <v>121140</v>
      </c>
      <c r="E27" s="87">
        <v>122560</v>
      </c>
      <c r="F27" s="87">
        <v>127060</v>
      </c>
      <c r="G27" s="87">
        <v>129320</v>
      </c>
      <c r="H27" s="87">
        <v>133250</v>
      </c>
      <c r="I27" s="87">
        <v>137128</v>
      </c>
      <c r="J27" s="87">
        <v>140660</v>
      </c>
      <c r="K27" s="87">
        <v>142495</v>
      </c>
      <c r="L27" s="87">
        <v>146126</v>
      </c>
      <c r="M27" s="87">
        <v>137402</v>
      </c>
      <c r="N27" s="473">
        <v>140346</v>
      </c>
      <c r="O27" s="473">
        <v>142455</v>
      </c>
      <c r="P27" s="473">
        <v>145300</v>
      </c>
      <c r="Q27" s="473">
        <v>146350</v>
      </c>
      <c r="R27" s="473">
        <v>147110</v>
      </c>
      <c r="S27" s="473">
        <v>148290</v>
      </c>
      <c r="T27" s="473">
        <v>148880</v>
      </c>
      <c r="U27" s="473">
        <v>156710</v>
      </c>
      <c r="V27" s="473">
        <v>155930</v>
      </c>
      <c r="W27" s="84"/>
    </row>
    <row r="28" spans="1:23" ht="15" customHeight="1">
      <c r="A28" s="77"/>
      <c r="B28" s="76" t="s">
        <v>44</v>
      </c>
      <c r="C28" s="202">
        <v>40306</v>
      </c>
      <c r="D28" s="202">
        <v>44465</v>
      </c>
      <c r="E28" s="87">
        <v>45660</v>
      </c>
      <c r="F28" s="87">
        <v>44067</v>
      </c>
      <c r="G28" s="87">
        <v>48183</v>
      </c>
      <c r="H28" s="87">
        <v>51140</v>
      </c>
      <c r="I28" s="87">
        <v>52503</v>
      </c>
      <c r="J28" s="87">
        <v>53694</v>
      </c>
      <c r="K28" s="87">
        <v>53288</v>
      </c>
      <c r="L28" s="87">
        <v>54583</v>
      </c>
      <c r="M28" s="87">
        <v>54676</v>
      </c>
      <c r="N28" s="473">
        <v>55061</v>
      </c>
      <c r="O28" s="473">
        <v>53557</v>
      </c>
      <c r="P28" s="473">
        <v>57922</v>
      </c>
      <c r="Q28" s="473">
        <v>56686</v>
      </c>
      <c r="R28" s="473">
        <v>40730</v>
      </c>
      <c r="S28" s="473">
        <v>53860</v>
      </c>
      <c r="T28" s="473">
        <v>52158</v>
      </c>
      <c r="U28" s="473">
        <v>51424</v>
      </c>
      <c r="V28" s="473">
        <v>49926</v>
      </c>
      <c r="W28" s="84"/>
    </row>
    <row r="29" spans="1:23" ht="15" customHeight="1">
      <c r="A29" s="77"/>
      <c r="B29" s="21" t="s">
        <v>45</v>
      </c>
      <c r="C29" s="202">
        <v>4757</v>
      </c>
      <c r="D29" s="202">
        <v>5098</v>
      </c>
      <c r="E29" s="87">
        <v>5679</v>
      </c>
      <c r="F29" s="87">
        <v>5928</v>
      </c>
      <c r="G29" s="87">
        <v>6411</v>
      </c>
      <c r="H29" s="87">
        <v>6343</v>
      </c>
      <c r="I29" s="87">
        <v>7352</v>
      </c>
      <c r="J29" s="87">
        <v>9248</v>
      </c>
      <c r="K29" s="87">
        <v>10540</v>
      </c>
      <c r="L29" s="87">
        <v>11339</v>
      </c>
      <c r="M29" s="87">
        <v>11456</v>
      </c>
      <c r="N29" s="473">
        <v>10137</v>
      </c>
      <c r="O29" s="473">
        <v>10718</v>
      </c>
      <c r="P29" s="473">
        <v>13930</v>
      </c>
      <c r="Q29" s="473">
        <v>13923</v>
      </c>
      <c r="R29" s="473">
        <v>10542</v>
      </c>
      <c r="S29" s="473">
        <v>10547</v>
      </c>
      <c r="T29" s="473">
        <v>9982</v>
      </c>
      <c r="U29" s="473">
        <v>10379</v>
      </c>
      <c r="V29" s="473">
        <v>10706</v>
      </c>
      <c r="W29" s="84"/>
    </row>
    <row r="30" spans="1:23" ht="15" customHeight="1">
      <c r="A30" s="77"/>
      <c r="B30" s="21" t="s">
        <v>46</v>
      </c>
      <c r="C30" s="202">
        <v>9699</v>
      </c>
      <c r="D30" s="202">
        <v>9643</v>
      </c>
      <c r="E30" s="87">
        <v>9590</v>
      </c>
      <c r="F30" s="87">
        <v>10234</v>
      </c>
      <c r="G30" s="87">
        <v>10803</v>
      </c>
      <c r="H30" s="87">
        <v>11449</v>
      </c>
      <c r="I30" s="87">
        <v>12338</v>
      </c>
      <c r="J30" s="87">
        <v>12029</v>
      </c>
      <c r="K30" s="87">
        <v>12208</v>
      </c>
      <c r="L30" s="87">
        <v>12212</v>
      </c>
      <c r="M30" s="87">
        <v>12803</v>
      </c>
      <c r="N30" s="473">
        <v>13871</v>
      </c>
      <c r="O30" s="473">
        <v>15677</v>
      </c>
      <c r="P30" s="473">
        <v>15092</v>
      </c>
      <c r="Q30" s="473">
        <v>15802</v>
      </c>
      <c r="R30" s="473">
        <v>16473</v>
      </c>
      <c r="S30" s="473">
        <v>17092</v>
      </c>
      <c r="T30" s="473">
        <v>17518</v>
      </c>
      <c r="U30" s="473">
        <v>21472</v>
      </c>
      <c r="V30" s="473">
        <v>21848</v>
      </c>
      <c r="W30" s="84"/>
    </row>
    <row r="31" spans="1:23" ht="15" customHeight="1" thickBot="1">
      <c r="A31" s="82"/>
      <c r="B31" s="434" t="s">
        <v>47</v>
      </c>
      <c r="C31" s="438">
        <v>6836</v>
      </c>
      <c r="D31" s="438">
        <v>7770</v>
      </c>
      <c r="E31" s="474">
        <v>8030</v>
      </c>
      <c r="F31" s="474">
        <v>9887</v>
      </c>
      <c r="G31" s="474">
        <v>10167</v>
      </c>
      <c r="H31" s="474">
        <v>10508</v>
      </c>
      <c r="I31" s="474">
        <v>10214</v>
      </c>
      <c r="J31" s="474">
        <v>10276</v>
      </c>
      <c r="K31" s="474">
        <v>10012</v>
      </c>
      <c r="L31" s="474">
        <v>10601</v>
      </c>
      <c r="M31" s="474">
        <v>12103</v>
      </c>
      <c r="N31" s="475">
        <v>14299</v>
      </c>
      <c r="O31" s="475">
        <v>14409</v>
      </c>
      <c r="P31" s="475">
        <v>13908</v>
      </c>
      <c r="Q31" s="475">
        <v>14653</v>
      </c>
      <c r="R31" s="475">
        <v>12717</v>
      </c>
      <c r="S31" s="475">
        <v>13775</v>
      </c>
      <c r="T31" s="475">
        <v>13622</v>
      </c>
      <c r="U31" s="475">
        <v>11649</v>
      </c>
      <c r="V31" s="475">
        <v>14056</v>
      </c>
      <c r="W31" s="84"/>
    </row>
    <row r="32" spans="1:23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84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01" orientation="portrait" r:id="rId1"/>
  <headerFooter scaleWithDoc="0" alignWithMargins="0"/>
  <ignoredErrors>
    <ignoredError sqref="P4:T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7">
    <tabColor theme="9" tint="0.59999389629810485"/>
  </sheetPr>
  <dimension ref="A2:Z36"/>
  <sheetViews>
    <sheetView showGridLines="0" zoomScaleNormal="100" workbookViewId="0">
      <selection activeCell="J21" sqref="J21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7" style="76" customWidth="1"/>
    <col min="23" max="23" width="7.19921875" style="76" customWidth="1"/>
    <col min="24" max="16384" width="7" style="76"/>
  </cols>
  <sheetData>
    <row r="2" spans="1:26" ht="17.25" customHeight="1">
      <c r="A2" s="210" t="s">
        <v>482</v>
      </c>
      <c r="B2" s="211"/>
    </row>
    <row r="3" spans="1:26" ht="13.25" customHeight="1">
      <c r="A3" s="212" t="s">
        <v>210</v>
      </c>
      <c r="B3" s="212"/>
    </row>
    <row r="4" spans="1:26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</row>
    <row r="5" spans="1:26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459</v>
      </c>
      <c r="V5" s="735" t="s">
        <v>481</v>
      </c>
    </row>
    <row r="6" spans="1:26" ht="18" customHeight="1">
      <c r="A6" s="1020" t="s">
        <v>93</v>
      </c>
      <c r="B6" s="1020"/>
      <c r="C6" s="629">
        <f t="shared" ref="C6:N6" si="0">(C8+C9+C10+C11+C12+C13+C14+C15+C16+C17+C18+C19+C20+C21+C22+C23+C24+C25+C26+C27+C28+C29+C30+C31)</f>
        <v>152496</v>
      </c>
      <c r="D6" s="629">
        <f t="shared" si="0"/>
        <v>161580</v>
      </c>
      <c r="E6" s="629">
        <f t="shared" si="0"/>
        <v>163237</v>
      </c>
      <c r="F6" s="629">
        <f t="shared" si="0"/>
        <v>163316</v>
      </c>
      <c r="G6" s="629">
        <f t="shared" si="0"/>
        <v>164701</v>
      </c>
      <c r="H6" s="629">
        <f t="shared" si="0"/>
        <v>171872</v>
      </c>
      <c r="I6" s="629">
        <f t="shared" si="0"/>
        <v>179086</v>
      </c>
      <c r="J6" s="629">
        <f t="shared" si="0"/>
        <v>186619</v>
      </c>
      <c r="K6" s="629">
        <f t="shared" si="0"/>
        <v>193088</v>
      </c>
      <c r="L6" s="629">
        <f t="shared" si="0"/>
        <v>196233</v>
      </c>
      <c r="M6" s="629">
        <f t="shared" si="0"/>
        <v>196014</v>
      </c>
      <c r="N6" s="629">
        <f t="shared" si="0"/>
        <v>192705</v>
      </c>
      <c r="O6" s="629">
        <f t="shared" ref="O6:V6" si="1">(O8+O9+O10+O11+O12+O13+O14+O15+O16+O17+O18+O19+O20+O21+O22+O23+O24+O25+O26+O27+O28+O29+O30+O31)</f>
        <v>188737</v>
      </c>
      <c r="P6" s="629">
        <f t="shared" si="1"/>
        <v>189702</v>
      </c>
      <c r="Q6" s="629">
        <f t="shared" si="1"/>
        <v>192919</v>
      </c>
      <c r="R6" s="629">
        <f t="shared" si="1"/>
        <v>183941.20000000004</v>
      </c>
      <c r="S6" s="629">
        <f t="shared" si="1"/>
        <v>189922.89999999994</v>
      </c>
      <c r="T6" s="629">
        <f t="shared" ref="T6:U6" si="2">(T8+T9+T10+T11+T12+T13+T14+T15+T16+T17+T18+T19+T20+T21+T22+T23+T24+T25+T26+T27+T28+T29+T30+T31)</f>
        <v>192718.3</v>
      </c>
      <c r="U6" s="629">
        <f t="shared" si="2"/>
        <v>198722.99447876358</v>
      </c>
      <c r="V6" s="629">
        <f t="shared" si="1"/>
        <v>203990.58498943606</v>
      </c>
    </row>
    <row r="7" spans="1:26" ht="3" customHeight="1">
      <c r="A7" s="77"/>
      <c r="B7" s="78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</row>
    <row r="8" spans="1:26" ht="15" customHeight="1">
      <c r="A8" s="77"/>
      <c r="B8" s="21" t="s">
        <v>19</v>
      </c>
      <c r="C8" s="202">
        <v>356</v>
      </c>
      <c r="D8" s="202">
        <v>336</v>
      </c>
      <c r="E8" s="202">
        <v>414</v>
      </c>
      <c r="F8" s="202">
        <v>602</v>
      </c>
      <c r="G8" s="202">
        <v>761</v>
      </c>
      <c r="H8" s="202">
        <v>844</v>
      </c>
      <c r="I8" s="202">
        <v>903</v>
      </c>
      <c r="J8" s="202">
        <v>1034</v>
      </c>
      <c r="K8" s="202">
        <v>1082</v>
      </c>
      <c r="L8" s="202">
        <v>1205</v>
      </c>
      <c r="M8" s="202">
        <v>1154</v>
      </c>
      <c r="N8" s="163">
        <v>590</v>
      </c>
      <c r="O8" s="163">
        <v>880</v>
      </c>
      <c r="P8" s="163">
        <v>766</v>
      </c>
      <c r="Q8" s="163">
        <v>685</v>
      </c>
      <c r="R8" s="163">
        <v>627</v>
      </c>
      <c r="S8" s="163">
        <v>555.20000000000005</v>
      </c>
      <c r="T8" s="163">
        <v>494.4</v>
      </c>
      <c r="U8" s="163">
        <v>495.65680000000003</v>
      </c>
      <c r="V8" s="163">
        <v>509.09321999999992</v>
      </c>
      <c r="X8" s="562"/>
      <c r="Y8" s="562"/>
      <c r="Z8" s="562"/>
    </row>
    <row r="9" spans="1:26" ht="15" customHeight="1">
      <c r="A9" s="77"/>
      <c r="B9" s="21" t="s">
        <v>20</v>
      </c>
      <c r="C9" s="202">
        <v>10238</v>
      </c>
      <c r="D9" s="202">
        <v>10778</v>
      </c>
      <c r="E9" s="202">
        <v>9985</v>
      </c>
      <c r="F9" s="202">
        <v>9473</v>
      </c>
      <c r="G9" s="202">
        <v>8744</v>
      </c>
      <c r="H9" s="202">
        <v>8810</v>
      </c>
      <c r="I9" s="202">
        <v>8666</v>
      </c>
      <c r="J9" s="202">
        <v>9323</v>
      </c>
      <c r="K9" s="202">
        <v>8970</v>
      </c>
      <c r="L9" s="202">
        <v>9053</v>
      </c>
      <c r="M9" s="202">
        <v>8958</v>
      </c>
      <c r="N9" s="163">
        <v>8460</v>
      </c>
      <c r="O9" s="163">
        <v>7680</v>
      </c>
      <c r="P9" s="163">
        <v>7147</v>
      </c>
      <c r="Q9" s="163">
        <v>7217</v>
      </c>
      <c r="R9" s="163">
        <v>7051.2</v>
      </c>
      <c r="S9" s="163">
        <v>7283.2</v>
      </c>
      <c r="T9" s="163">
        <v>7206.8</v>
      </c>
      <c r="U9" s="163">
        <v>7445.8715150988683</v>
      </c>
      <c r="V9" s="163">
        <v>7470.1779329620822</v>
      </c>
      <c r="X9" s="562"/>
      <c r="Y9" s="562"/>
      <c r="Z9" s="562"/>
    </row>
    <row r="10" spans="1:26" ht="15" customHeight="1">
      <c r="A10" s="77"/>
      <c r="B10" s="21" t="s">
        <v>21</v>
      </c>
      <c r="C10" s="202">
        <v>2939</v>
      </c>
      <c r="D10" s="202">
        <v>3172</v>
      </c>
      <c r="E10" s="202">
        <v>3172</v>
      </c>
      <c r="F10" s="202">
        <v>2833</v>
      </c>
      <c r="G10" s="202">
        <v>2782</v>
      </c>
      <c r="H10" s="202">
        <v>2689</v>
      </c>
      <c r="I10" s="202">
        <v>2326</v>
      </c>
      <c r="J10" s="202">
        <v>2504</v>
      </c>
      <c r="K10" s="202">
        <v>2716</v>
      </c>
      <c r="L10" s="202">
        <v>3246</v>
      </c>
      <c r="M10" s="202">
        <v>3220</v>
      </c>
      <c r="N10" s="202">
        <v>3134</v>
      </c>
      <c r="O10" s="202">
        <v>3078</v>
      </c>
      <c r="P10" s="202">
        <v>3130</v>
      </c>
      <c r="Q10" s="202">
        <v>3101</v>
      </c>
      <c r="R10" s="202">
        <v>2873</v>
      </c>
      <c r="S10" s="202">
        <v>3002.9</v>
      </c>
      <c r="T10" s="202">
        <v>2995.2</v>
      </c>
      <c r="U10" s="202">
        <v>2926.8525800000002</v>
      </c>
      <c r="V10" s="202">
        <v>2885.0078000000008</v>
      </c>
      <c r="W10" s="84"/>
      <c r="X10" s="562"/>
      <c r="Y10" s="562"/>
      <c r="Z10" s="562"/>
    </row>
    <row r="11" spans="1:26" ht="15" customHeight="1">
      <c r="A11" s="77"/>
      <c r="B11" s="21" t="s">
        <v>22</v>
      </c>
      <c r="C11" s="202">
        <v>5255</v>
      </c>
      <c r="D11" s="202">
        <v>5492</v>
      </c>
      <c r="E11" s="202">
        <v>5648</v>
      </c>
      <c r="F11" s="202">
        <v>5783</v>
      </c>
      <c r="G11" s="202">
        <v>5901</v>
      </c>
      <c r="H11" s="202">
        <v>5963</v>
      </c>
      <c r="I11" s="202">
        <v>6233</v>
      </c>
      <c r="J11" s="202">
        <v>6309</v>
      </c>
      <c r="K11" s="202">
        <v>6715</v>
      </c>
      <c r="L11" s="202">
        <v>6893</v>
      </c>
      <c r="M11" s="202">
        <v>7093</v>
      </c>
      <c r="N11" s="163">
        <v>7246</v>
      </c>
      <c r="O11" s="163">
        <v>7718</v>
      </c>
      <c r="P11" s="163">
        <v>7798</v>
      </c>
      <c r="Q11" s="163">
        <v>8227</v>
      </c>
      <c r="R11" s="163">
        <v>8574.2999999999993</v>
      </c>
      <c r="S11" s="163">
        <v>8647.1</v>
      </c>
      <c r="T11" s="163">
        <v>9165.7999999999993</v>
      </c>
      <c r="U11" s="163">
        <v>8992.5857916000004</v>
      </c>
      <c r="V11" s="163">
        <v>9279.8281802999991</v>
      </c>
      <c r="W11" s="84"/>
      <c r="X11" s="562"/>
      <c r="Y11" s="562"/>
      <c r="Z11" s="562"/>
    </row>
    <row r="12" spans="1:26" ht="15" customHeight="1">
      <c r="A12" s="77"/>
      <c r="B12" s="21" t="s">
        <v>23</v>
      </c>
      <c r="C12" s="202">
        <v>20836</v>
      </c>
      <c r="D12" s="202">
        <v>24037</v>
      </c>
      <c r="E12" s="202">
        <v>25896</v>
      </c>
      <c r="F12" s="202">
        <v>23904</v>
      </c>
      <c r="G12" s="202">
        <v>24466</v>
      </c>
      <c r="H12" s="202">
        <v>27368</v>
      </c>
      <c r="I12" s="202">
        <v>29302</v>
      </c>
      <c r="J12" s="202">
        <v>28012</v>
      </c>
      <c r="K12" s="202">
        <v>29741</v>
      </c>
      <c r="L12" s="202">
        <v>31983</v>
      </c>
      <c r="M12" s="202">
        <v>31499</v>
      </c>
      <c r="N12" s="163">
        <v>28488</v>
      </c>
      <c r="O12" s="163">
        <v>26794</v>
      </c>
      <c r="P12" s="163">
        <v>24002</v>
      </c>
      <c r="Q12" s="163">
        <v>24659</v>
      </c>
      <c r="R12" s="163">
        <v>21897.8</v>
      </c>
      <c r="S12" s="163">
        <v>24252.7</v>
      </c>
      <c r="T12" s="163">
        <v>23679.3</v>
      </c>
      <c r="U12" s="163">
        <v>22449.99942</v>
      </c>
      <c r="V12" s="163">
        <v>22242.532000000003</v>
      </c>
      <c r="W12" s="84"/>
      <c r="X12" s="562"/>
      <c r="Y12" s="562"/>
      <c r="Z12" s="562"/>
    </row>
    <row r="13" spans="1:26" ht="15" customHeight="1">
      <c r="A13" s="77"/>
      <c r="B13" s="21" t="s">
        <v>27</v>
      </c>
      <c r="C13" s="202">
        <v>5682</v>
      </c>
      <c r="D13" s="202">
        <v>6278</v>
      </c>
      <c r="E13" s="202">
        <v>6442</v>
      </c>
      <c r="F13" s="202">
        <v>7343</v>
      </c>
      <c r="G13" s="202">
        <v>7030</v>
      </c>
      <c r="H13" s="202">
        <v>7988</v>
      </c>
      <c r="I13" s="202">
        <v>7584</v>
      </c>
      <c r="J13" s="202">
        <v>8320</v>
      </c>
      <c r="K13" s="202">
        <v>8354</v>
      </c>
      <c r="L13" s="202">
        <v>8431</v>
      </c>
      <c r="M13" s="202">
        <v>8486</v>
      </c>
      <c r="N13" s="202">
        <v>8616</v>
      </c>
      <c r="O13" s="202">
        <v>8885</v>
      </c>
      <c r="P13" s="202">
        <v>9087</v>
      </c>
      <c r="Q13" s="202">
        <v>9172</v>
      </c>
      <c r="R13" s="202">
        <v>8181.5</v>
      </c>
      <c r="S13" s="202">
        <v>7369.1</v>
      </c>
      <c r="T13" s="202">
        <v>8002.2</v>
      </c>
      <c r="U13" s="202">
        <v>9282.945687899999</v>
      </c>
      <c r="V13" s="202">
        <v>9911.2898731200003</v>
      </c>
      <c r="W13" s="84"/>
      <c r="X13" s="562"/>
      <c r="Y13" s="562"/>
      <c r="Z13" s="562"/>
    </row>
    <row r="14" spans="1:26" ht="15" customHeight="1">
      <c r="A14" s="77"/>
      <c r="B14" s="21" t="s">
        <v>28</v>
      </c>
      <c r="C14" s="202">
        <v>6599</v>
      </c>
      <c r="D14" s="202">
        <v>6835</v>
      </c>
      <c r="E14" s="202">
        <v>6846</v>
      </c>
      <c r="F14" s="202">
        <v>7238</v>
      </c>
      <c r="G14" s="202">
        <v>7285</v>
      </c>
      <c r="H14" s="202">
        <v>7189</v>
      </c>
      <c r="I14" s="202">
        <v>7608</v>
      </c>
      <c r="J14" s="202">
        <v>7847</v>
      </c>
      <c r="K14" s="202">
        <v>8176</v>
      </c>
      <c r="L14" s="202">
        <v>8321</v>
      </c>
      <c r="M14" s="202">
        <v>8600</v>
      </c>
      <c r="N14" s="163">
        <v>8975</v>
      </c>
      <c r="O14" s="163">
        <v>9019</v>
      </c>
      <c r="P14" s="163">
        <v>9598</v>
      </c>
      <c r="Q14" s="163">
        <v>9831</v>
      </c>
      <c r="R14" s="163">
        <v>9773</v>
      </c>
      <c r="S14" s="163">
        <v>8650.7999999999993</v>
      </c>
      <c r="T14" s="163">
        <v>8641</v>
      </c>
      <c r="U14" s="163">
        <v>8649.1145003199999</v>
      </c>
      <c r="V14" s="163">
        <v>8473.2292698528909</v>
      </c>
      <c r="W14" s="84"/>
      <c r="X14" s="562"/>
      <c r="Y14" s="562"/>
      <c r="Z14" s="562"/>
    </row>
    <row r="15" spans="1:26" ht="15" customHeight="1">
      <c r="A15" s="77"/>
      <c r="B15" s="21" t="s">
        <v>29</v>
      </c>
      <c r="C15" s="202">
        <v>19359</v>
      </c>
      <c r="D15" s="202">
        <v>20479</v>
      </c>
      <c r="E15" s="202">
        <v>20915</v>
      </c>
      <c r="F15" s="202">
        <v>19931</v>
      </c>
      <c r="G15" s="202">
        <v>20243</v>
      </c>
      <c r="H15" s="202">
        <v>20937</v>
      </c>
      <c r="I15" s="202">
        <v>21509</v>
      </c>
      <c r="J15" s="202">
        <v>21696</v>
      </c>
      <c r="K15" s="202">
        <v>21295</v>
      </c>
      <c r="L15" s="202">
        <v>21390</v>
      </c>
      <c r="M15" s="202">
        <v>21553</v>
      </c>
      <c r="N15" s="163">
        <v>21548</v>
      </c>
      <c r="O15" s="163">
        <v>21842</v>
      </c>
      <c r="P15" s="163">
        <v>21736</v>
      </c>
      <c r="Q15" s="163">
        <v>21608</v>
      </c>
      <c r="R15" s="163">
        <v>20562.900000000001</v>
      </c>
      <c r="S15" s="163">
        <v>21186.799999999999</v>
      </c>
      <c r="T15" s="163">
        <v>21447.5</v>
      </c>
      <c r="U15" s="163">
        <v>21843.566627</v>
      </c>
      <c r="V15" s="163">
        <v>23835.6579471</v>
      </c>
      <c r="W15" s="84"/>
      <c r="X15" s="562"/>
      <c r="Y15" s="562"/>
      <c r="Z15" s="562"/>
    </row>
    <row r="16" spans="1:26" ht="15" customHeight="1">
      <c r="A16" s="77"/>
      <c r="B16" s="21" t="s">
        <v>30</v>
      </c>
      <c r="C16" s="202">
        <v>1092</v>
      </c>
      <c r="D16" s="202">
        <v>1134</v>
      </c>
      <c r="E16" s="202">
        <v>1181</v>
      </c>
      <c r="F16" s="202">
        <v>1339</v>
      </c>
      <c r="G16" s="202">
        <v>1387</v>
      </c>
      <c r="H16" s="202">
        <v>1640</v>
      </c>
      <c r="I16" s="202">
        <v>1764</v>
      </c>
      <c r="J16" s="202">
        <v>1765</v>
      </c>
      <c r="K16" s="202">
        <v>1979</v>
      </c>
      <c r="L16" s="202">
        <v>2023</v>
      </c>
      <c r="M16" s="202">
        <v>2027</v>
      </c>
      <c r="N16" s="202">
        <v>2203</v>
      </c>
      <c r="O16" s="202">
        <v>2006</v>
      </c>
      <c r="P16" s="202">
        <v>1820</v>
      </c>
      <c r="Q16" s="202">
        <v>1992</v>
      </c>
      <c r="R16" s="202">
        <v>2158.6999999999998</v>
      </c>
      <c r="S16" s="202">
        <v>2694.5</v>
      </c>
      <c r="T16" s="202">
        <v>2796.5</v>
      </c>
      <c r="U16" s="202">
        <v>4533.9535500000002</v>
      </c>
      <c r="V16" s="202">
        <v>5289.4903303848805</v>
      </c>
      <c r="W16" s="84"/>
      <c r="X16" s="562"/>
      <c r="Y16" s="562"/>
      <c r="Z16" s="562"/>
    </row>
    <row r="17" spans="1:26" ht="15" customHeight="1">
      <c r="A17" s="77"/>
      <c r="B17" s="21" t="s">
        <v>31</v>
      </c>
      <c r="C17" s="202">
        <v>9010</v>
      </c>
      <c r="D17" s="202">
        <v>10026</v>
      </c>
      <c r="E17" s="202">
        <v>11491</v>
      </c>
      <c r="F17" s="202">
        <v>11902</v>
      </c>
      <c r="G17" s="202">
        <v>11645</v>
      </c>
      <c r="H17" s="202">
        <v>11851</v>
      </c>
      <c r="I17" s="202">
        <v>13732</v>
      </c>
      <c r="J17" s="202">
        <v>16459</v>
      </c>
      <c r="K17" s="202">
        <v>19399</v>
      </c>
      <c r="L17" s="202">
        <v>19575</v>
      </c>
      <c r="M17" s="202">
        <v>20069</v>
      </c>
      <c r="N17" s="163">
        <v>20246</v>
      </c>
      <c r="O17" s="163">
        <v>18495</v>
      </c>
      <c r="P17" s="163">
        <v>21638</v>
      </c>
      <c r="Q17" s="163">
        <v>22966</v>
      </c>
      <c r="R17" s="163">
        <v>24853.599999999999</v>
      </c>
      <c r="S17" s="163">
        <v>25066.7</v>
      </c>
      <c r="T17" s="163">
        <v>25252.6</v>
      </c>
      <c r="U17" s="163">
        <v>26629.627480320429</v>
      </c>
      <c r="V17" s="163">
        <v>28592.894945400003</v>
      </c>
      <c r="W17" s="84"/>
      <c r="X17" s="562"/>
      <c r="Y17" s="562"/>
      <c r="Z17" s="562"/>
    </row>
    <row r="18" spans="1:26" ht="15" customHeight="1">
      <c r="A18" s="77"/>
      <c r="B18" s="21" t="s">
        <v>32</v>
      </c>
      <c r="C18" s="202">
        <v>3372</v>
      </c>
      <c r="D18" s="202">
        <v>3040</v>
      </c>
      <c r="E18" s="202">
        <v>3054</v>
      </c>
      <c r="F18" s="202">
        <v>3394</v>
      </c>
      <c r="G18" s="202">
        <v>3435</v>
      </c>
      <c r="H18" s="202">
        <v>3704</v>
      </c>
      <c r="I18" s="202">
        <v>3789</v>
      </c>
      <c r="J18" s="202">
        <v>3753</v>
      </c>
      <c r="K18" s="202">
        <v>3966</v>
      </c>
      <c r="L18" s="202">
        <v>3588</v>
      </c>
      <c r="M18" s="202">
        <v>3565</v>
      </c>
      <c r="N18" s="163">
        <v>3417</v>
      </c>
      <c r="O18" s="163">
        <v>3407</v>
      </c>
      <c r="P18" s="163">
        <v>3520</v>
      </c>
      <c r="Q18" s="163">
        <v>3680</v>
      </c>
      <c r="R18" s="163">
        <v>3676</v>
      </c>
      <c r="S18" s="163">
        <v>3787.9</v>
      </c>
      <c r="T18" s="163">
        <v>3803.1</v>
      </c>
      <c r="U18" s="163">
        <v>3758.2692116261592</v>
      </c>
      <c r="V18" s="163">
        <v>3880.3428140624897</v>
      </c>
      <c r="W18" s="84"/>
      <c r="X18" s="562"/>
      <c r="Y18" s="562"/>
      <c r="Z18" s="562"/>
    </row>
    <row r="19" spans="1:26" ht="15" customHeight="1">
      <c r="A19" s="77"/>
      <c r="B19" s="21" t="s">
        <v>33</v>
      </c>
      <c r="C19" s="202">
        <v>4781</v>
      </c>
      <c r="D19" s="202">
        <v>4782</v>
      </c>
      <c r="E19" s="202">
        <v>4957</v>
      </c>
      <c r="F19" s="202">
        <v>5005</v>
      </c>
      <c r="G19" s="202">
        <v>5730</v>
      </c>
      <c r="H19" s="202">
        <v>6441</v>
      </c>
      <c r="I19" s="202">
        <v>6782</v>
      </c>
      <c r="J19" s="202">
        <v>7435</v>
      </c>
      <c r="K19" s="202">
        <v>7701</v>
      </c>
      <c r="L19" s="202">
        <v>8058</v>
      </c>
      <c r="M19" s="202">
        <v>9117</v>
      </c>
      <c r="N19" s="163">
        <v>8937</v>
      </c>
      <c r="O19" s="163">
        <v>9511</v>
      </c>
      <c r="P19" s="163">
        <v>9437</v>
      </c>
      <c r="Q19" s="163">
        <v>7969</v>
      </c>
      <c r="R19" s="163">
        <v>6555.9</v>
      </c>
      <c r="S19" s="163">
        <v>7169.4</v>
      </c>
      <c r="T19" s="163">
        <v>7787</v>
      </c>
      <c r="U19" s="163">
        <v>8449.1363399999991</v>
      </c>
      <c r="V19" s="163">
        <v>7703.6593400000002</v>
      </c>
      <c r="W19" s="84"/>
      <c r="X19" s="562"/>
      <c r="Y19" s="562"/>
      <c r="Z19" s="562"/>
    </row>
    <row r="20" spans="1:26" ht="15" customHeight="1">
      <c r="A20" s="77"/>
      <c r="B20" s="21" t="s">
        <v>34</v>
      </c>
      <c r="C20" s="202">
        <v>2855</v>
      </c>
      <c r="D20" s="202">
        <v>2597</v>
      </c>
      <c r="E20" s="202">
        <v>2730</v>
      </c>
      <c r="F20" s="202">
        <v>3199</v>
      </c>
      <c r="G20" s="202">
        <v>3262</v>
      </c>
      <c r="H20" s="202">
        <v>3163</v>
      </c>
      <c r="I20" s="202">
        <v>3429</v>
      </c>
      <c r="J20" s="202">
        <v>3555</v>
      </c>
      <c r="K20" s="202">
        <v>4096</v>
      </c>
      <c r="L20" s="202">
        <v>4252</v>
      </c>
      <c r="M20" s="202">
        <v>4100</v>
      </c>
      <c r="N20" s="163">
        <v>3974</v>
      </c>
      <c r="O20" s="163">
        <v>3884</v>
      </c>
      <c r="P20" s="163">
        <v>3630</v>
      </c>
      <c r="Q20" s="163">
        <v>3496</v>
      </c>
      <c r="R20" s="163">
        <v>3323</v>
      </c>
      <c r="S20" s="163">
        <v>3222.1</v>
      </c>
      <c r="T20" s="163">
        <v>3104.4</v>
      </c>
      <c r="U20" s="163">
        <v>2899.1983699999996</v>
      </c>
      <c r="V20" s="163">
        <v>2773.3397999999997</v>
      </c>
      <c r="W20" s="84"/>
      <c r="X20" s="562"/>
      <c r="Y20" s="562"/>
      <c r="Z20" s="562"/>
    </row>
    <row r="21" spans="1:26" ht="15" customHeight="1">
      <c r="A21" s="77"/>
      <c r="B21" s="21" t="s">
        <v>35</v>
      </c>
      <c r="C21" s="202">
        <v>8733</v>
      </c>
      <c r="D21" s="202">
        <v>8763</v>
      </c>
      <c r="E21" s="202">
        <v>6341</v>
      </c>
      <c r="F21" s="202">
        <v>6052</v>
      </c>
      <c r="G21" s="202">
        <v>5060</v>
      </c>
      <c r="H21" s="202">
        <v>4921</v>
      </c>
      <c r="I21" s="202">
        <v>5081</v>
      </c>
      <c r="J21" s="202">
        <v>6005</v>
      </c>
      <c r="K21" s="202">
        <v>7096</v>
      </c>
      <c r="L21" s="202">
        <v>7142</v>
      </c>
      <c r="M21" s="202">
        <v>7114</v>
      </c>
      <c r="N21" s="163">
        <v>6533</v>
      </c>
      <c r="O21" s="163">
        <v>5488</v>
      </c>
      <c r="P21" s="163">
        <v>5558</v>
      </c>
      <c r="Q21" s="163">
        <v>5490</v>
      </c>
      <c r="R21" s="163">
        <v>4659.8999999999996</v>
      </c>
      <c r="S21" s="163">
        <v>5005.3</v>
      </c>
      <c r="T21" s="163">
        <v>5347.7</v>
      </c>
      <c r="U21" s="163">
        <v>5481.4070000000002</v>
      </c>
      <c r="V21" s="163">
        <v>5264.2673999999997</v>
      </c>
      <c r="W21" s="84"/>
      <c r="X21" s="562"/>
      <c r="Y21" s="562"/>
      <c r="Z21" s="562"/>
    </row>
    <row r="22" spans="1:26" ht="15" customHeight="1">
      <c r="A22" s="77"/>
      <c r="B22" s="21" t="s">
        <v>36</v>
      </c>
      <c r="C22" s="202">
        <v>1355</v>
      </c>
      <c r="D22" s="202">
        <v>1429</v>
      </c>
      <c r="E22" s="202">
        <v>1492</v>
      </c>
      <c r="F22" s="202">
        <v>1315</v>
      </c>
      <c r="G22" s="202">
        <v>1214</v>
      </c>
      <c r="H22" s="202">
        <v>1175</v>
      </c>
      <c r="I22" s="202">
        <v>1208</v>
      </c>
      <c r="J22" s="202">
        <v>1049</v>
      </c>
      <c r="K22" s="202">
        <v>1112</v>
      </c>
      <c r="L22" s="202">
        <v>1163</v>
      </c>
      <c r="M22" s="202">
        <v>1172</v>
      </c>
      <c r="N22" s="163">
        <v>1214</v>
      </c>
      <c r="O22" s="163">
        <v>986</v>
      </c>
      <c r="P22" s="163">
        <v>770</v>
      </c>
      <c r="Q22" s="163">
        <v>749</v>
      </c>
      <c r="R22" s="163">
        <v>641.29999999999995</v>
      </c>
      <c r="S22" s="163">
        <v>719.5</v>
      </c>
      <c r="T22" s="163">
        <v>718.7</v>
      </c>
      <c r="U22" s="163">
        <v>747.84553448578913</v>
      </c>
      <c r="V22" s="163">
        <v>751.67763371499996</v>
      </c>
      <c r="W22" s="84"/>
      <c r="X22" s="562"/>
      <c r="Y22" s="562"/>
      <c r="Z22" s="562"/>
    </row>
    <row r="23" spans="1:26" ht="15" customHeight="1">
      <c r="A23" s="77"/>
      <c r="B23" s="21" t="s">
        <v>37</v>
      </c>
      <c r="C23" s="202">
        <v>1093</v>
      </c>
      <c r="D23" s="202">
        <v>1071</v>
      </c>
      <c r="E23" s="202">
        <v>1099</v>
      </c>
      <c r="F23" s="202">
        <v>1156</v>
      </c>
      <c r="G23" s="202">
        <v>1062</v>
      </c>
      <c r="H23" s="202">
        <v>1069</v>
      </c>
      <c r="I23" s="202">
        <v>1069</v>
      </c>
      <c r="J23" s="202">
        <v>1181</v>
      </c>
      <c r="K23" s="202">
        <v>1140</v>
      </c>
      <c r="L23" s="202">
        <v>1112</v>
      </c>
      <c r="M23" s="202">
        <v>1039</v>
      </c>
      <c r="N23" s="163">
        <v>1001</v>
      </c>
      <c r="O23" s="163">
        <v>970</v>
      </c>
      <c r="P23" s="163">
        <v>956</v>
      </c>
      <c r="Q23" s="163">
        <v>971</v>
      </c>
      <c r="R23" s="163">
        <v>971.9</v>
      </c>
      <c r="S23" s="163">
        <v>985.7</v>
      </c>
      <c r="T23" s="163">
        <v>997.1</v>
      </c>
      <c r="U23" s="163">
        <v>1017.4038084090909</v>
      </c>
      <c r="V23" s="163">
        <v>1039.8313400000002</v>
      </c>
      <c r="W23" s="84"/>
      <c r="X23" s="562"/>
      <c r="Y23" s="562"/>
      <c r="Z23" s="562"/>
    </row>
    <row r="24" spans="1:26" ht="15" customHeight="1">
      <c r="A24" s="77"/>
      <c r="B24" s="21" t="s">
        <v>38</v>
      </c>
      <c r="C24" s="202">
        <v>9405</v>
      </c>
      <c r="D24" s="202">
        <v>8786</v>
      </c>
      <c r="E24" s="202">
        <v>8954</v>
      </c>
      <c r="F24" s="202">
        <v>9611</v>
      </c>
      <c r="G24" s="202">
        <v>10631</v>
      </c>
      <c r="H24" s="202">
        <v>11250</v>
      </c>
      <c r="I24" s="202">
        <v>11628</v>
      </c>
      <c r="J24" s="202">
        <v>12463</v>
      </c>
      <c r="K24" s="202">
        <v>13236</v>
      </c>
      <c r="L24" s="202">
        <v>11571</v>
      </c>
      <c r="M24" s="202">
        <v>11665</v>
      </c>
      <c r="N24" s="163">
        <v>11725</v>
      </c>
      <c r="O24" s="163">
        <v>11418</v>
      </c>
      <c r="P24" s="163">
        <v>11172</v>
      </c>
      <c r="Q24" s="163">
        <v>12261</v>
      </c>
      <c r="R24" s="163">
        <v>10118.9</v>
      </c>
      <c r="S24" s="163">
        <v>11078.8</v>
      </c>
      <c r="T24" s="163">
        <v>11890.4</v>
      </c>
      <c r="U24" s="163">
        <v>12583.076490000001</v>
      </c>
      <c r="V24" s="163">
        <v>12554.988000000003</v>
      </c>
      <c r="W24" s="84"/>
      <c r="X24" s="562"/>
      <c r="Y24" s="562"/>
      <c r="Z24" s="562"/>
    </row>
    <row r="25" spans="1:26" ht="15" customHeight="1">
      <c r="A25" s="77"/>
      <c r="B25" s="21" t="s">
        <v>39</v>
      </c>
      <c r="C25" s="202">
        <v>3879</v>
      </c>
      <c r="D25" s="202">
        <v>4268</v>
      </c>
      <c r="E25" s="202">
        <v>4817</v>
      </c>
      <c r="F25" s="202">
        <v>5160</v>
      </c>
      <c r="G25" s="202">
        <v>4795</v>
      </c>
      <c r="H25" s="202">
        <v>4661</v>
      </c>
      <c r="I25" s="202">
        <v>4878</v>
      </c>
      <c r="J25" s="202">
        <v>4923</v>
      </c>
      <c r="K25" s="202">
        <v>4841</v>
      </c>
      <c r="L25" s="202">
        <v>4923</v>
      </c>
      <c r="M25" s="202">
        <v>4885</v>
      </c>
      <c r="N25" s="163">
        <v>4851</v>
      </c>
      <c r="O25" s="163">
        <v>4699</v>
      </c>
      <c r="P25" s="163">
        <v>4685</v>
      </c>
      <c r="Q25" s="163">
        <v>4670</v>
      </c>
      <c r="R25" s="163">
        <v>4559.7</v>
      </c>
      <c r="S25" s="163">
        <v>4484.3</v>
      </c>
      <c r="T25" s="163">
        <v>4277.3</v>
      </c>
      <c r="U25" s="163">
        <v>4072.6174980000005</v>
      </c>
      <c r="V25" s="163">
        <v>3960.4089999999992</v>
      </c>
      <c r="W25" s="84"/>
      <c r="X25" s="562"/>
      <c r="Y25" s="562"/>
      <c r="Z25" s="562"/>
    </row>
    <row r="26" spans="1:26" ht="15" customHeight="1">
      <c r="A26" s="77"/>
      <c r="B26" s="21" t="s">
        <v>42</v>
      </c>
      <c r="C26" s="202">
        <v>10312</v>
      </c>
      <c r="D26" s="202">
        <v>11894</v>
      </c>
      <c r="E26" s="202">
        <v>11040</v>
      </c>
      <c r="F26" s="202">
        <v>11172</v>
      </c>
      <c r="G26" s="202">
        <v>11541</v>
      </c>
      <c r="H26" s="202">
        <v>11848</v>
      </c>
      <c r="I26" s="202">
        <v>12012</v>
      </c>
      <c r="J26" s="202">
        <v>12415</v>
      </c>
      <c r="K26" s="202">
        <v>10615</v>
      </c>
      <c r="L26" s="202">
        <v>10637</v>
      </c>
      <c r="M26" s="202">
        <v>10012</v>
      </c>
      <c r="N26" s="163">
        <v>9860</v>
      </c>
      <c r="O26" s="163">
        <v>9850</v>
      </c>
      <c r="P26" s="163">
        <v>10304</v>
      </c>
      <c r="Q26" s="163">
        <v>10865</v>
      </c>
      <c r="R26" s="163">
        <v>10731.9</v>
      </c>
      <c r="S26" s="163">
        <v>11741.3</v>
      </c>
      <c r="T26" s="163">
        <v>11976.6</v>
      </c>
      <c r="U26" s="163">
        <v>11984.620049999996</v>
      </c>
      <c r="V26" s="163">
        <v>12046.272999999997</v>
      </c>
      <c r="W26" s="84"/>
      <c r="X26" s="562"/>
      <c r="Y26" s="562"/>
      <c r="Z26" s="562"/>
    </row>
    <row r="27" spans="1:26" ht="15" customHeight="1">
      <c r="A27" s="77"/>
      <c r="B27" s="21" t="s">
        <v>43</v>
      </c>
      <c r="C27" s="202">
        <v>17230</v>
      </c>
      <c r="D27" s="202">
        <v>17401</v>
      </c>
      <c r="E27" s="202">
        <v>17642</v>
      </c>
      <c r="F27" s="202">
        <v>18033</v>
      </c>
      <c r="G27" s="202">
        <v>18529</v>
      </c>
      <c r="H27" s="202">
        <v>19048</v>
      </c>
      <c r="I27" s="202">
        <v>19643</v>
      </c>
      <c r="J27" s="202">
        <v>20153</v>
      </c>
      <c r="K27" s="202">
        <v>20444</v>
      </c>
      <c r="L27" s="202">
        <v>20934</v>
      </c>
      <c r="M27" s="202">
        <v>19676</v>
      </c>
      <c r="N27" s="163">
        <v>20154</v>
      </c>
      <c r="O27" s="163">
        <v>20418</v>
      </c>
      <c r="P27" s="163">
        <v>20864</v>
      </c>
      <c r="Q27" s="163">
        <v>21025</v>
      </c>
      <c r="R27" s="163">
        <v>21151.7</v>
      </c>
      <c r="S27" s="163">
        <v>21339.7</v>
      </c>
      <c r="T27" s="163">
        <v>21545.7</v>
      </c>
      <c r="U27" s="163">
        <v>22610.584999999999</v>
      </c>
      <c r="V27" s="163">
        <v>22913.39</v>
      </c>
      <c r="W27" s="84"/>
      <c r="X27" s="562"/>
      <c r="Y27" s="562"/>
      <c r="Z27" s="562"/>
    </row>
    <row r="28" spans="1:26" ht="15" customHeight="1">
      <c r="A28" s="77"/>
      <c r="B28" s="76" t="s">
        <v>44</v>
      </c>
      <c r="C28" s="202">
        <v>4917</v>
      </c>
      <c r="D28" s="202">
        <v>5575</v>
      </c>
      <c r="E28" s="202">
        <v>5612</v>
      </c>
      <c r="F28" s="202">
        <v>5267</v>
      </c>
      <c r="G28" s="202">
        <v>5459</v>
      </c>
      <c r="H28" s="202">
        <v>5346</v>
      </c>
      <c r="I28" s="202">
        <v>5620</v>
      </c>
      <c r="J28" s="202">
        <v>5884</v>
      </c>
      <c r="K28" s="202">
        <v>5732</v>
      </c>
      <c r="L28" s="202">
        <v>5928</v>
      </c>
      <c r="M28" s="202">
        <v>5934</v>
      </c>
      <c r="N28" s="163">
        <v>6041</v>
      </c>
      <c r="O28" s="163">
        <v>5801</v>
      </c>
      <c r="P28" s="163">
        <v>6288</v>
      </c>
      <c r="Q28" s="163">
        <v>6255</v>
      </c>
      <c r="R28" s="163">
        <v>5442.6</v>
      </c>
      <c r="S28" s="163">
        <v>5765.4</v>
      </c>
      <c r="T28" s="163">
        <v>5683.2</v>
      </c>
      <c r="U28" s="163">
        <v>5698.2259550932158</v>
      </c>
      <c r="V28" s="163">
        <v>5891.6084936386997</v>
      </c>
      <c r="W28" s="84"/>
      <c r="X28" s="562"/>
      <c r="Y28" s="562"/>
      <c r="Z28" s="562"/>
    </row>
    <row r="29" spans="1:26" ht="15" customHeight="1">
      <c r="A29" s="77"/>
      <c r="B29" s="21" t="s">
        <v>45</v>
      </c>
      <c r="C29" s="202">
        <v>520</v>
      </c>
      <c r="D29" s="202">
        <v>561</v>
      </c>
      <c r="E29" s="202">
        <v>625</v>
      </c>
      <c r="F29" s="202">
        <v>695</v>
      </c>
      <c r="G29" s="202">
        <v>757</v>
      </c>
      <c r="H29" s="202">
        <v>841</v>
      </c>
      <c r="I29" s="202">
        <v>978</v>
      </c>
      <c r="J29" s="202">
        <v>1266</v>
      </c>
      <c r="K29" s="202">
        <v>1410</v>
      </c>
      <c r="L29" s="202">
        <v>1524</v>
      </c>
      <c r="M29" s="202">
        <v>1517</v>
      </c>
      <c r="N29" s="163">
        <v>1344</v>
      </c>
      <c r="O29" s="163">
        <v>1503</v>
      </c>
      <c r="P29" s="163">
        <v>1573</v>
      </c>
      <c r="Q29" s="163">
        <v>1631</v>
      </c>
      <c r="R29" s="163">
        <v>1412.2</v>
      </c>
      <c r="S29" s="163">
        <v>1512.8</v>
      </c>
      <c r="T29" s="163">
        <v>1486.8</v>
      </c>
      <c r="U29" s="163">
        <v>1550.2587299999998</v>
      </c>
      <c r="V29" s="163">
        <v>1610.6162100000004</v>
      </c>
      <c r="W29" s="84"/>
      <c r="X29" s="562"/>
      <c r="Y29" s="562"/>
      <c r="Z29" s="562"/>
    </row>
    <row r="30" spans="1:26" ht="15" customHeight="1">
      <c r="A30" s="77"/>
      <c r="B30" s="21" t="s">
        <v>46</v>
      </c>
      <c r="C30" s="202">
        <v>1585</v>
      </c>
      <c r="D30" s="202">
        <v>1581</v>
      </c>
      <c r="E30" s="202">
        <v>1596</v>
      </c>
      <c r="F30" s="202">
        <v>1280</v>
      </c>
      <c r="G30" s="202">
        <v>1346</v>
      </c>
      <c r="H30" s="202">
        <v>1451</v>
      </c>
      <c r="I30" s="202">
        <v>1622</v>
      </c>
      <c r="J30" s="202">
        <v>1561</v>
      </c>
      <c r="K30" s="202">
        <v>1606</v>
      </c>
      <c r="L30" s="202">
        <v>1557</v>
      </c>
      <c r="M30" s="202">
        <v>1630</v>
      </c>
      <c r="N30" s="163">
        <v>1775</v>
      </c>
      <c r="O30" s="163">
        <v>2016</v>
      </c>
      <c r="P30" s="163">
        <v>1967</v>
      </c>
      <c r="Q30" s="163">
        <v>2026</v>
      </c>
      <c r="R30" s="163">
        <v>2081.6999999999998</v>
      </c>
      <c r="S30" s="163">
        <v>2179.9</v>
      </c>
      <c r="T30" s="163">
        <v>2229</v>
      </c>
      <c r="U30" s="163">
        <v>2732.7375900000002</v>
      </c>
      <c r="V30" s="163">
        <v>2817.8300299999996</v>
      </c>
      <c r="W30" s="84"/>
      <c r="X30" s="562"/>
      <c r="Y30" s="562"/>
      <c r="Z30" s="562"/>
    </row>
    <row r="31" spans="1:26" ht="15" customHeight="1" thickBot="1">
      <c r="A31" s="82"/>
      <c r="B31" s="434" t="s">
        <v>47</v>
      </c>
      <c r="C31" s="438">
        <v>1093</v>
      </c>
      <c r="D31" s="438">
        <v>1265</v>
      </c>
      <c r="E31" s="438">
        <v>1288</v>
      </c>
      <c r="F31" s="438">
        <v>1629</v>
      </c>
      <c r="G31" s="438">
        <v>1636</v>
      </c>
      <c r="H31" s="438">
        <v>1675</v>
      </c>
      <c r="I31" s="438">
        <v>1720</v>
      </c>
      <c r="J31" s="438">
        <v>1707</v>
      </c>
      <c r="K31" s="438">
        <v>1666</v>
      </c>
      <c r="L31" s="438">
        <v>1724</v>
      </c>
      <c r="M31" s="438">
        <v>1929</v>
      </c>
      <c r="N31" s="441">
        <v>2373</v>
      </c>
      <c r="O31" s="441">
        <v>2389</v>
      </c>
      <c r="P31" s="441">
        <v>2256</v>
      </c>
      <c r="Q31" s="441">
        <v>2373</v>
      </c>
      <c r="R31" s="441">
        <v>2061.5</v>
      </c>
      <c r="S31" s="441">
        <v>2221.8000000000002</v>
      </c>
      <c r="T31" s="441">
        <v>2190</v>
      </c>
      <c r="U31" s="441">
        <v>1887.4389489099999</v>
      </c>
      <c r="V31" s="441">
        <v>2293.1504289000004</v>
      </c>
      <c r="W31" s="84"/>
      <c r="X31" s="562"/>
      <c r="Y31" s="562"/>
      <c r="Z31" s="562"/>
    </row>
    <row r="32" spans="1:26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84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V6 P5:T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8">
    <tabColor theme="9" tint="0.59999389629810485"/>
  </sheetPr>
  <dimension ref="A2:Z36"/>
  <sheetViews>
    <sheetView showGridLines="0" zoomScaleNormal="100" workbookViewId="0">
      <selection activeCell="P13" sqref="P13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7" style="76" customWidth="1"/>
    <col min="24" max="16384" width="7" style="76"/>
  </cols>
  <sheetData>
    <row r="2" spans="1:26" ht="19.5" customHeight="1">
      <c r="A2" s="210" t="s">
        <v>483</v>
      </c>
      <c r="B2" s="211"/>
    </row>
    <row r="3" spans="1:26" ht="13.25" customHeight="1">
      <c r="A3" s="212" t="s">
        <v>342</v>
      </c>
      <c r="B3" s="212"/>
    </row>
    <row r="4" spans="1:26" ht="6" customHeight="1" thickBot="1"/>
    <row r="5" spans="1:26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297</v>
      </c>
      <c r="R5" s="735">
        <v>2020</v>
      </c>
      <c r="S5" s="735">
        <v>2021</v>
      </c>
      <c r="T5" s="735" t="s">
        <v>396</v>
      </c>
      <c r="U5" s="735" t="s">
        <v>459</v>
      </c>
      <c r="V5" s="735" t="s">
        <v>469</v>
      </c>
    </row>
    <row r="6" spans="1:26" ht="18" customHeight="1">
      <c r="A6" s="1020" t="s">
        <v>100</v>
      </c>
      <c r="B6" s="1020"/>
      <c r="C6" s="631">
        <v>3.36</v>
      </c>
      <c r="D6" s="631">
        <v>3.4</v>
      </c>
      <c r="E6" s="631">
        <v>3.5</v>
      </c>
      <c r="F6" s="631">
        <v>3.77</v>
      </c>
      <c r="G6" s="631">
        <v>4.08</v>
      </c>
      <c r="H6" s="631">
        <v>4.0999999999999996</v>
      </c>
      <c r="I6" s="631">
        <v>4.25</v>
      </c>
      <c r="J6" s="631">
        <v>4.6900000000000004</v>
      </c>
      <c r="K6" s="631">
        <v>4.84</v>
      </c>
      <c r="L6" s="631">
        <v>5.23</v>
      </c>
      <c r="M6" s="631">
        <v>5.42</v>
      </c>
      <c r="N6" s="631">
        <v>5.63</v>
      </c>
      <c r="O6" s="631">
        <v>5.53</v>
      </c>
      <c r="P6" s="631">
        <v>5.64</v>
      </c>
      <c r="Q6" s="631">
        <v>5.68</v>
      </c>
      <c r="R6" s="631">
        <v>5.725242906847404</v>
      </c>
      <c r="S6" s="631">
        <v>5.812974083501822</v>
      </c>
      <c r="T6" s="631">
        <v>5.9201285411419988</v>
      </c>
      <c r="U6" s="631">
        <v>5.859728679189117</v>
      </c>
      <c r="V6" s="631">
        <v>5.9100678408924443</v>
      </c>
    </row>
    <row r="7" spans="1:26" ht="3" customHeight="1">
      <c r="A7" s="77"/>
      <c r="B7" s="78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</row>
    <row r="8" spans="1:26" ht="15" customHeight="1">
      <c r="A8" s="77"/>
      <c r="B8" s="21" t="s">
        <v>19</v>
      </c>
      <c r="C8" s="218">
        <v>3.57</v>
      </c>
      <c r="D8" s="218">
        <v>3.39</v>
      </c>
      <c r="E8" s="218">
        <v>3.62</v>
      </c>
      <c r="F8" s="218">
        <v>3.66</v>
      </c>
      <c r="G8" s="218">
        <v>3.69</v>
      </c>
      <c r="H8" s="218">
        <v>3.5</v>
      </c>
      <c r="I8" s="218">
        <v>3.58</v>
      </c>
      <c r="J8" s="218">
        <v>3.62</v>
      </c>
      <c r="K8" s="218">
        <v>3.51</v>
      </c>
      <c r="L8" s="218">
        <v>4.47</v>
      </c>
      <c r="M8" s="218">
        <v>5.74</v>
      </c>
      <c r="N8" s="218">
        <v>5.67</v>
      </c>
      <c r="O8" s="218">
        <v>5.41</v>
      </c>
      <c r="P8" s="218">
        <v>5.42</v>
      </c>
      <c r="Q8" s="218">
        <v>5.58</v>
      </c>
      <c r="R8" s="218">
        <v>5.64</v>
      </c>
      <c r="S8" s="218">
        <v>5.87</v>
      </c>
      <c r="T8" s="218">
        <v>5.93</v>
      </c>
      <c r="U8" s="218">
        <v>5.9422445341211896</v>
      </c>
      <c r="V8" s="218">
        <v>6.0019768648657319</v>
      </c>
      <c r="X8" s="152"/>
      <c r="Y8" s="152"/>
      <c r="Z8" s="152"/>
    </row>
    <row r="9" spans="1:26" ht="15" customHeight="1">
      <c r="A9" s="77"/>
      <c r="B9" s="21" t="s">
        <v>20</v>
      </c>
      <c r="C9" s="218">
        <v>3.4</v>
      </c>
      <c r="D9" s="218">
        <v>3.4</v>
      </c>
      <c r="E9" s="218">
        <v>3.75</v>
      </c>
      <c r="F9" s="218">
        <v>3.82</v>
      </c>
      <c r="G9" s="218">
        <v>4.0199999999999996</v>
      </c>
      <c r="H9" s="218">
        <v>3.92</v>
      </c>
      <c r="I9" s="218">
        <v>3.76</v>
      </c>
      <c r="J9" s="218">
        <v>4.01</v>
      </c>
      <c r="K9" s="218">
        <v>4.55</v>
      </c>
      <c r="L9" s="218">
        <v>4.7699999999999996</v>
      </c>
      <c r="M9" s="218">
        <v>5.0599999999999996</v>
      </c>
      <c r="N9" s="218">
        <v>5.56</v>
      </c>
      <c r="O9" s="218">
        <v>5.49</v>
      </c>
      <c r="P9" s="218">
        <v>5.65</v>
      </c>
      <c r="Q9" s="218">
        <v>5.67</v>
      </c>
      <c r="R9" s="218">
        <v>5.74</v>
      </c>
      <c r="S9" s="218">
        <v>5.89</v>
      </c>
      <c r="T9" s="218">
        <v>5.95</v>
      </c>
      <c r="U9" s="218">
        <v>5.9568331021457075</v>
      </c>
      <c r="V9" s="218">
        <v>6.0266436287086158</v>
      </c>
      <c r="X9" s="152"/>
      <c r="Y9" s="152"/>
      <c r="Z9" s="152"/>
    </row>
    <row r="10" spans="1:26" ht="15" customHeight="1">
      <c r="A10" s="77"/>
      <c r="B10" s="21" t="s">
        <v>21</v>
      </c>
      <c r="C10" s="218">
        <v>3.31</v>
      </c>
      <c r="D10" s="218">
        <v>3.54</v>
      </c>
      <c r="E10" s="218">
        <v>3.43</v>
      </c>
      <c r="F10" s="218">
        <v>3.62</v>
      </c>
      <c r="G10" s="218">
        <v>4.2300000000000004</v>
      </c>
      <c r="H10" s="218">
        <v>4.03</v>
      </c>
      <c r="I10" s="218">
        <v>3.97</v>
      </c>
      <c r="J10" s="218">
        <v>4.07</v>
      </c>
      <c r="K10" s="218">
        <v>4.34</v>
      </c>
      <c r="L10" s="218">
        <v>4.88</v>
      </c>
      <c r="M10" s="218">
        <v>5.18</v>
      </c>
      <c r="N10" s="218">
        <v>5.62</v>
      </c>
      <c r="O10" s="218">
        <v>5.52</v>
      </c>
      <c r="P10" s="218">
        <v>5.72</v>
      </c>
      <c r="Q10" s="218">
        <v>5.8</v>
      </c>
      <c r="R10" s="218">
        <v>5.87</v>
      </c>
      <c r="S10" s="218">
        <v>5.95</v>
      </c>
      <c r="T10" s="218">
        <v>6</v>
      </c>
      <c r="U10" s="218">
        <v>6.0501602140275885</v>
      </c>
      <c r="V10" s="218">
        <v>6.116820233144602</v>
      </c>
      <c r="X10" s="152"/>
      <c r="Y10" s="152"/>
      <c r="Z10" s="152"/>
    </row>
    <row r="11" spans="1:26" ht="15" customHeight="1">
      <c r="A11" s="77"/>
      <c r="B11" s="21" t="s">
        <v>22</v>
      </c>
      <c r="C11" s="218">
        <v>3.1</v>
      </c>
      <c r="D11" s="218">
        <v>3.13</v>
      </c>
      <c r="E11" s="218">
        <v>3.67</v>
      </c>
      <c r="F11" s="218">
        <v>3.78</v>
      </c>
      <c r="G11" s="218">
        <v>4.4400000000000004</v>
      </c>
      <c r="H11" s="218">
        <v>4.2300000000000004</v>
      </c>
      <c r="I11" s="218">
        <v>4.05</v>
      </c>
      <c r="J11" s="218">
        <v>3.86</v>
      </c>
      <c r="K11" s="218">
        <v>4.05</v>
      </c>
      <c r="L11" s="218">
        <v>4.05</v>
      </c>
      <c r="M11" s="218">
        <v>5.98</v>
      </c>
      <c r="N11" s="218">
        <v>6.87</v>
      </c>
      <c r="O11" s="218">
        <v>6.11</v>
      </c>
      <c r="P11" s="218">
        <v>6.07</v>
      </c>
      <c r="Q11" s="218">
        <v>6.12</v>
      </c>
      <c r="R11" s="218">
        <v>6.2</v>
      </c>
      <c r="S11" s="218">
        <v>6.29</v>
      </c>
      <c r="T11" s="218">
        <v>6.38</v>
      </c>
      <c r="U11" s="218">
        <v>6.4599774008619431</v>
      </c>
      <c r="V11" s="218">
        <v>6.510363271617928</v>
      </c>
      <c r="X11" s="152"/>
      <c r="Y11" s="152"/>
      <c r="Z11" s="152"/>
    </row>
    <row r="12" spans="1:26" ht="15" customHeight="1">
      <c r="A12" s="77"/>
      <c r="B12" s="21" t="s">
        <v>23</v>
      </c>
      <c r="C12" s="218">
        <v>3.81</v>
      </c>
      <c r="D12" s="218">
        <v>3.94</v>
      </c>
      <c r="E12" s="218">
        <v>3.7</v>
      </c>
      <c r="F12" s="218">
        <v>3.85</v>
      </c>
      <c r="G12" s="218">
        <v>4.1399999999999997</v>
      </c>
      <c r="H12" s="218">
        <v>4.0999999999999996</v>
      </c>
      <c r="I12" s="218">
        <v>4.0599999999999996</v>
      </c>
      <c r="J12" s="218">
        <v>5.21</v>
      </c>
      <c r="K12" s="218">
        <v>4.74</v>
      </c>
      <c r="L12" s="218">
        <v>5.16</v>
      </c>
      <c r="M12" s="218">
        <v>4.93</v>
      </c>
      <c r="N12" s="218">
        <v>5.08</v>
      </c>
      <c r="O12" s="218">
        <v>5.48</v>
      </c>
      <c r="P12" s="218">
        <v>5.4</v>
      </c>
      <c r="Q12" s="218">
        <v>5.6</v>
      </c>
      <c r="R12" s="218">
        <v>5.71</v>
      </c>
      <c r="S12" s="218">
        <v>6.01</v>
      </c>
      <c r="T12" s="218">
        <v>6.13</v>
      </c>
      <c r="U12" s="218">
        <v>6.1737101921225799</v>
      </c>
      <c r="V12" s="218">
        <v>6.2180294793101787</v>
      </c>
      <c r="X12" s="152"/>
      <c r="Y12" s="152"/>
      <c r="Z12" s="152"/>
    </row>
    <row r="13" spans="1:26" ht="15" customHeight="1">
      <c r="A13" s="77"/>
      <c r="B13" s="21" t="s">
        <v>27</v>
      </c>
      <c r="C13" s="218">
        <v>3.42</v>
      </c>
      <c r="D13" s="218">
        <v>3.55</v>
      </c>
      <c r="E13" s="218">
        <v>3.86</v>
      </c>
      <c r="F13" s="218">
        <v>3.82</v>
      </c>
      <c r="G13" s="218">
        <v>4</v>
      </c>
      <c r="H13" s="218">
        <v>4.08</v>
      </c>
      <c r="I13" s="218">
        <v>4.53</v>
      </c>
      <c r="J13" s="218">
        <v>4.5599999999999996</v>
      </c>
      <c r="K13" s="218">
        <v>5.58</v>
      </c>
      <c r="L13" s="218">
        <v>5.89</v>
      </c>
      <c r="M13" s="218">
        <v>5.04</v>
      </c>
      <c r="N13" s="218">
        <v>5.61</v>
      </c>
      <c r="O13" s="218">
        <v>5.47</v>
      </c>
      <c r="P13" s="218">
        <v>5.53</v>
      </c>
      <c r="Q13" s="218">
        <v>5.52</v>
      </c>
      <c r="R13" s="218">
        <v>5.55</v>
      </c>
      <c r="S13" s="218">
        <v>5.64</v>
      </c>
      <c r="T13" s="218">
        <v>5.77</v>
      </c>
      <c r="U13" s="218">
        <v>5.7346932761953235</v>
      </c>
      <c r="V13" s="218">
        <v>5.7689293170306151</v>
      </c>
      <c r="X13" s="152"/>
      <c r="Y13" s="152"/>
      <c r="Z13" s="152"/>
    </row>
    <row r="14" spans="1:26" ht="15" customHeight="1">
      <c r="A14" s="77"/>
      <c r="B14" s="21" t="s">
        <v>28</v>
      </c>
      <c r="C14" s="218">
        <v>3.88</v>
      </c>
      <c r="D14" s="218">
        <v>3.53</v>
      </c>
      <c r="E14" s="218">
        <v>3.55</v>
      </c>
      <c r="F14" s="218">
        <v>3.81</v>
      </c>
      <c r="G14" s="218">
        <v>4.0999999999999996</v>
      </c>
      <c r="H14" s="218">
        <v>3.43</v>
      </c>
      <c r="I14" s="218">
        <v>4.09</v>
      </c>
      <c r="J14" s="218">
        <v>4.21</v>
      </c>
      <c r="K14" s="218">
        <v>4.46</v>
      </c>
      <c r="L14" s="218">
        <v>5.24</v>
      </c>
      <c r="M14" s="218">
        <v>5.62</v>
      </c>
      <c r="N14" s="218">
        <v>5.57</v>
      </c>
      <c r="O14" s="218">
        <v>5</v>
      </c>
      <c r="P14" s="218">
        <v>5.16</v>
      </c>
      <c r="Q14" s="218">
        <v>5.1100000000000003</v>
      </c>
      <c r="R14" s="218">
        <v>5.22</v>
      </c>
      <c r="S14" s="218">
        <v>5.44</v>
      </c>
      <c r="T14" s="218">
        <v>5.56</v>
      </c>
      <c r="U14" s="218">
        <v>5.52764590123713</v>
      </c>
      <c r="V14" s="218">
        <v>5.568096548015574</v>
      </c>
      <c r="X14" s="152"/>
      <c r="Y14" s="152"/>
      <c r="Z14" s="152"/>
    </row>
    <row r="15" spans="1:26" ht="15" customHeight="1">
      <c r="A15" s="77"/>
      <c r="B15" s="21" t="s">
        <v>29</v>
      </c>
      <c r="C15" s="218">
        <v>3.4</v>
      </c>
      <c r="D15" s="218">
        <v>3.49</v>
      </c>
      <c r="E15" s="218">
        <v>3.46</v>
      </c>
      <c r="F15" s="218">
        <v>4</v>
      </c>
      <c r="G15" s="218">
        <v>4.34</v>
      </c>
      <c r="H15" s="218">
        <v>3.66</v>
      </c>
      <c r="I15" s="218">
        <v>3.73</v>
      </c>
      <c r="J15" s="218">
        <v>4.05</v>
      </c>
      <c r="K15" s="218">
        <v>4.26</v>
      </c>
      <c r="L15" s="218">
        <v>4.59</v>
      </c>
      <c r="M15" s="218">
        <v>4.8499999999999996</v>
      </c>
      <c r="N15" s="218">
        <v>5.65</v>
      </c>
      <c r="O15" s="218">
        <v>5.78</v>
      </c>
      <c r="P15" s="218">
        <v>5.72</v>
      </c>
      <c r="Q15" s="218">
        <v>5.9</v>
      </c>
      <c r="R15" s="218">
        <v>5.98</v>
      </c>
      <c r="S15" s="218">
        <v>6.1</v>
      </c>
      <c r="T15" s="218">
        <v>6.3</v>
      </c>
      <c r="U15" s="218">
        <v>5.8489227271566007</v>
      </c>
      <c r="V15" s="218">
        <v>5.9442269629347502</v>
      </c>
      <c r="X15" s="152"/>
      <c r="Y15" s="152"/>
      <c r="Z15" s="152"/>
    </row>
    <row r="16" spans="1:26" ht="15" customHeight="1">
      <c r="A16" s="77"/>
      <c r="B16" s="21" t="s">
        <v>30</v>
      </c>
      <c r="C16" s="218">
        <v>2.83</v>
      </c>
      <c r="D16" s="218">
        <v>3.05</v>
      </c>
      <c r="E16" s="218">
        <v>3.24</v>
      </c>
      <c r="F16" s="218">
        <v>3.84</v>
      </c>
      <c r="G16" s="218">
        <v>4.2300000000000004</v>
      </c>
      <c r="H16" s="218">
        <v>4.3899999999999997</v>
      </c>
      <c r="I16" s="218">
        <v>4.74</v>
      </c>
      <c r="J16" s="218">
        <v>4.9800000000000004</v>
      </c>
      <c r="K16" s="218">
        <v>5.1100000000000003</v>
      </c>
      <c r="L16" s="218">
        <v>5.57</v>
      </c>
      <c r="M16" s="218">
        <v>5.68</v>
      </c>
      <c r="N16" s="218">
        <v>5.18</v>
      </c>
      <c r="O16" s="218">
        <v>5.16</v>
      </c>
      <c r="P16" s="218">
        <v>5.28</v>
      </c>
      <c r="Q16" s="218">
        <v>5.23</v>
      </c>
      <c r="R16" s="218">
        <v>5.35</v>
      </c>
      <c r="S16" s="218">
        <v>5.55</v>
      </c>
      <c r="T16" s="218">
        <v>5.69</v>
      </c>
      <c r="U16" s="218">
        <v>5.7368503721722064</v>
      </c>
      <c r="V16" s="218">
        <v>5.7935902310052967</v>
      </c>
      <c r="X16" s="152"/>
      <c r="Y16" s="152"/>
      <c r="Z16" s="152"/>
    </row>
    <row r="17" spans="1:26" ht="15" customHeight="1">
      <c r="A17" s="77"/>
      <c r="B17" s="21" t="s">
        <v>31</v>
      </c>
      <c r="C17" s="218">
        <v>3.51</v>
      </c>
      <c r="D17" s="218">
        <v>3.54</v>
      </c>
      <c r="E17" s="218">
        <v>3.56</v>
      </c>
      <c r="F17" s="218">
        <v>3.65</v>
      </c>
      <c r="G17" s="218">
        <v>4.04</v>
      </c>
      <c r="H17" s="218">
        <v>4.4400000000000004</v>
      </c>
      <c r="I17" s="218">
        <v>4.5999999999999996</v>
      </c>
      <c r="J17" s="218">
        <v>4.47</v>
      </c>
      <c r="K17" s="218">
        <v>5.15</v>
      </c>
      <c r="L17" s="218">
        <v>5.09</v>
      </c>
      <c r="M17" s="218">
        <v>5.58</v>
      </c>
      <c r="N17" s="218">
        <v>5.42</v>
      </c>
      <c r="O17" s="218">
        <v>5.47</v>
      </c>
      <c r="P17" s="218">
        <v>5.6</v>
      </c>
      <c r="Q17" s="218">
        <v>5.56</v>
      </c>
      <c r="R17" s="218">
        <v>5.66</v>
      </c>
      <c r="S17" s="218">
        <v>5.66</v>
      </c>
      <c r="T17" s="218">
        <v>5.72</v>
      </c>
      <c r="U17" s="218">
        <v>5.5949449167960754</v>
      </c>
      <c r="V17" s="218">
        <v>5.660824878747353</v>
      </c>
      <c r="X17" s="152"/>
      <c r="Y17" s="152"/>
      <c r="Z17" s="152"/>
    </row>
    <row r="18" spans="1:26" ht="15" customHeight="1">
      <c r="A18" s="77"/>
      <c r="B18" s="21" t="s">
        <v>32</v>
      </c>
      <c r="C18" s="218">
        <v>2.65</v>
      </c>
      <c r="D18" s="218">
        <v>2.84</v>
      </c>
      <c r="E18" s="218">
        <v>3.41</v>
      </c>
      <c r="F18" s="218">
        <v>3.66</v>
      </c>
      <c r="G18" s="218">
        <v>3.7</v>
      </c>
      <c r="H18" s="218">
        <v>4.12</v>
      </c>
      <c r="I18" s="218">
        <v>4.3899999999999997</v>
      </c>
      <c r="J18" s="218">
        <v>4.5</v>
      </c>
      <c r="K18" s="218">
        <v>4.79</v>
      </c>
      <c r="L18" s="218">
        <v>4.66</v>
      </c>
      <c r="M18" s="218">
        <v>4.79</v>
      </c>
      <c r="N18" s="218">
        <v>5.12</v>
      </c>
      <c r="O18" s="218">
        <v>5.01</v>
      </c>
      <c r="P18" s="218">
        <v>5.18</v>
      </c>
      <c r="Q18" s="218">
        <v>5.61</v>
      </c>
      <c r="R18" s="218">
        <v>5.57</v>
      </c>
      <c r="S18" s="218">
        <v>5.53</v>
      </c>
      <c r="T18" s="218">
        <v>5.56</v>
      </c>
      <c r="U18" s="218">
        <v>5.549996568608746</v>
      </c>
      <c r="V18" s="218">
        <v>5.5877106624004602</v>
      </c>
      <c r="X18" s="152"/>
      <c r="Y18" s="152"/>
      <c r="Z18" s="152"/>
    </row>
    <row r="19" spans="1:26" ht="15" customHeight="1">
      <c r="A19" s="77"/>
      <c r="B19" s="21" t="s">
        <v>33</v>
      </c>
      <c r="C19" s="218">
        <v>3.15</v>
      </c>
      <c r="D19" s="218">
        <v>3.11</v>
      </c>
      <c r="E19" s="218">
        <v>3.12</v>
      </c>
      <c r="F19" s="218">
        <v>3.68</v>
      </c>
      <c r="G19" s="218">
        <v>3.74</v>
      </c>
      <c r="H19" s="218">
        <v>4.9000000000000004</v>
      </c>
      <c r="I19" s="218">
        <v>5.1100000000000003</v>
      </c>
      <c r="J19" s="218">
        <v>5.25</v>
      </c>
      <c r="K19" s="218">
        <v>5.49</v>
      </c>
      <c r="L19" s="218">
        <v>5.69</v>
      </c>
      <c r="M19" s="218">
        <v>6.1</v>
      </c>
      <c r="N19" s="218">
        <v>6.47</v>
      </c>
      <c r="O19" s="218">
        <v>6.05</v>
      </c>
      <c r="P19" s="218">
        <v>6.26</v>
      </c>
      <c r="Q19" s="218">
        <v>6.15</v>
      </c>
      <c r="R19" s="218">
        <v>6.18</v>
      </c>
      <c r="S19" s="218">
        <v>6.24</v>
      </c>
      <c r="T19" s="218">
        <v>6.38</v>
      </c>
      <c r="U19" s="218">
        <v>6.3692640804870715</v>
      </c>
      <c r="V19" s="218">
        <v>6.4142551998509063</v>
      </c>
      <c r="X19" s="152"/>
      <c r="Y19" s="152"/>
      <c r="Z19" s="152"/>
    </row>
    <row r="20" spans="1:26" ht="15" customHeight="1">
      <c r="A20" s="77"/>
      <c r="B20" s="21" t="s">
        <v>34</v>
      </c>
      <c r="C20" s="218">
        <v>3.59</v>
      </c>
      <c r="D20" s="218">
        <v>3.49</v>
      </c>
      <c r="E20" s="218">
        <v>3.48</v>
      </c>
      <c r="F20" s="218">
        <v>3.67</v>
      </c>
      <c r="G20" s="218">
        <v>3.69</v>
      </c>
      <c r="H20" s="218">
        <v>3.8</v>
      </c>
      <c r="I20" s="218">
        <v>3.92</v>
      </c>
      <c r="J20" s="218">
        <v>5.33</v>
      </c>
      <c r="K20" s="218">
        <v>4.7</v>
      </c>
      <c r="L20" s="218">
        <v>5.08</v>
      </c>
      <c r="M20" s="218">
        <v>5.7</v>
      </c>
      <c r="N20" s="218">
        <v>5.63</v>
      </c>
      <c r="O20" s="218">
        <v>5.45</v>
      </c>
      <c r="P20" s="218">
        <v>5.53</v>
      </c>
      <c r="Q20" s="218">
        <v>5.46</v>
      </c>
      <c r="R20" s="218">
        <v>5.45</v>
      </c>
      <c r="S20" s="218">
        <v>5.35</v>
      </c>
      <c r="T20" s="218">
        <v>5.38</v>
      </c>
      <c r="U20" s="218">
        <v>5.3029017936085552</v>
      </c>
      <c r="V20" s="218">
        <v>5.3060929073675007</v>
      </c>
      <c r="X20" s="152"/>
      <c r="Y20" s="152"/>
      <c r="Z20" s="152"/>
    </row>
    <row r="21" spans="1:26" ht="15" customHeight="1">
      <c r="A21" s="77"/>
      <c r="B21" s="21" t="s">
        <v>35</v>
      </c>
      <c r="C21" s="218">
        <v>3.14</v>
      </c>
      <c r="D21" s="218">
        <v>2.96</v>
      </c>
      <c r="E21" s="218">
        <v>3.02</v>
      </c>
      <c r="F21" s="218">
        <v>3.76</v>
      </c>
      <c r="G21" s="218">
        <v>4.1399999999999997</v>
      </c>
      <c r="H21" s="218">
        <v>4.42</v>
      </c>
      <c r="I21" s="218">
        <v>4.4400000000000004</v>
      </c>
      <c r="J21" s="218">
        <v>5.4</v>
      </c>
      <c r="K21" s="218">
        <v>5.45</v>
      </c>
      <c r="L21" s="218">
        <v>5.31</v>
      </c>
      <c r="M21" s="218">
        <v>5.57</v>
      </c>
      <c r="N21" s="218">
        <v>5.58</v>
      </c>
      <c r="O21" s="218">
        <v>5.5</v>
      </c>
      <c r="P21" s="218">
        <v>5.68</v>
      </c>
      <c r="Q21" s="218">
        <v>5.73</v>
      </c>
      <c r="R21" s="218">
        <v>5.77</v>
      </c>
      <c r="S21" s="218">
        <v>5.78</v>
      </c>
      <c r="T21" s="218">
        <v>5.96</v>
      </c>
      <c r="U21" s="218">
        <v>5.96313408199756</v>
      </c>
      <c r="V21" s="218">
        <v>6.0140429364587371</v>
      </c>
      <c r="X21" s="152"/>
      <c r="Y21" s="152"/>
      <c r="Z21" s="152"/>
    </row>
    <row r="22" spans="1:26" ht="15" customHeight="1">
      <c r="A22" s="77"/>
      <c r="B22" s="21" t="s">
        <v>36</v>
      </c>
      <c r="C22" s="218">
        <v>3.8</v>
      </c>
      <c r="D22" s="218">
        <v>3.77</v>
      </c>
      <c r="E22" s="218">
        <v>3.65</v>
      </c>
      <c r="F22" s="218">
        <v>3.63</v>
      </c>
      <c r="G22" s="218">
        <v>3.82</v>
      </c>
      <c r="H22" s="218">
        <v>3.92</v>
      </c>
      <c r="I22" s="218">
        <v>3.86</v>
      </c>
      <c r="J22" s="218">
        <v>4.3099999999999996</v>
      </c>
      <c r="K22" s="218">
        <v>4.55</v>
      </c>
      <c r="L22" s="218">
        <v>4.95</v>
      </c>
      <c r="M22" s="218">
        <v>5.1100000000000003</v>
      </c>
      <c r="N22" s="218">
        <v>5.23</v>
      </c>
      <c r="O22" s="218">
        <v>5.1100000000000003</v>
      </c>
      <c r="P22" s="218">
        <v>5.47</v>
      </c>
      <c r="Q22" s="218">
        <v>5.46</v>
      </c>
      <c r="R22" s="218">
        <v>5.48</v>
      </c>
      <c r="S22" s="218">
        <v>5.64</v>
      </c>
      <c r="T22" s="218">
        <v>5.74</v>
      </c>
      <c r="U22" s="218">
        <v>5.7113941559299164</v>
      </c>
      <c r="V22" s="218">
        <v>5.7826261040170497</v>
      </c>
      <c r="X22" s="152"/>
      <c r="Y22" s="152"/>
      <c r="Z22" s="152"/>
    </row>
    <row r="23" spans="1:26" ht="15" customHeight="1">
      <c r="A23" s="77"/>
      <c r="B23" s="21" t="s">
        <v>37</v>
      </c>
      <c r="C23" s="218">
        <v>3.52</v>
      </c>
      <c r="D23" s="218">
        <v>3.54</v>
      </c>
      <c r="E23" s="218">
        <v>3.67</v>
      </c>
      <c r="F23" s="218">
        <v>3.7</v>
      </c>
      <c r="G23" s="218">
        <v>3.79</v>
      </c>
      <c r="H23" s="218">
        <v>3.59</v>
      </c>
      <c r="I23" s="218">
        <v>4.1399999999999997</v>
      </c>
      <c r="J23" s="218">
        <v>4.47</v>
      </c>
      <c r="K23" s="218">
        <v>4.7</v>
      </c>
      <c r="L23" s="218">
        <v>5.08</v>
      </c>
      <c r="M23" s="218">
        <v>5.82</v>
      </c>
      <c r="N23" s="218">
        <v>5.83</v>
      </c>
      <c r="O23" s="218">
        <v>5.68</v>
      </c>
      <c r="P23" s="218">
        <v>5.77</v>
      </c>
      <c r="Q23" s="218">
        <v>5.76</v>
      </c>
      <c r="R23" s="218">
        <v>5.77</v>
      </c>
      <c r="S23" s="218">
        <v>5.8</v>
      </c>
      <c r="T23" s="218">
        <v>5.95</v>
      </c>
      <c r="U23" s="218">
        <v>5.9028429793104067</v>
      </c>
      <c r="V23" s="218">
        <v>5.9655041934300606</v>
      </c>
      <c r="X23" s="152"/>
      <c r="Y23" s="152"/>
      <c r="Z23" s="152"/>
    </row>
    <row r="24" spans="1:26" ht="15" customHeight="1">
      <c r="A24" s="77"/>
      <c r="B24" s="21" t="s">
        <v>38</v>
      </c>
      <c r="C24" s="218">
        <v>3.56</v>
      </c>
      <c r="D24" s="218">
        <v>3.54</v>
      </c>
      <c r="E24" s="218">
        <v>3.61</v>
      </c>
      <c r="F24" s="218">
        <v>3.78</v>
      </c>
      <c r="G24" s="218">
        <v>4.04</v>
      </c>
      <c r="H24" s="218">
        <v>3.85</v>
      </c>
      <c r="I24" s="218">
        <v>4.3899999999999997</v>
      </c>
      <c r="J24" s="218">
        <v>5.16</v>
      </c>
      <c r="K24" s="218">
        <v>5.32</v>
      </c>
      <c r="L24" s="218">
        <v>5.27</v>
      </c>
      <c r="M24" s="218">
        <v>5.49</v>
      </c>
      <c r="N24" s="218">
        <v>5.29</v>
      </c>
      <c r="O24" s="218">
        <v>5.49</v>
      </c>
      <c r="P24" s="218">
        <v>5.65</v>
      </c>
      <c r="Q24" s="218">
        <v>5.67</v>
      </c>
      <c r="R24" s="218">
        <v>5.5</v>
      </c>
      <c r="S24" s="218">
        <v>5.45</v>
      </c>
      <c r="T24" s="218">
        <v>5.47</v>
      </c>
      <c r="U24" s="218">
        <v>5.4340665501978522</v>
      </c>
      <c r="V24" s="218">
        <v>5.4703404246649479</v>
      </c>
      <c r="X24" s="152"/>
      <c r="Y24" s="152"/>
      <c r="Z24" s="152"/>
    </row>
    <row r="25" spans="1:26" ht="15" customHeight="1">
      <c r="A25" s="77"/>
      <c r="B25" s="21" t="s">
        <v>39</v>
      </c>
      <c r="C25" s="218">
        <v>3.49</v>
      </c>
      <c r="D25" s="218">
        <v>3.5</v>
      </c>
      <c r="E25" s="218">
        <v>3.65</v>
      </c>
      <c r="F25" s="218">
        <v>3.41</v>
      </c>
      <c r="G25" s="218">
        <v>3.48</v>
      </c>
      <c r="H25" s="218">
        <v>3.58</v>
      </c>
      <c r="I25" s="218">
        <v>4.0999999999999996</v>
      </c>
      <c r="J25" s="218">
        <v>5.05</v>
      </c>
      <c r="K25" s="218">
        <v>4.8899999999999997</v>
      </c>
      <c r="L25" s="218">
        <v>5.31</v>
      </c>
      <c r="M25" s="218">
        <v>5.23</v>
      </c>
      <c r="N25" s="218">
        <v>5.08</v>
      </c>
      <c r="O25" s="218">
        <v>5.0599999999999996</v>
      </c>
      <c r="P25" s="218">
        <v>5.24</v>
      </c>
      <c r="Q25" s="218">
        <v>5.17</v>
      </c>
      <c r="R25" s="218">
        <v>5.17</v>
      </c>
      <c r="S25" s="218">
        <v>5.15</v>
      </c>
      <c r="T25" s="218">
        <v>5.17</v>
      </c>
      <c r="U25" s="218">
        <v>5.1403439479338981</v>
      </c>
      <c r="V25" s="218">
        <v>5.1654271746933214</v>
      </c>
      <c r="X25" s="152"/>
      <c r="Y25" s="152"/>
      <c r="Z25" s="152"/>
    </row>
    <row r="26" spans="1:26" ht="15" customHeight="1">
      <c r="A26" s="77"/>
      <c r="B26" s="21" t="s">
        <v>42</v>
      </c>
      <c r="C26" s="218">
        <v>3.45</v>
      </c>
      <c r="D26" s="218">
        <v>3.5</v>
      </c>
      <c r="E26" s="218">
        <v>3.57</v>
      </c>
      <c r="F26" s="218">
        <v>3.86</v>
      </c>
      <c r="G26" s="218">
        <v>4.1399999999999997</v>
      </c>
      <c r="H26" s="218">
        <v>4.1500000000000004</v>
      </c>
      <c r="I26" s="218">
        <v>4.3899999999999997</v>
      </c>
      <c r="J26" s="218">
        <v>4.6399999999999997</v>
      </c>
      <c r="K26" s="218">
        <v>4.8600000000000003</v>
      </c>
      <c r="L26" s="218">
        <v>5.07</v>
      </c>
      <c r="M26" s="218">
        <v>5.31</v>
      </c>
      <c r="N26" s="218">
        <v>5.49</v>
      </c>
      <c r="O26" s="218">
        <v>5.6</v>
      </c>
      <c r="P26" s="218">
        <v>5.77</v>
      </c>
      <c r="Q26" s="218">
        <v>5.88</v>
      </c>
      <c r="R26" s="218">
        <v>5.94</v>
      </c>
      <c r="S26" s="218">
        <v>5.99</v>
      </c>
      <c r="T26" s="218">
        <v>6.15</v>
      </c>
      <c r="U26" s="218">
        <v>6.242650430194491</v>
      </c>
      <c r="V26" s="218">
        <v>6.2898024518869899</v>
      </c>
      <c r="X26" s="152"/>
      <c r="Y26" s="152"/>
      <c r="Z26" s="152"/>
    </row>
    <row r="27" spans="1:26" ht="15" customHeight="1">
      <c r="A27" s="77"/>
      <c r="B27" s="21" t="s">
        <v>43</v>
      </c>
      <c r="C27" s="218">
        <v>2.82</v>
      </c>
      <c r="D27" s="218">
        <v>2.86</v>
      </c>
      <c r="E27" s="218">
        <v>3.18</v>
      </c>
      <c r="F27" s="218">
        <v>3.62</v>
      </c>
      <c r="G27" s="218">
        <v>4.0599999999999996</v>
      </c>
      <c r="H27" s="218">
        <v>4.67</v>
      </c>
      <c r="I27" s="218">
        <v>4.07</v>
      </c>
      <c r="J27" s="218">
        <v>4.53</v>
      </c>
      <c r="K27" s="218">
        <v>4.49</v>
      </c>
      <c r="L27" s="218">
        <v>6.22</v>
      </c>
      <c r="M27" s="218">
        <v>5.8</v>
      </c>
      <c r="N27" s="218">
        <v>6.28</v>
      </c>
      <c r="O27" s="218">
        <v>5.4</v>
      </c>
      <c r="P27" s="218">
        <v>5.65</v>
      </c>
      <c r="Q27" s="218">
        <v>5.84</v>
      </c>
      <c r="R27" s="218">
        <v>5.81</v>
      </c>
      <c r="S27" s="218">
        <v>5.74</v>
      </c>
      <c r="T27" s="218">
        <v>5.84</v>
      </c>
      <c r="U27" s="218">
        <v>5.8390363595192252</v>
      </c>
      <c r="V27" s="218">
        <v>5.8981087663152421</v>
      </c>
      <c r="X27" s="152"/>
      <c r="Y27" s="152"/>
      <c r="Z27" s="152"/>
    </row>
    <row r="28" spans="1:26" ht="15" customHeight="1">
      <c r="A28" s="77"/>
      <c r="B28" s="76" t="s">
        <v>44</v>
      </c>
      <c r="C28" s="218">
        <v>2.88</v>
      </c>
      <c r="D28" s="218">
        <v>2.93</v>
      </c>
      <c r="E28" s="218">
        <v>3.19</v>
      </c>
      <c r="F28" s="218">
        <v>3.68</v>
      </c>
      <c r="G28" s="218">
        <v>4.16</v>
      </c>
      <c r="H28" s="218">
        <v>3.63</v>
      </c>
      <c r="I28" s="218">
        <v>5.8</v>
      </c>
      <c r="J28" s="218">
        <v>5.95</v>
      </c>
      <c r="K28" s="218">
        <v>6.04</v>
      </c>
      <c r="L28" s="218">
        <v>5.93</v>
      </c>
      <c r="M28" s="218">
        <v>5.46</v>
      </c>
      <c r="N28" s="218">
        <v>5.95</v>
      </c>
      <c r="O28" s="218">
        <v>5.63</v>
      </c>
      <c r="P28" s="218">
        <v>5.62</v>
      </c>
      <c r="Q28" s="218">
        <v>5.57</v>
      </c>
      <c r="R28" s="218">
        <v>5.57</v>
      </c>
      <c r="S28" s="218">
        <v>5.74</v>
      </c>
      <c r="T28" s="218">
        <v>5.89</v>
      </c>
      <c r="U28" s="218">
        <v>5.9534855737547643</v>
      </c>
      <c r="V28" s="218">
        <v>6.0323699463578953</v>
      </c>
      <c r="X28" s="152"/>
      <c r="Y28" s="152"/>
      <c r="Z28" s="152"/>
    </row>
    <row r="29" spans="1:26" ht="15" customHeight="1">
      <c r="A29" s="77"/>
      <c r="B29" s="21" t="s">
        <v>45</v>
      </c>
      <c r="C29" s="218">
        <v>3.55</v>
      </c>
      <c r="D29" s="218">
        <v>3.42</v>
      </c>
      <c r="E29" s="218">
        <v>3.67</v>
      </c>
      <c r="F29" s="218">
        <v>3.93</v>
      </c>
      <c r="G29" s="218">
        <v>4.3899999999999997</v>
      </c>
      <c r="H29" s="218">
        <v>4.51</v>
      </c>
      <c r="I29" s="218">
        <v>4.6500000000000004</v>
      </c>
      <c r="J29" s="218">
        <v>5.25</v>
      </c>
      <c r="K29" s="218">
        <v>5.45</v>
      </c>
      <c r="L29" s="218">
        <v>6.29</v>
      </c>
      <c r="M29" s="218">
        <v>6.63</v>
      </c>
      <c r="N29" s="218">
        <v>6.03</v>
      </c>
      <c r="O29" s="218">
        <v>5.32</v>
      </c>
      <c r="P29" s="218">
        <v>5.51</v>
      </c>
      <c r="Q29" s="218">
        <v>5.76</v>
      </c>
      <c r="R29" s="218">
        <v>5.87</v>
      </c>
      <c r="S29" s="218">
        <v>5.86</v>
      </c>
      <c r="T29" s="218">
        <v>5.97</v>
      </c>
      <c r="U29" s="218">
        <v>5.9114740231264511</v>
      </c>
      <c r="V29" s="218">
        <v>5.970319817540517</v>
      </c>
      <c r="X29" s="152"/>
      <c r="Y29" s="152"/>
      <c r="Z29" s="152"/>
    </row>
    <row r="30" spans="1:26" ht="15" customHeight="1">
      <c r="A30" s="77"/>
      <c r="B30" s="21" t="s">
        <v>46</v>
      </c>
      <c r="C30" s="218">
        <v>2.94</v>
      </c>
      <c r="D30" s="218">
        <v>2.89</v>
      </c>
      <c r="E30" s="218">
        <v>3.44</v>
      </c>
      <c r="F30" s="218">
        <v>3.92</v>
      </c>
      <c r="G30" s="218">
        <v>4.26</v>
      </c>
      <c r="H30" s="218">
        <v>4.8499999999999996</v>
      </c>
      <c r="I30" s="218">
        <v>5.12</v>
      </c>
      <c r="J30" s="218">
        <v>5.47</v>
      </c>
      <c r="K30" s="218">
        <v>5.65</v>
      </c>
      <c r="L30" s="218">
        <v>5.83</v>
      </c>
      <c r="M30" s="218">
        <v>5.87</v>
      </c>
      <c r="N30" s="218">
        <v>6.08</v>
      </c>
      <c r="O30" s="218">
        <v>5.54</v>
      </c>
      <c r="P30" s="218">
        <v>5.35</v>
      </c>
      <c r="Q30" s="218">
        <v>5.43</v>
      </c>
      <c r="R30" s="218">
        <v>5.56</v>
      </c>
      <c r="S30" s="218">
        <v>5.64</v>
      </c>
      <c r="T30" s="218">
        <v>5.75</v>
      </c>
      <c r="U30" s="218">
        <v>5.7508591215997429</v>
      </c>
      <c r="V30" s="218">
        <v>5.815017875819148</v>
      </c>
      <c r="X30" s="152"/>
      <c r="Y30" s="152"/>
      <c r="Z30" s="152"/>
    </row>
    <row r="31" spans="1:26" ht="15" customHeight="1" thickBot="1">
      <c r="A31" s="82"/>
      <c r="B31" s="434" t="s">
        <v>47</v>
      </c>
      <c r="C31" s="433">
        <v>3.28</v>
      </c>
      <c r="D31" s="433">
        <v>3.1</v>
      </c>
      <c r="E31" s="433">
        <v>3.25</v>
      </c>
      <c r="F31" s="433">
        <v>3.42</v>
      </c>
      <c r="G31" s="433">
        <v>3.93</v>
      </c>
      <c r="H31" s="433">
        <v>4.43</v>
      </c>
      <c r="I31" s="433">
        <v>4.8099999999999996</v>
      </c>
      <c r="J31" s="433">
        <v>4.25</v>
      </c>
      <c r="K31" s="433">
        <v>4.21</v>
      </c>
      <c r="L31" s="433">
        <v>5.2</v>
      </c>
      <c r="M31" s="433">
        <v>4.46</v>
      </c>
      <c r="N31" s="433">
        <v>4.57</v>
      </c>
      <c r="O31" s="433">
        <v>5.61</v>
      </c>
      <c r="P31" s="433">
        <v>5.52</v>
      </c>
      <c r="Q31" s="433">
        <v>5.57</v>
      </c>
      <c r="R31" s="433">
        <v>5.6</v>
      </c>
      <c r="S31" s="433">
        <v>5.65</v>
      </c>
      <c r="T31" s="433">
        <v>5.76</v>
      </c>
      <c r="U31" s="433">
        <v>5.7663216122070171</v>
      </c>
      <c r="V31" s="433">
        <v>5.8117343588373558</v>
      </c>
      <c r="X31" s="152"/>
      <c r="Y31" s="152"/>
      <c r="Z31" s="152"/>
    </row>
    <row r="32" spans="1:26" ht="11" customHeight="1">
      <c r="A32" s="529" t="s">
        <v>330</v>
      </c>
      <c r="B32" s="527"/>
      <c r="C32" s="528"/>
      <c r="D32" s="528"/>
      <c r="E32" s="528"/>
      <c r="F32" s="528"/>
      <c r="G32" s="528"/>
      <c r="H32" s="837" t="s">
        <v>386</v>
      </c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6"/>
      <c r="Q33" s="206"/>
      <c r="R33" s="206"/>
      <c r="S33" s="206"/>
      <c r="T33" s="206"/>
      <c r="U33" s="206"/>
      <c r="V33" s="206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9">
    <tabColor theme="9" tint="0.59999389629810485"/>
  </sheetPr>
  <dimension ref="A2:V36"/>
  <sheetViews>
    <sheetView showGridLines="0" zoomScaleNormal="100" workbookViewId="0">
      <selection activeCell="R17" sqref="R17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796875" style="76" customWidth="1"/>
    <col min="24" max="16384" width="7" style="76"/>
  </cols>
  <sheetData>
    <row r="2" spans="1:22" ht="13.25" customHeight="1">
      <c r="A2" s="210" t="s">
        <v>486</v>
      </c>
      <c r="B2" s="211"/>
    </row>
    <row r="3" spans="1:22" ht="13.25" customHeight="1">
      <c r="A3" s="212"/>
      <c r="B3" s="212" t="s">
        <v>206</v>
      </c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2" ht="18" customHeight="1">
      <c r="A6" s="1020" t="s">
        <v>93</v>
      </c>
      <c r="B6" s="1020"/>
      <c r="C6" s="629">
        <f t="shared" ref="C6:N6" si="0">(C8+C9+C10+C11+C12+C13+C14+C15+C16+C17+C18+C19+C20+C21+C22+C23+C24+C25+C26+C27+C28+C29+C30+C31)</f>
        <v>708119</v>
      </c>
      <c r="D6" s="629">
        <f t="shared" si="0"/>
        <v>743672</v>
      </c>
      <c r="E6" s="629">
        <f t="shared" si="0"/>
        <v>753192</v>
      </c>
      <c r="F6" s="629">
        <f t="shared" si="0"/>
        <v>769582</v>
      </c>
      <c r="G6" s="629">
        <f t="shared" si="0"/>
        <v>787010</v>
      </c>
      <c r="H6" s="629">
        <f t="shared" si="0"/>
        <v>787601</v>
      </c>
      <c r="I6" s="629">
        <f t="shared" si="0"/>
        <v>815395</v>
      </c>
      <c r="J6" s="629">
        <f t="shared" si="0"/>
        <v>859630</v>
      </c>
      <c r="K6" s="629">
        <f t="shared" si="0"/>
        <v>859465</v>
      </c>
      <c r="L6" s="629">
        <f t="shared" si="0"/>
        <v>874940</v>
      </c>
      <c r="M6" s="629">
        <f t="shared" si="0"/>
        <v>886143</v>
      </c>
      <c r="N6" s="629">
        <f t="shared" si="0"/>
        <v>895718</v>
      </c>
      <c r="O6" s="629">
        <f t="shared" ref="O6:V6" si="1">(O8+O9+O10+O11+O12+O13+O14+O15+O16+O17+O18+O19+O20+O21+O22+O23+O24+O25+O26+O27+O28+O29+O30+O31)</f>
        <v>890155</v>
      </c>
      <c r="P6" s="629">
        <f t="shared" si="1"/>
        <v>896708</v>
      </c>
      <c r="Q6" s="629">
        <f t="shared" si="1"/>
        <v>905819</v>
      </c>
      <c r="R6" s="629">
        <f t="shared" si="1"/>
        <v>906690</v>
      </c>
      <c r="S6" s="629">
        <f t="shared" si="1"/>
        <v>932746</v>
      </c>
      <c r="T6" s="629">
        <f t="shared" ref="T6:U6" si="2">(T8+T9+T10+T11+T12+T13+T14+T15+T16+T17+T18+T19+T20+T21+T22+T23+T24+T25+T26+T27+T28+T29+T30+T31)</f>
        <v>945554</v>
      </c>
      <c r="U6" s="629">
        <f t="shared" si="2"/>
        <v>933435</v>
      </c>
      <c r="V6" s="629">
        <f t="shared" si="1"/>
        <v>933907</v>
      </c>
    </row>
    <row r="7" spans="1:22" ht="3" customHeight="1">
      <c r="A7" s="77"/>
      <c r="B7" s="78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</row>
    <row r="8" spans="1:22" ht="15" customHeight="1">
      <c r="A8" s="77"/>
      <c r="B8" s="21" t="s">
        <v>19</v>
      </c>
      <c r="C8" s="202">
        <v>205</v>
      </c>
      <c r="D8" s="202">
        <v>274</v>
      </c>
      <c r="E8" s="202">
        <v>312</v>
      </c>
      <c r="F8" s="202">
        <v>386</v>
      </c>
      <c r="G8" s="202">
        <v>468</v>
      </c>
      <c r="H8" s="202">
        <v>503</v>
      </c>
      <c r="I8" s="202">
        <v>513</v>
      </c>
      <c r="J8" s="202">
        <v>548</v>
      </c>
      <c r="K8" s="202">
        <v>618</v>
      </c>
      <c r="L8" s="202">
        <v>638</v>
      </c>
      <c r="M8" s="163">
        <v>607</v>
      </c>
      <c r="N8" s="163">
        <v>422</v>
      </c>
      <c r="O8" s="163">
        <v>389</v>
      </c>
      <c r="P8" s="163">
        <v>373</v>
      </c>
      <c r="Q8" s="163">
        <v>362</v>
      </c>
      <c r="R8" s="163">
        <v>311</v>
      </c>
      <c r="S8" s="163">
        <v>300</v>
      </c>
      <c r="T8" s="163">
        <v>335</v>
      </c>
      <c r="U8" s="163">
        <v>319</v>
      </c>
      <c r="V8" s="163">
        <v>314</v>
      </c>
    </row>
    <row r="9" spans="1:22" ht="15" customHeight="1">
      <c r="A9" s="77"/>
      <c r="B9" s="21" t="s">
        <v>20</v>
      </c>
      <c r="C9" s="202">
        <v>30800</v>
      </c>
      <c r="D9" s="202">
        <v>35139</v>
      </c>
      <c r="E9" s="202">
        <v>34728</v>
      </c>
      <c r="F9" s="202">
        <v>33772</v>
      </c>
      <c r="G9" s="202">
        <v>34191</v>
      </c>
      <c r="H9" s="202">
        <v>30208</v>
      </c>
      <c r="I9" s="202">
        <v>35419</v>
      </c>
      <c r="J9" s="202">
        <v>38995</v>
      </c>
      <c r="K9" s="202">
        <v>34915</v>
      </c>
      <c r="L9" s="202">
        <v>34685</v>
      </c>
      <c r="M9" s="163">
        <v>31861</v>
      </c>
      <c r="N9" s="163">
        <v>30915</v>
      </c>
      <c r="O9" s="163">
        <v>24275</v>
      </c>
      <c r="P9" s="163">
        <v>23642</v>
      </c>
      <c r="Q9" s="163">
        <v>24072</v>
      </c>
      <c r="R9" s="163">
        <v>24008</v>
      </c>
      <c r="S9" s="163">
        <v>24341</v>
      </c>
      <c r="T9" s="163">
        <v>24774</v>
      </c>
      <c r="U9" s="163">
        <v>25109</v>
      </c>
      <c r="V9" s="163">
        <v>25670</v>
      </c>
    </row>
    <row r="10" spans="1:22" ht="15" customHeight="1">
      <c r="A10" s="77"/>
      <c r="B10" s="21" t="s">
        <v>21</v>
      </c>
      <c r="C10" s="202">
        <v>11495</v>
      </c>
      <c r="D10" s="202">
        <v>13733</v>
      </c>
      <c r="E10" s="202">
        <v>11917</v>
      </c>
      <c r="F10" s="202">
        <v>12100</v>
      </c>
      <c r="G10" s="202">
        <v>12432</v>
      </c>
      <c r="H10" s="202">
        <v>13419</v>
      </c>
      <c r="I10" s="202">
        <v>15349</v>
      </c>
      <c r="J10" s="202">
        <v>16016</v>
      </c>
      <c r="K10" s="202">
        <v>15929</v>
      </c>
      <c r="L10" s="202">
        <v>18394</v>
      </c>
      <c r="M10" s="202">
        <v>18602</v>
      </c>
      <c r="N10" s="202">
        <v>20306</v>
      </c>
      <c r="O10" s="202">
        <v>18913</v>
      </c>
      <c r="P10" s="202">
        <v>18456</v>
      </c>
      <c r="Q10" s="202">
        <v>17837</v>
      </c>
      <c r="R10" s="202">
        <v>17820</v>
      </c>
      <c r="S10" s="202">
        <v>18101</v>
      </c>
      <c r="T10" s="202">
        <v>18213</v>
      </c>
      <c r="U10" s="202">
        <v>17530</v>
      </c>
      <c r="V10" s="202">
        <v>18164</v>
      </c>
    </row>
    <row r="11" spans="1:22" ht="15" customHeight="1">
      <c r="A11" s="77"/>
      <c r="B11" s="21" t="s">
        <v>22</v>
      </c>
      <c r="C11" s="202">
        <v>31910</v>
      </c>
      <c r="D11" s="202">
        <v>33386</v>
      </c>
      <c r="E11" s="202">
        <v>34127</v>
      </c>
      <c r="F11" s="202">
        <v>34893</v>
      </c>
      <c r="G11" s="202">
        <v>35121</v>
      </c>
      <c r="H11" s="202">
        <v>35989</v>
      </c>
      <c r="I11" s="202">
        <v>37489</v>
      </c>
      <c r="J11" s="202">
        <v>38090</v>
      </c>
      <c r="K11" s="202">
        <v>38786</v>
      </c>
      <c r="L11" s="202">
        <v>39057</v>
      </c>
      <c r="M11" s="163">
        <v>41974</v>
      </c>
      <c r="N11" s="163">
        <v>43042</v>
      </c>
      <c r="O11" s="163">
        <v>44082</v>
      </c>
      <c r="P11" s="163">
        <v>45118</v>
      </c>
      <c r="Q11" s="163">
        <v>48823</v>
      </c>
      <c r="R11" s="163">
        <v>49775</v>
      </c>
      <c r="S11" s="163">
        <v>52129</v>
      </c>
      <c r="T11" s="163">
        <v>57217</v>
      </c>
      <c r="U11" s="163">
        <v>55033</v>
      </c>
      <c r="V11" s="163">
        <v>58533</v>
      </c>
    </row>
    <row r="12" spans="1:22" ht="15" customHeight="1">
      <c r="A12" s="77"/>
      <c r="B12" s="21" t="s">
        <v>23</v>
      </c>
      <c r="C12" s="202">
        <v>110070</v>
      </c>
      <c r="D12" s="202">
        <v>111986</v>
      </c>
      <c r="E12" s="202">
        <v>122855</v>
      </c>
      <c r="F12" s="202">
        <v>123702</v>
      </c>
      <c r="G12" s="202">
        <v>133538</v>
      </c>
      <c r="H12" s="202">
        <v>131082</v>
      </c>
      <c r="I12" s="202">
        <v>136630</v>
      </c>
      <c r="J12" s="202">
        <v>140044</v>
      </c>
      <c r="K12" s="202">
        <v>142803</v>
      </c>
      <c r="L12" s="202">
        <v>146401</v>
      </c>
      <c r="M12" s="163">
        <v>152976</v>
      </c>
      <c r="N12" s="163">
        <v>159826</v>
      </c>
      <c r="O12" s="163">
        <v>162289</v>
      </c>
      <c r="P12" s="163">
        <v>162487</v>
      </c>
      <c r="Q12" s="163">
        <v>164222</v>
      </c>
      <c r="R12" s="163">
        <v>164025</v>
      </c>
      <c r="S12" s="163">
        <v>169644</v>
      </c>
      <c r="T12" s="163">
        <v>173517</v>
      </c>
      <c r="U12" s="163">
        <v>169411</v>
      </c>
      <c r="V12" s="163">
        <v>170497</v>
      </c>
    </row>
    <row r="13" spans="1:22" ht="15" customHeight="1">
      <c r="A13" s="77"/>
      <c r="B13" s="21" t="s">
        <v>27</v>
      </c>
      <c r="C13" s="202">
        <v>57182</v>
      </c>
      <c r="D13" s="202">
        <v>55010</v>
      </c>
      <c r="E13" s="202">
        <v>54898</v>
      </c>
      <c r="F13" s="202">
        <v>58893</v>
      </c>
      <c r="G13" s="202">
        <v>59729</v>
      </c>
      <c r="H13" s="202">
        <v>60701</v>
      </c>
      <c r="I13" s="202">
        <v>59696</v>
      </c>
      <c r="J13" s="202">
        <v>60572</v>
      </c>
      <c r="K13" s="202">
        <v>63081</v>
      </c>
      <c r="L13" s="202">
        <v>64800</v>
      </c>
      <c r="M13" s="202">
        <v>67566</v>
      </c>
      <c r="N13" s="202">
        <v>71212</v>
      </c>
      <c r="O13" s="202">
        <v>74885</v>
      </c>
      <c r="P13" s="202">
        <v>78673</v>
      </c>
      <c r="Q13" s="202">
        <v>79623</v>
      </c>
      <c r="R13" s="202">
        <v>79622</v>
      </c>
      <c r="S13" s="202">
        <v>80864</v>
      </c>
      <c r="T13" s="202">
        <v>82254</v>
      </c>
      <c r="U13" s="202">
        <v>83168</v>
      </c>
      <c r="V13" s="202">
        <v>81403</v>
      </c>
    </row>
    <row r="14" spans="1:22" ht="15" customHeight="1">
      <c r="A14" s="77"/>
      <c r="B14" s="21" t="s">
        <v>28</v>
      </c>
      <c r="C14" s="202">
        <v>15138</v>
      </c>
      <c r="D14" s="202">
        <v>15084</v>
      </c>
      <c r="E14" s="202">
        <v>15428</v>
      </c>
      <c r="F14" s="202">
        <v>15207</v>
      </c>
      <c r="G14" s="202">
        <v>14076</v>
      </c>
      <c r="H14" s="202">
        <v>14449</v>
      </c>
      <c r="I14" s="202">
        <v>14358</v>
      </c>
      <c r="J14" s="202">
        <v>14592</v>
      </c>
      <c r="K14" s="202">
        <v>13862</v>
      </c>
      <c r="L14" s="202">
        <v>14497</v>
      </c>
      <c r="M14" s="163">
        <v>12680</v>
      </c>
      <c r="N14" s="163">
        <v>13073</v>
      </c>
      <c r="O14" s="163">
        <v>13463</v>
      </c>
      <c r="P14" s="163">
        <v>14783</v>
      </c>
      <c r="Q14" s="163">
        <v>14847</v>
      </c>
      <c r="R14" s="163">
        <v>14894</v>
      </c>
      <c r="S14" s="163">
        <v>16462</v>
      </c>
      <c r="T14" s="163">
        <v>18406</v>
      </c>
      <c r="U14" s="163">
        <v>18887</v>
      </c>
      <c r="V14" s="163">
        <v>19937</v>
      </c>
    </row>
    <row r="15" spans="1:22" ht="15" customHeight="1">
      <c r="A15" s="77"/>
      <c r="B15" s="21" t="s">
        <v>29</v>
      </c>
      <c r="C15" s="202">
        <v>72396</v>
      </c>
      <c r="D15" s="202">
        <v>73854</v>
      </c>
      <c r="E15" s="202">
        <v>74318</v>
      </c>
      <c r="F15" s="202">
        <v>73291</v>
      </c>
      <c r="G15" s="202">
        <v>74109</v>
      </c>
      <c r="H15" s="202">
        <v>75086</v>
      </c>
      <c r="I15" s="202">
        <v>75684</v>
      </c>
      <c r="J15" s="202">
        <v>75347</v>
      </c>
      <c r="K15" s="202">
        <v>75768</v>
      </c>
      <c r="L15" s="202">
        <v>78501</v>
      </c>
      <c r="M15" s="163">
        <v>79149</v>
      </c>
      <c r="N15" s="163">
        <v>77763</v>
      </c>
      <c r="O15" s="163">
        <v>76070</v>
      </c>
      <c r="P15" s="163">
        <v>74764</v>
      </c>
      <c r="Q15" s="163">
        <v>71092</v>
      </c>
      <c r="R15" s="163">
        <v>71842</v>
      </c>
      <c r="S15" s="163">
        <v>74209</v>
      </c>
      <c r="T15" s="163">
        <v>72828</v>
      </c>
      <c r="U15" s="163">
        <v>72321</v>
      </c>
      <c r="V15" s="163">
        <v>74349</v>
      </c>
    </row>
    <row r="16" spans="1:22" ht="15" customHeight="1">
      <c r="A16" s="77"/>
      <c r="B16" s="21" t="s">
        <v>30</v>
      </c>
      <c r="C16" s="202">
        <v>6635</v>
      </c>
      <c r="D16" s="202">
        <v>6646</v>
      </c>
      <c r="E16" s="202">
        <v>6730</v>
      </c>
      <c r="F16" s="202">
        <v>7086</v>
      </c>
      <c r="G16" s="202">
        <v>7588</v>
      </c>
      <c r="H16" s="202">
        <v>7724</v>
      </c>
      <c r="I16" s="202">
        <v>7811</v>
      </c>
      <c r="J16" s="202">
        <v>8270</v>
      </c>
      <c r="K16" s="202">
        <v>8929</v>
      </c>
      <c r="L16" s="202">
        <v>9578</v>
      </c>
      <c r="M16" s="202">
        <v>9480</v>
      </c>
      <c r="N16" s="202">
        <v>10349</v>
      </c>
      <c r="O16" s="202">
        <v>11507</v>
      </c>
      <c r="P16" s="202">
        <v>11962</v>
      </c>
      <c r="Q16" s="202">
        <v>12537</v>
      </c>
      <c r="R16" s="202">
        <v>14028</v>
      </c>
      <c r="S16" s="202">
        <v>15390</v>
      </c>
      <c r="T16" s="202">
        <v>15846</v>
      </c>
      <c r="U16" s="202">
        <v>19218</v>
      </c>
      <c r="V16" s="202">
        <v>19764</v>
      </c>
    </row>
    <row r="17" spans="1:22" ht="15" customHeight="1">
      <c r="A17" s="77"/>
      <c r="B17" s="21" t="s">
        <v>31</v>
      </c>
      <c r="C17" s="202">
        <v>25270</v>
      </c>
      <c r="D17" s="202">
        <v>28936</v>
      </c>
      <c r="E17" s="202">
        <v>29011</v>
      </c>
      <c r="F17" s="202">
        <v>30504</v>
      </c>
      <c r="G17" s="202">
        <v>32688</v>
      </c>
      <c r="H17" s="202">
        <v>33823</v>
      </c>
      <c r="I17" s="202">
        <v>32902</v>
      </c>
      <c r="J17" s="202">
        <v>31689</v>
      </c>
      <c r="K17" s="202">
        <v>29252</v>
      </c>
      <c r="L17" s="202">
        <v>28250</v>
      </c>
      <c r="M17" s="163">
        <v>31466</v>
      </c>
      <c r="N17" s="163">
        <v>31905</v>
      </c>
      <c r="O17" s="163">
        <v>32349</v>
      </c>
      <c r="P17" s="163">
        <v>32464</v>
      </c>
      <c r="Q17" s="163">
        <v>34916</v>
      </c>
      <c r="R17" s="163">
        <v>37713</v>
      </c>
      <c r="S17" s="163">
        <v>39352</v>
      </c>
      <c r="T17" s="163">
        <v>40991</v>
      </c>
      <c r="U17" s="163">
        <v>41204</v>
      </c>
      <c r="V17" s="163">
        <v>42468</v>
      </c>
    </row>
    <row r="18" spans="1:22" ht="15" customHeight="1">
      <c r="A18" s="77"/>
      <c r="B18" s="21" t="s">
        <v>32</v>
      </c>
      <c r="C18" s="202">
        <v>21448</v>
      </c>
      <c r="D18" s="202">
        <v>28867</v>
      </c>
      <c r="E18" s="202">
        <v>28841</v>
      </c>
      <c r="F18" s="202">
        <v>24494</v>
      </c>
      <c r="G18" s="202">
        <v>25378</v>
      </c>
      <c r="H18" s="202">
        <v>25471</v>
      </c>
      <c r="I18" s="202">
        <v>24424</v>
      </c>
      <c r="J18" s="202">
        <v>25984</v>
      </c>
      <c r="K18" s="202">
        <v>25040</v>
      </c>
      <c r="L18" s="202">
        <v>24350</v>
      </c>
      <c r="M18" s="163">
        <v>26278</v>
      </c>
      <c r="N18" s="163">
        <v>26348</v>
      </c>
      <c r="O18" s="163">
        <v>28427</v>
      </c>
      <c r="P18" s="163">
        <v>29170</v>
      </c>
      <c r="Q18" s="163">
        <v>29614</v>
      </c>
      <c r="R18" s="163">
        <v>29894</v>
      </c>
      <c r="S18" s="163">
        <v>30415</v>
      </c>
      <c r="T18" s="163">
        <v>30994</v>
      </c>
      <c r="U18" s="163">
        <v>31279</v>
      </c>
      <c r="V18" s="163">
        <v>32505</v>
      </c>
    </row>
    <row r="19" spans="1:22" ht="15" customHeight="1">
      <c r="A19" s="77"/>
      <c r="B19" s="21" t="s">
        <v>33</v>
      </c>
      <c r="C19" s="202">
        <v>23080</v>
      </c>
      <c r="D19" s="202">
        <v>23360</v>
      </c>
      <c r="E19" s="202">
        <v>22937</v>
      </c>
      <c r="F19" s="202">
        <v>23588</v>
      </c>
      <c r="G19" s="202">
        <v>22699</v>
      </c>
      <c r="H19" s="202">
        <v>22013</v>
      </c>
      <c r="I19" s="202">
        <v>28327</v>
      </c>
      <c r="J19" s="202">
        <v>29927</v>
      </c>
      <c r="K19" s="202">
        <v>30607</v>
      </c>
      <c r="L19" s="202">
        <v>31721</v>
      </c>
      <c r="M19" s="163">
        <v>32903</v>
      </c>
      <c r="N19" s="163">
        <v>36691</v>
      </c>
      <c r="O19" s="163">
        <v>37386</v>
      </c>
      <c r="P19" s="163">
        <v>38296</v>
      </c>
      <c r="Q19" s="163">
        <v>40670</v>
      </c>
      <c r="R19" s="163">
        <v>41324</v>
      </c>
      <c r="S19" s="163">
        <v>41667</v>
      </c>
      <c r="T19" s="163">
        <v>42039</v>
      </c>
      <c r="U19" s="163">
        <v>41791</v>
      </c>
      <c r="V19" s="163">
        <v>41903</v>
      </c>
    </row>
    <row r="20" spans="1:22" ht="15" customHeight="1">
      <c r="A20" s="77"/>
      <c r="B20" s="21" t="s">
        <v>34</v>
      </c>
      <c r="C20" s="202">
        <v>14683</v>
      </c>
      <c r="D20" s="202">
        <v>16772</v>
      </c>
      <c r="E20" s="202">
        <v>16696</v>
      </c>
      <c r="F20" s="202">
        <v>13553</v>
      </c>
      <c r="G20" s="202">
        <v>12204</v>
      </c>
      <c r="H20" s="202">
        <v>13750</v>
      </c>
      <c r="I20" s="202">
        <v>16366</v>
      </c>
      <c r="J20" s="202">
        <v>18523</v>
      </c>
      <c r="K20" s="202">
        <v>20593</v>
      </c>
      <c r="L20" s="202">
        <v>20205</v>
      </c>
      <c r="M20" s="163">
        <v>19884</v>
      </c>
      <c r="N20" s="163">
        <v>16134</v>
      </c>
      <c r="O20" s="163">
        <v>12803</v>
      </c>
      <c r="P20" s="163">
        <v>12755</v>
      </c>
      <c r="Q20" s="163">
        <v>12120</v>
      </c>
      <c r="R20" s="163">
        <v>12125</v>
      </c>
      <c r="S20" s="163">
        <v>12361</v>
      </c>
      <c r="T20" s="163">
        <v>12894</v>
      </c>
      <c r="U20" s="163">
        <v>12578</v>
      </c>
      <c r="V20" s="163">
        <v>12743</v>
      </c>
    </row>
    <row r="21" spans="1:22" ht="15" customHeight="1">
      <c r="A21" s="77"/>
      <c r="B21" s="21" t="s">
        <v>35</v>
      </c>
      <c r="C21" s="202">
        <v>84419</v>
      </c>
      <c r="D21" s="202">
        <v>85869</v>
      </c>
      <c r="E21" s="202">
        <v>79079</v>
      </c>
      <c r="F21" s="202">
        <v>78782</v>
      </c>
      <c r="G21" s="202">
        <v>79665</v>
      </c>
      <c r="H21" s="202">
        <v>69701</v>
      </c>
      <c r="I21" s="202">
        <v>69147</v>
      </c>
      <c r="J21" s="202">
        <v>80214</v>
      </c>
      <c r="K21" s="202">
        <v>73334</v>
      </c>
      <c r="L21" s="202">
        <v>75738</v>
      </c>
      <c r="M21" s="163">
        <v>76215</v>
      </c>
      <c r="N21" s="163">
        <v>74287</v>
      </c>
      <c r="O21" s="163">
        <v>75027</v>
      </c>
      <c r="P21" s="163">
        <v>75377</v>
      </c>
      <c r="Q21" s="163">
        <v>75737</v>
      </c>
      <c r="R21" s="163">
        <v>75699</v>
      </c>
      <c r="S21" s="163">
        <v>75901</v>
      </c>
      <c r="T21" s="163">
        <v>75149</v>
      </c>
      <c r="U21" s="163">
        <v>71266</v>
      </c>
      <c r="V21" s="163">
        <v>64833</v>
      </c>
    </row>
    <row r="22" spans="1:22" ht="15" customHeight="1">
      <c r="A22" s="77"/>
      <c r="B22" s="21" t="s">
        <v>36</v>
      </c>
      <c r="C22" s="202">
        <v>6870</v>
      </c>
      <c r="D22" s="202">
        <v>6669</v>
      </c>
      <c r="E22" s="202">
        <v>6181</v>
      </c>
      <c r="F22" s="202">
        <v>5751</v>
      </c>
      <c r="G22" s="202">
        <v>5607</v>
      </c>
      <c r="H22" s="202">
        <v>5608</v>
      </c>
      <c r="I22" s="202">
        <v>5406</v>
      </c>
      <c r="J22" s="202">
        <v>5106</v>
      </c>
      <c r="K22" s="202">
        <v>5294</v>
      </c>
      <c r="L22" s="202">
        <v>5306</v>
      </c>
      <c r="M22" s="163">
        <v>5220</v>
      </c>
      <c r="N22" s="163">
        <v>5302</v>
      </c>
      <c r="O22" s="163">
        <v>5297</v>
      </c>
      <c r="P22" s="163">
        <v>5428</v>
      </c>
      <c r="Q22" s="163">
        <v>5671</v>
      </c>
      <c r="R22" s="163">
        <v>5637</v>
      </c>
      <c r="S22" s="163">
        <v>5738</v>
      </c>
      <c r="T22" s="163">
        <v>5724</v>
      </c>
      <c r="U22" s="163">
        <v>5731</v>
      </c>
      <c r="V22" s="163">
        <v>5772</v>
      </c>
    </row>
    <row r="23" spans="1:22" ht="15" customHeight="1">
      <c r="A23" s="77"/>
      <c r="B23" s="21" t="s">
        <v>37</v>
      </c>
      <c r="C23" s="202">
        <v>7044</v>
      </c>
      <c r="D23" s="202">
        <v>7115</v>
      </c>
      <c r="E23" s="202">
        <v>7516</v>
      </c>
      <c r="F23" s="202">
        <v>7336</v>
      </c>
      <c r="G23" s="202">
        <v>7311</v>
      </c>
      <c r="H23" s="202">
        <v>7154</v>
      </c>
      <c r="I23" s="202">
        <v>7075</v>
      </c>
      <c r="J23" s="202">
        <v>6168</v>
      </c>
      <c r="K23" s="202">
        <v>6027</v>
      </c>
      <c r="L23" s="202">
        <v>6061</v>
      </c>
      <c r="M23" s="163">
        <v>5831</v>
      </c>
      <c r="N23" s="163">
        <v>5702</v>
      </c>
      <c r="O23" s="163">
        <v>5666</v>
      </c>
      <c r="P23" s="163">
        <v>5647</v>
      </c>
      <c r="Q23" s="163">
        <v>5692</v>
      </c>
      <c r="R23" s="163">
        <v>5574</v>
      </c>
      <c r="S23" s="163">
        <v>5451</v>
      </c>
      <c r="T23" s="163">
        <v>5437</v>
      </c>
      <c r="U23" s="163">
        <v>5400</v>
      </c>
      <c r="V23" s="163">
        <v>5460</v>
      </c>
    </row>
    <row r="24" spans="1:22" ht="15" customHeight="1">
      <c r="A24" s="77"/>
      <c r="B24" s="21" t="s">
        <v>38</v>
      </c>
      <c r="C24" s="202">
        <v>25778</v>
      </c>
      <c r="D24" s="202">
        <v>22789</v>
      </c>
      <c r="E24" s="202">
        <v>24300</v>
      </c>
      <c r="F24" s="202">
        <v>24706</v>
      </c>
      <c r="G24" s="202">
        <v>26416</v>
      </c>
      <c r="H24" s="202">
        <v>31807</v>
      </c>
      <c r="I24" s="202">
        <v>33551</v>
      </c>
      <c r="J24" s="202">
        <v>34782</v>
      </c>
      <c r="K24" s="202">
        <v>34138</v>
      </c>
      <c r="L24" s="202">
        <v>34747</v>
      </c>
      <c r="M24" s="163">
        <v>32215</v>
      </c>
      <c r="N24" s="163">
        <v>30053</v>
      </c>
      <c r="O24" s="163">
        <v>29964</v>
      </c>
      <c r="P24" s="163">
        <v>30896</v>
      </c>
      <c r="Q24" s="163">
        <v>33695</v>
      </c>
      <c r="R24" s="163">
        <v>28386</v>
      </c>
      <c r="S24" s="163">
        <v>31395</v>
      </c>
      <c r="T24" s="163">
        <v>28737</v>
      </c>
      <c r="U24" s="163">
        <v>28184</v>
      </c>
      <c r="V24" s="163">
        <v>28580</v>
      </c>
    </row>
    <row r="25" spans="1:22" ht="15" customHeight="1">
      <c r="A25" s="77"/>
      <c r="B25" s="21" t="s">
        <v>39</v>
      </c>
      <c r="C25" s="202">
        <v>36043</v>
      </c>
      <c r="D25" s="202">
        <v>41675</v>
      </c>
      <c r="E25" s="202">
        <v>47110</v>
      </c>
      <c r="F25" s="202">
        <v>48083</v>
      </c>
      <c r="G25" s="202">
        <v>45615</v>
      </c>
      <c r="H25" s="202">
        <v>42573</v>
      </c>
      <c r="I25" s="202">
        <v>34656</v>
      </c>
      <c r="J25" s="202">
        <v>30971</v>
      </c>
      <c r="K25" s="202">
        <v>31026</v>
      </c>
      <c r="L25" s="202">
        <v>32875</v>
      </c>
      <c r="M25" s="163">
        <v>32395</v>
      </c>
      <c r="N25" s="163">
        <v>32542</v>
      </c>
      <c r="O25" s="163">
        <v>32433</v>
      </c>
      <c r="P25" s="163">
        <v>32126</v>
      </c>
      <c r="Q25" s="163">
        <v>31825</v>
      </c>
      <c r="R25" s="163">
        <v>31233</v>
      </c>
      <c r="S25" s="163">
        <v>30697</v>
      </c>
      <c r="T25" s="163">
        <v>29644</v>
      </c>
      <c r="U25" s="163">
        <v>28762</v>
      </c>
      <c r="V25" s="163">
        <v>28415</v>
      </c>
    </row>
    <row r="26" spans="1:22" ht="15" customHeight="1">
      <c r="A26" s="77"/>
      <c r="B26" s="21" t="s">
        <v>42</v>
      </c>
      <c r="C26" s="202">
        <v>29092</v>
      </c>
      <c r="D26" s="202">
        <v>35232</v>
      </c>
      <c r="E26" s="202">
        <v>30059</v>
      </c>
      <c r="F26" s="202">
        <v>35433</v>
      </c>
      <c r="G26" s="202">
        <v>35565</v>
      </c>
      <c r="H26" s="202">
        <v>40723</v>
      </c>
      <c r="I26" s="202">
        <v>53373</v>
      </c>
      <c r="J26" s="202">
        <v>77508</v>
      </c>
      <c r="K26" s="202">
        <v>82300</v>
      </c>
      <c r="L26" s="202">
        <v>84286</v>
      </c>
      <c r="M26" s="163">
        <v>84714</v>
      </c>
      <c r="N26" s="163">
        <v>80923</v>
      </c>
      <c r="O26" s="163">
        <v>79822</v>
      </c>
      <c r="P26" s="163">
        <v>79903</v>
      </c>
      <c r="Q26" s="163">
        <v>80570</v>
      </c>
      <c r="R26" s="163">
        <v>82653</v>
      </c>
      <c r="S26" s="163">
        <v>83162</v>
      </c>
      <c r="T26" s="163">
        <v>86618</v>
      </c>
      <c r="U26" s="163">
        <v>83433</v>
      </c>
      <c r="V26" s="163">
        <v>81970</v>
      </c>
    </row>
    <row r="27" spans="1:22" ht="15" customHeight="1">
      <c r="A27" s="77"/>
      <c r="B27" s="21" t="s">
        <v>43</v>
      </c>
      <c r="C27" s="202">
        <v>85930</v>
      </c>
      <c r="D27" s="202">
        <v>87943</v>
      </c>
      <c r="E27" s="202">
        <v>91148</v>
      </c>
      <c r="F27" s="202">
        <v>96740</v>
      </c>
      <c r="G27" s="202">
        <v>98240</v>
      </c>
      <c r="H27" s="202">
        <v>101723</v>
      </c>
      <c r="I27" s="202">
        <v>101006</v>
      </c>
      <c r="J27" s="202">
        <v>100734</v>
      </c>
      <c r="K27" s="202">
        <v>100971</v>
      </c>
      <c r="L27" s="202">
        <v>98742</v>
      </c>
      <c r="M27" s="163">
        <v>98288</v>
      </c>
      <c r="N27" s="163">
        <v>102805</v>
      </c>
      <c r="O27" s="163">
        <v>99130</v>
      </c>
      <c r="P27" s="163">
        <v>98100</v>
      </c>
      <c r="Q27" s="163">
        <v>95949</v>
      </c>
      <c r="R27" s="163">
        <v>95303</v>
      </c>
      <c r="S27" s="163">
        <v>98942</v>
      </c>
      <c r="T27" s="163">
        <v>98199</v>
      </c>
      <c r="U27" s="163">
        <v>97252</v>
      </c>
      <c r="V27" s="163">
        <v>95466</v>
      </c>
    </row>
    <row r="28" spans="1:22" ht="15" customHeight="1">
      <c r="A28" s="77"/>
      <c r="B28" s="76" t="s">
        <v>44</v>
      </c>
      <c r="C28" s="202">
        <v>7617</v>
      </c>
      <c r="D28" s="202">
        <v>7362</v>
      </c>
      <c r="E28" s="202">
        <v>8608</v>
      </c>
      <c r="F28" s="202">
        <v>14692</v>
      </c>
      <c r="G28" s="202">
        <v>17362</v>
      </c>
      <c r="H28" s="202">
        <v>17224</v>
      </c>
      <c r="I28" s="202">
        <v>18300</v>
      </c>
      <c r="J28" s="202">
        <v>17898</v>
      </c>
      <c r="K28" s="202">
        <v>17882</v>
      </c>
      <c r="L28" s="202">
        <v>17920</v>
      </c>
      <c r="M28" s="163">
        <v>17969</v>
      </c>
      <c r="N28" s="163">
        <v>18813</v>
      </c>
      <c r="O28" s="163">
        <v>19453</v>
      </c>
      <c r="P28" s="163">
        <v>19803</v>
      </c>
      <c r="Q28" s="163">
        <v>19732</v>
      </c>
      <c r="R28" s="163">
        <v>19158</v>
      </c>
      <c r="S28" s="163">
        <v>20316</v>
      </c>
      <c r="T28" s="163">
        <v>20406</v>
      </c>
      <c r="U28" s="163">
        <v>20473</v>
      </c>
      <c r="V28" s="163">
        <v>20404</v>
      </c>
    </row>
    <row r="29" spans="1:22" ht="15" customHeight="1">
      <c r="A29" s="77"/>
      <c r="B29" s="21" t="s">
        <v>45</v>
      </c>
      <c r="C29" s="202">
        <v>599</v>
      </c>
      <c r="D29" s="202">
        <v>949</v>
      </c>
      <c r="E29" s="202">
        <v>1112</v>
      </c>
      <c r="F29" s="202">
        <v>1281</v>
      </c>
      <c r="G29" s="202">
        <v>1475</v>
      </c>
      <c r="H29" s="202">
        <v>1465</v>
      </c>
      <c r="I29" s="202">
        <v>1741</v>
      </c>
      <c r="J29" s="202">
        <v>1452</v>
      </c>
      <c r="K29" s="202">
        <v>1479</v>
      </c>
      <c r="L29" s="202">
        <v>1434</v>
      </c>
      <c r="M29" s="163">
        <v>1347</v>
      </c>
      <c r="N29" s="163">
        <v>1254</v>
      </c>
      <c r="O29" s="163">
        <v>1253</v>
      </c>
      <c r="P29" s="163">
        <v>1269</v>
      </c>
      <c r="Q29" s="163">
        <v>1228</v>
      </c>
      <c r="R29" s="163">
        <v>1181</v>
      </c>
      <c r="S29" s="163">
        <v>1217</v>
      </c>
      <c r="T29" s="163">
        <v>1172</v>
      </c>
      <c r="U29" s="163">
        <v>1171</v>
      </c>
      <c r="V29" s="163">
        <v>1134</v>
      </c>
    </row>
    <row r="30" spans="1:22" ht="15" customHeight="1">
      <c r="A30" s="77"/>
      <c r="B30" s="21" t="s">
        <v>46</v>
      </c>
      <c r="C30" s="202">
        <v>3057</v>
      </c>
      <c r="D30" s="202">
        <v>3562</v>
      </c>
      <c r="E30" s="202">
        <v>3732</v>
      </c>
      <c r="F30" s="202">
        <v>3346</v>
      </c>
      <c r="G30" s="202">
        <v>3445</v>
      </c>
      <c r="H30" s="202">
        <v>3387</v>
      </c>
      <c r="I30" s="202">
        <v>3508</v>
      </c>
      <c r="J30" s="202">
        <v>3362</v>
      </c>
      <c r="K30" s="202">
        <v>3357</v>
      </c>
      <c r="L30" s="202">
        <v>3354</v>
      </c>
      <c r="M30" s="163">
        <v>3588</v>
      </c>
      <c r="N30" s="163">
        <v>4441</v>
      </c>
      <c r="O30" s="163">
        <v>3920</v>
      </c>
      <c r="P30" s="163">
        <v>3887</v>
      </c>
      <c r="Q30" s="163">
        <v>3631</v>
      </c>
      <c r="R30" s="163">
        <v>3479</v>
      </c>
      <c r="S30" s="163">
        <v>3692</v>
      </c>
      <c r="T30" s="163">
        <v>3214</v>
      </c>
      <c r="U30" s="163">
        <v>2963</v>
      </c>
      <c r="V30" s="163">
        <v>2712</v>
      </c>
    </row>
    <row r="31" spans="1:22" ht="15" customHeight="1" thickBot="1">
      <c r="A31" s="82"/>
      <c r="B31" s="434" t="s">
        <v>47</v>
      </c>
      <c r="C31" s="438">
        <v>1358</v>
      </c>
      <c r="D31" s="438">
        <v>1460</v>
      </c>
      <c r="E31" s="438">
        <v>1549</v>
      </c>
      <c r="F31" s="438">
        <v>1963</v>
      </c>
      <c r="G31" s="438">
        <v>2088</v>
      </c>
      <c r="H31" s="438">
        <v>2018</v>
      </c>
      <c r="I31" s="438">
        <v>2664</v>
      </c>
      <c r="J31" s="438">
        <v>2838</v>
      </c>
      <c r="K31" s="438">
        <v>3474</v>
      </c>
      <c r="L31" s="438">
        <v>3400</v>
      </c>
      <c r="M31" s="441">
        <v>2935</v>
      </c>
      <c r="N31" s="441">
        <v>1610</v>
      </c>
      <c r="O31" s="441">
        <v>1352</v>
      </c>
      <c r="P31" s="441">
        <v>1329</v>
      </c>
      <c r="Q31" s="441">
        <v>1354</v>
      </c>
      <c r="R31" s="441">
        <v>1006</v>
      </c>
      <c r="S31" s="441">
        <v>1000</v>
      </c>
      <c r="T31" s="441">
        <v>946</v>
      </c>
      <c r="U31" s="441">
        <v>952</v>
      </c>
      <c r="V31" s="441">
        <v>911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0">
    <tabColor theme="9" tint="0.59999389629810485"/>
  </sheetPr>
  <dimension ref="A2:AA62"/>
  <sheetViews>
    <sheetView showGridLines="0" zoomScaleNormal="100" workbookViewId="0">
      <selection activeCell="L26" sqref="L26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6.59765625" style="76" customWidth="1"/>
    <col min="23" max="23" width="7" style="76" customWidth="1"/>
    <col min="24" max="16384" width="7" style="76"/>
  </cols>
  <sheetData>
    <row r="2" spans="1:27" ht="13.25" customHeight="1">
      <c r="A2" s="210" t="s">
        <v>487</v>
      </c>
      <c r="B2" s="211"/>
    </row>
    <row r="3" spans="1:27" ht="13.25" customHeight="1">
      <c r="A3" s="212" t="s">
        <v>210</v>
      </c>
      <c r="B3" s="212"/>
    </row>
    <row r="4" spans="1:27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</row>
    <row r="5" spans="1:27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7" ht="18" customHeight="1">
      <c r="A6" s="1022" t="s">
        <v>93</v>
      </c>
      <c r="B6" s="1022"/>
      <c r="C6" s="629">
        <f t="shared" ref="C6:N6" si="0">(C8+C9+C10+C11+C12+C13+C14+C15+C16+C17+C18+C19+C20+C21+C22+C23+C24+C25+C26+C27+C28+C29+C30+C31)</f>
        <v>1236833</v>
      </c>
      <c r="D6" s="629">
        <f t="shared" si="0"/>
        <v>1346991</v>
      </c>
      <c r="E6" s="630">
        <f t="shared" si="0"/>
        <v>1455814</v>
      </c>
      <c r="F6" s="630">
        <f t="shared" si="0"/>
        <v>1565531</v>
      </c>
      <c r="G6" s="630">
        <f t="shared" si="0"/>
        <v>1652112</v>
      </c>
      <c r="H6" s="630">
        <f t="shared" si="0"/>
        <v>1678373</v>
      </c>
      <c r="I6" s="630">
        <f t="shared" si="0"/>
        <v>1755528</v>
      </c>
      <c r="J6" s="630">
        <f t="shared" si="0"/>
        <v>1790672</v>
      </c>
      <c r="K6" s="630">
        <f t="shared" si="0"/>
        <v>1807808</v>
      </c>
      <c r="L6" s="630">
        <f t="shared" si="0"/>
        <v>1840227</v>
      </c>
      <c r="M6" s="630">
        <f t="shared" si="0"/>
        <v>1903176</v>
      </c>
      <c r="N6" s="630">
        <f t="shared" si="0"/>
        <v>1954231</v>
      </c>
      <c r="O6" s="630">
        <f t="shared" ref="O6:V6" si="1">(O8+O9+O10+O11+O12+O13+O14+O15+O16+O17+O18+O19+O20+O21+O22+O23+O24+O25+O26+O27+O28+O29+O30+O31)</f>
        <v>2013674</v>
      </c>
      <c r="P6" s="630">
        <f t="shared" si="1"/>
        <v>2067144</v>
      </c>
      <c r="Q6" s="630">
        <f t="shared" si="1"/>
        <v>2121365.8700000006</v>
      </c>
      <c r="R6" s="630">
        <f t="shared" si="1"/>
        <v>2135881.3099999996</v>
      </c>
      <c r="S6" s="630">
        <f t="shared" si="1"/>
        <v>2184934.52</v>
      </c>
      <c r="T6" s="630">
        <f t="shared" ref="T6:U6" si="2">(T8+T9+T10+T11+T12+T13+T14+T15+T16+T17+T18+T19+T20+T21+T22+T23+T24+T25+T26+T27+T28+T29+T30+T31)</f>
        <v>2246935.85</v>
      </c>
      <c r="U6" s="630">
        <f t="shared" si="2"/>
        <v>2201096.2876995043</v>
      </c>
      <c r="V6" s="630">
        <f t="shared" si="1"/>
        <v>2228888.971499199</v>
      </c>
    </row>
    <row r="7" spans="1:27" ht="3" customHeight="1">
      <c r="A7" s="77"/>
      <c r="B7" s="78"/>
      <c r="C7" s="203"/>
      <c r="D7" s="203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</row>
    <row r="8" spans="1:27" ht="15" customHeight="1">
      <c r="A8" s="77"/>
      <c r="B8" s="21" t="s">
        <v>19</v>
      </c>
      <c r="C8" s="202">
        <v>362</v>
      </c>
      <c r="D8" s="202">
        <v>397</v>
      </c>
      <c r="E8" s="87">
        <v>421</v>
      </c>
      <c r="F8" s="87">
        <v>460</v>
      </c>
      <c r="G8" s="87">
        <v>517</v>
      </c>
      <c r="H8" s="87">
        <v>568</v>
      </c>
      <c r="I8" s="87">
        <v>601</v>
      </c>
      <c r="J8" s="87">
        <v>651</v>
      </c>
      <c r="K8" s="87">
        <v>790</v>
      </c>
      <c r="L8" s="87">
        <v>692</v>
      </c>
      <c r="M8" s="473">
        <v>659</v>
      </c>
      <c r="N8" s="473">
        <v>409</v>
      </c>
      <c r="O8" s="473">
        <v>412</v>
      </c>
      <c r="P8" s="473">
        <v>385</v>
      </c>
      <c r="Q8" s="473">
        <v>374.32</v>
      </c>
      <c r="R8" s="473">
        <v>343.13</v>
      </c>
      <c r="S8" s="473">
        <v>324.47000000000003</v>
      </c>
      <c r="T8" s="473">
        <v>305.63</v>
      </c>
      <c r="U8" s="473">
        <v>312.15886</v>
      </c>
      <c r="V8" s="473">
        <v>304.54310000000009</v>
      </c>
      <c r="X8" s="562"/>
      <c r="Y8" s="562"/>
      <c r="Z8" s="562"/>
      <c r="AA8" s="562"/>
    </row>
    <row r="9" spans="1:27" ht="15" customHeight="1">
      <c r="A9" s="77"/>
      <c r="B9" s="21" t="s">
        <v>20</v>
      </c>
      <c r="C9" s="202">
        <v>29012</v>
      </c>
      <c r="D9" s="202">
        <v>33615</v>
      </c>
      <c r="E9" s="87">
        <v>35006</v>
      </c>
      <c r="F9" s="87">
        <v>36402</v>
      </c>
      <c r="G9" s="87">
        <v>37152</v>
      </c>
      <c r="H9" s="87">
        <v>31497</v>
      </c>
      <c r="I9" s="87">
        <v>43867</v>
      </c>
      <c r="J9" s="87">
        <v>47125</v>
      </c>
      <c r="K9" s="87">
        <v>47581</v>
      </c>
      <c r="L9" s="87">
        <v>50081</v>
      </c>
      <c r="M9" s="473">
        <v>41556</v>
      </c>
      <c r="N9" s="473">
        <v>42578</v>
      </c>
      <c r="O9" s="473">
        <v>37240</v>
      </c>
      <c r="P9" s="473">
        <v>41416</v>
      </c>
      <c r="Q9" s="473">
        <v>42121.71</v>
      </c>
      <c r="R9" s="473">
        <v>42903.99</v>
      </c>
      <c r="S9" s="473">
        <v>43392.22</v>
      </c>
      <c r="T9" s="473">
        <v>44291.74</v>
      </c>
      <c r="U9" s="473">
        <v>44385.581885611209</v>
      </c>
      <c r="V9" s="473">
        <v>44641.051197489345</v>
      </c>
      <c r="W9" s="84"/>
      <c r="X9" s="562"/>
      <c r="Y9" s="562"/>
      <c r="Z9" s="562"/>
      <c r="AA9" s="562"/>
    </row>
    <row r="10" spans="1:27" ht="15" customHeight="1">
      <c r="A10" s="77"/>
      <c r="B10" s="21" t="s">
        <v>21</v>
      </c>
      <c r="C10" s="202">
        <v>29656</v>
      </c>
      <c r="D10" s="202">
        <v>28602</v>
      </c>
      <c r="E10" s="87">
        <v>30980</v>
      </c>
      <c r="F10" s="87">
        <v>33397</v>
      </c>
      <c r="G10" s="87">
        <v>36814</v>
      </c>
      <c r="H10" s="87">
        <v>39517</v>
      </c>
      <c r="I10" s="87">
        <v>37262</v>
      </c>
      <c r="J10" s="87">
        <v>39291</v>
      </c>
      <c r="K10" s="87">
        <v>45080</v>
      </c>
      <c r="L10" s="87">
        <v>49837</v>
      </c>
      <c r="M10" s="87">
        <v>53136</v>
      </c>
      <c r="N10" s="87">
        <v>59215</v>
      </c>
      <c r="O10" s="87">
        <v>55426</v>
      </c>
      <c r="P10" s="87">
        <v>56242</v>
      </c>
      <c r="Q10" s="87">
        <v>56664.95</v>
      </c>
      <c r="R10" s="87">
        <v>54175.98</v>
      </c>
      <c r="S10" s="87">
        <v>48054.66</v>
      </c>
      <c r="T10" s="87">
        <v>46487.96</v>
      </c>
      <c r="U10" s="87">
        <v>44967.875599999999</v>
      </c>
      <c r="V10" s="87">
        <v>44199.900000000009</v>
      </c>
      <c r="W10" s="84"/>
      <c r="X10" s="562"/>
      <c r="Y10" s="562"/>
      <c r="Z10" s="562"/>
      <c r="AA10" s="562"/>
    </row>
    <row r="11" spans="1:27" ht="15" customHeight="1">
      <c r="A11" s="77"/>
      <c r="B11" s="21" t="s">
        <v>22</v>
      </c>
      <c r="C11" s="202">
        <v>79695</v>
      </c>
      <c r="D11" s="202">
        <v>90775</v>
      </c>
      <c r="E11" s="87">
        <v>94476</v>
      </c>
      <c r="F11" s="87">
        <v>99405</v>
      </c>
      <c r="G11" s="87">
        <v>98524</v>
      </c>
      <c r="H11" s="87">
        <v>100618</v>
      </c>
      <c r="I11" s="87">
        <v>113502</v>
      </c>
      <c r="J11" s="87">
        <v>116710</v>
      </c>
      <c r="K11" s="87">
        <v>118937</v>
      </c>
      <c r="L11" s="87">
        <v>121501</v>
      </c>
      <c r="M11" s="473">
        <v>125366</v>
      </c>
      <c r="N11" s="473">
        <v>129501</v>
      </c>
      <c r="O11" s="473">
        <v>132475</v>
      </c>
      <c r="P11" s="473">
        <v>135964</v>
      </c>
      <c r="Q11" s="473">
        <v>151171.35999999999</v>
      </c>
      <c r="R11" s="473">
        <v>157622.84</v>
      </c>
      <c r="S11" s="473">
        <v>160701.34</v>
      </c>
      <c r="T11" s="473">
        <v>182784.37</v>
      </c>
      <c r="U11" s="473">
        <v>172973.25674499996</v>
      </c>
      <c r="V11" s="473">
        <v>190379.393255</v>
      </c>
      <c r="W11" s="84"/>
      <c r="X11" s="562"/>
      <c r="Y11" s="562"/>
      <c r="Z11" s="562"/>
      <c r="AA11" s="562"/>
    </row>
    <row r="12" spans="1:27" ht="15" customHeight="1">
      <c r="A12" s="77"/>
      <c r="B12" s="21" t="s">
        <v>23</v>
      </c>
      <c r="C12" s="202">
        <v>225648</v>
      </c>
      <c r="D12" s="202">
        <v>239969</v>
      </c>
      <c r="E12" s="87">
        <v>262632</v>
      </c>
      <c r="F12" s="87">
        <v>277900</v>
      </c>
      <c r="G12" s="87">
        <v>304884</v>
      </c>
      <c r="H12" s="87">
        <v>303449</v>
      </c>
      <c r="I12" s="87">
        <v>310629</v>
      </c>
      <c r="J12" s="87">
        <v>318594</v>
      </c>
      <c r="K12" s="87">
        <v>324862</v>
      </c>
      <c r="L12" s="87">
        <v>323687</v>
      </c>
      <c r="M12" s="473">
        <v>345029</v>
      </c>
      <c r="N12" s="473">
        <v>352076</v>
      </c>
      <c r="O12" s="473">
        <v>360200</v>
      </c>
      <c r="P12" s="473">
        <v>367092</v>
      </c>
      <c r="Q12" s="473">
        <v>383135.7</v>
      </c>
      <c r="R12" s="473">
        <v>367230.59</v>
      </c>
      <c r="S12" s="473">
        <v>380550.04</v>
      </c>
      <c r="T12" s="473">
        <v>401009.95</v>
      </c>
      <c r="U12" s="473">
        <v>393592.67576964287</v>
      </c>
      <c r="V12" s="473">
        <v>382460.41639999999</v>
      </c>
      <c r="W12" s="84"/>
      <c r="X12" s="562"/>
      <c r="Y12" s="562"/>
      <c r="Z12" s="562"/>
      <c r="AA12" s="562"/>
    </row>
    <row r="13" spans="1:27" ht="15" customHeight="1">
      <c r="A13" s="77"/>
      <c r="B13" s="21" t="s">
        <v>27</v>
      </c>
      <c r="C13" s="202">
        <v>58117</v>
      </c>
      <c r="D13" s="202">
        <v>59002</v>
      </c>
      <c r="E13" s="87">
        <v>62315</v>
      </c>
      <c r="F13" s="87">
        <v>65354</v>
      </c>
      <c r="G13" s="87">
        <v>75111</v>
      </c>
      <c r="H13" s="87">
        <v>75125</v>
      </c>
      <c r="I13" s="87">
        <v>74369</v>
      </c>
      <c r="J13" s="87">
        <v>76184</v>
      </c>
      <c r="K13" s="87">
        <v>80358</v>
      </c>
      <c r="L13" s="87">
        <v>76093</v>
      </c>
      <c r="M13" s="87">
        <v>79208</v>
      </c>
      <c r="N13" s="87">
        <v>83366</v>
      </c>
      <c r="O13" s="87">
        <v>93894</v>
      </c>
      <c r="P13" s="87">
        <v>97640</v>
      </c>
      <c r="Q13" s="87">
        <v>98574.15</v>
      </c>
      <c r="R13" s="87">
        <v>100570.05</v>
      </c>
      <c r="S13" s="87">
        <v>103409.71</v>
      </c>
      <c r="T13" s="87">
        <v>105355.68</v>
      </c>
      <c r="U13" s="87">
        <v>108888.055314966</v>
      </c>
      <c r="V13" s="87">
        <v>107322.84960977701</v>
      </c>
      <c r="W13" s="84"/>
      <c r="X13" s="562"/>
      <c r="Y13" s="562"/>
      <c r="Z13" s="562"/>
      <c r="AA13" s="562"/>
    </row>
    <row r="14" spans="1:27" ht="15" customHeight="1">
      <c r="A14" s="77"/>
      <c r="B14" s="21" t="s">
        <v>28</v>
      </c>
      <c r="C14" s="202">
        <v>17683</v>
      </c>
      <c r="D14" s="202">
        <v>17603</v>
      </c>
      <c r="E14" s="87">
        <v>18003</v>
      </c>
      <c r="F14" s="87">
        <v>17748</v>
      </c>
      <c r="G14" s="87">
        <v>16439</v>
      </c>
      <c r="H14" s="87">
        <v>16921</v>
      </c>
      <c r="I14" s="87">
        <v>16803</v>
      </c>
      <c r="J14" s="87">
        <v>17356</v>
      </c>
      <c r="K14" s="87">
        <v>16635</v>
      </c>
      <c r="L14" s="87">
        <v>17456</v>
      </c>
      <c r="M14" s="473">
        <v>15271</v>
      </c>
      <c r="N14" s="473">
        <v>15749</v>
      </c>
      <c r="O14" s="473">
        <v>16107</v>
      </c>
      <c r="P14" s="473">
        <v>18170</v>
      </c>
      <c r="Q14" s="473">
        <v>18180.57</v>
      </c>
      <c r="R14" s="473">
        <v>18261.060000000001</v>
      </c>
      <c r="S14" s="473">
        <v>20090.650000000001</v>
      </c>
      <c r="T14" s="473">
        <v>21212.59</v>
      </c>
      <c r="U14" s="473">
        <v>22250.639545390557</v>
      </c>
      <c r="V14" s="473">
        <v>23049.489518924114</v>
      </c>
      <c r="W14" s="84"/>
      <c r="X14" s="562"/>
      <c r="Y14" s="562"/>
      <c r="Z14" s="562"/>
      <c r="AA14" s="562"/>
    </row>
    <row r="15" spans="1:27" ht="15" customHeight="1">
      <c r="A15" s="77"/>
      <c r="B15" s="21" t="s">
        <v>29</v>
      </c>
      <c r="C15" s="202">
        <v>222553</v>
      </c>
      <c r="D15" s="202">
        <v>238193</v>
      </c>
      <c r="E15" s="87">
        <v>245491</v>
      </c>
      <c r="F15" s="87">
        <v>272994</v>
      </c>
      <c r="G15" s="87">
        <v>286719</v>
      </c>
      <c r="H15" s="87">
        <v>306876</v>
      </c>
      <c r="I15" s="87">
        <v>322678</v>
      </c>
      <c r="J15" s="87">
        <v>318263</v>
      </c>
      <c r="K15" s="87">
        <v>329311</v>
      </c>
      <c r="L15" s="87">
        <v>335970</v>
      </c>
      <c r="M15" s="473">
        <v>342846</v>
      </c>
      <c r="N15" s="473">
        <v>348518</v>
      </c>
      <c r="O15" s="473">
        <v>354148</v>
      </c>
      <c r="P15" s="473">
        <v>362066</v>
      </c>
      <c r="Q15" s="473">
        <v>352867.93</v>
      </c>
      <c r="R15" s="473">
        <v>362239.61</v>
      </c>
      <c r="S15" s="473">
        <v>364677.18</v>
      </c>
      <c r="T15" s="473">
        <v>365855.4</v>
      </c>
      <c r="U15" s="473">
        <v>354212.14084524999</v>
      </c>
      <c r="V15" s="473">
        <v>376115.01201400103</v>
      </c>
      <c r="W15" s="84"/>
      <c r="X15" s="562"/>
      <c r="Y15" s="562"/>
      <c r="Z15" s="562"/>
      <c r="AA15" s="562"/>
    </row>
    <row r="16" spans="1:27" ht="15" customHeight="1">
      <c r="A16" s="77"/>
      <c r="B16" s="21" t="s">
        <v>30</v>
      </c>
      <c r="C16" s="202">
        <v>17112</v>
      </c>
      <c r="D16" s="202">
        <v>18626</v>
      </c>
      <c r="E16" s="87">
        <v>20790</v>
      </c>
      <c r="F16" s="87">
        <v>23872</v>
      </c>
      <c r="G16" s="87">
        <v>27723</v>
      </c>
      <c r="H16" s="87">
        <v>30278</v>
      </c>
      <c r="I16" s="87">
        <v>32109</v>
      </c>
      <c r="J16" s="87">
        <v>35909</v>
      </c>
      <c r="K16" s="87">
        <v>43361</v>
      </c>
      <c r="L16" s="87">
        <v>48046</v>
      </c>
      <c r="M16" s="87">
        <v>51005</v>
      </c>
      <c r="N16" s="87">
        <v>57139</v>
      </c>
      <c r="O16" s="87">
        <v>64979</v>
      </c>
      <c r="P16" s="87">
        <v>66143</v>
      </c>
      <c r="Q16" s="87">
        <v>68271.03</v>
      </c>
      <c r="R16" s="87">
        <v>78920.45</v>
      </c>
      <c r="S16" s="87">
        <v>85602.64</v>
      </c>
      <c r="T16" s="87">
        <v>89716.36</v>
      </c>
      <c r="U16" s="87">
        <v>101493.66352355102</v>
      </c>
      <c r="V16" s="87">
        <v>100473.37413791403</v>
      </c>
      <c r="W16" s="84"/>
      <c r="X16" s="562"/>
      <c r="Y16" s="562"/>
      <c r="Z16" s="562"/>
      <c r="AA16" s="562"/>
    </row>
    <row r="17" spans="1:27" ht="15" customHeight="1">
      <c r="A17" s="77"/>
      <c r="B17" s="21" t="s">
        <v>31</v>
      </c>
      <c r="C17" s="202">
        <v>21338</v>
      </c>
      <c r="D17" s="202">
        <v>25715</v>
      </c>
      <c r="E17" s="87">
        <v>30707</v>
      </c>
      <c r="F17" s="87">
        <v>35193</v>
      </c>
      <c r="G17" s="87">
        <v>35814</v>
      </c>
      <c r="H17" s="87">
        <v>39413</v>
      </c>
      <c r="I17" s="87">
        <v>40474</v>
      </c>
      <c r="J17" s="87">
        <v>44517</v>
      </c>
      <c r="K17" s="87">
        <v>39187</v>
      </c>
      <c r="L17" s="87">
        <v>38576</v>
      </c>
      <c r="M17" s="473">
        <v>42249</v>
      </c>
      <c r="N17" s="473">
        <v>44955</v>
      </c>
      <c r="O17" s="473">
        <v>48243</v>
      </c>
      <c r="P17" s="473">
        <v>49492</v>
      </c>
      <c r="Q17" s="473">
        <v>54681.51</v>
      </c>
      <c r="R17" s="473">
        <v>58774.76</v>
      </c>
      <c r="S17" s="473">
        <v>60173.61</v>
      </c>
      <c r="T17" s="473">
        <v>61400.32</v>
      </c>
      <c r="U17" s="473">
        <v>63529.605474580363</v>
      </c>
      <c r="V17" s="473">
        <v>63560.028309570007</v>
      </c>
      <c r="W17" s="84"/>
      <c r="X17" s="562"/>
      <c r="Y17" s="562"/>
      <c r="Z17" s="562"/>
      <c r="AA17" s="562"/>
    </row>
    <row r="18" spans="1:27" ht="15" customHeight="1">
      <c r="A18" s="77"/>
      <c r="B18" s="21" t="s">
        <v>32</v>
      </c>
      <c r="C18" s="202">
        <v>18055</v>
      </c>
      <c r="D18" s="202">
        <v>18298</v>
      </c>
      <c r="E18" s="87">
        <v>18532</v>
      </c>
      <c r="F18" s="87">
        <v>18672</v>
      </c>
      <c r="G18" s="87">
        <v>18021</v>
      </c>
      <c r="H18" s="87">
        <v>18178</v>
      </c>
      <c r="I18" s="87">
        <v>18249</v>
      </c>
      <c r="J18" s="87">
        <v>25461</v>
      </c>
      <c r="K18" s="87">
        <v>24602</v>
      </c>
      <c r="L18" s="87">
        <v>24127</v>
      </c>
      <c r="M18" s="473">
        <v>26339</v>
      </c>
      <c r="N18" s="473">
        <v>25296</v>
      </c>
      <c r="O18" s="473">
        <v>32145</v>
      </c>
      <c r="P18" s="473">
        <v>31232</v>
      </c>
      <c r="Q18" s="473">
        <v>34999.07</v>
      </c>
      <c r="R18" s="473">
        <v>38241.54</v>
      </c>
      <c r="S18" s="473">
        <v>38819.699999999997</v>
      </c>
      <c r="T18" s="473">
        <v>39030.910000000003</v>
      </c>
      <c r="U18" s="473">
        <v>38856.149197434337</v>
      </c>
      <c r="V18" s="473">
        <v>40334.379826465309</v>
      </c>
      <c r="W18" s="84"/>
      <c r="X18" s="562"/>
      <c r="Y18" s="562"/>
      <c r="Z18" s="562"/>
      <c r="AA18" s="562"/>
    </row>
    <row r="19" spans="1:27" ht="15" customHeight="1">
      <c r="A19" s="77"/>
      <c r="B19" s="21" t="s">
        <v>33</v>
      </c>
      <c r="C19" s="202">
        <v>18612</v>
      </c>
      <c r="D19" s="202">
        <v>19206</v>
      </c>
      <c r="E19" s="87">
        <v>20850</v>
      </c>
      <c r="F19" s="87">
        <v>23613</v>
      </c>
      <c r="G19" s="87">
        <v>27223</v>
      </c>
      <c r="H19" s="87">
        <v>31111</v>
      </c>
      <c r="I19" s="87">
        <v>39435</v>
      </c>
      <c r="J19" s="87">
        <v>42385</v>
      </c>
      <c r="K19" s="87">
        <v>46276</v>
      </c>
      <c r="L19" s="87">
        <v>46710</v>
      </c>
      <c r="M19" s="473">
        <v>47870</v>
      </c>
      <c r="N19" s="473">
        <v>51250</v>
      </c>
      <c r="O19" s="473">
        <v>52094</v>
      </c>
      <c r="P19" s="473">
        <v>53135</v>
      </c>
      <c r="Q19" s="473">
        <v>57189.62</v>
      </c>
      <c r="R19" s="473">
        <v>58617.82</v>
      </c>
      <c r="S19" s="473">
        <v>59726.239999999998</v>
      </c>
      <c r="T19" s="473">
        <v>60562.35</v>
      </c>
      <c r="U19" s="473">
        <v>61123.460588100002</v>
      </c>
      <c r="V19" s="473">
        <v>62699.645392200007</v>
      </c>
      <c r="W19" s="84"/>
      <c r="X19" s="562"/>
      <c r="Y19" s="562"/>
      <c r="Z19" s="562"/>
      <c r="AA19" s="562"/>
    </row>
    <row r="20" spans="1:27" ht="15" customHeight="1">
      <c r="A20" s="77"/>
      <c r="B20" s="21" t="s">
        <v>34</v>
      </c>
      <c r="C20" s="202">
        <v>13276</v>
      </c>
      <c r="D20" s="202">
        <v>14808</v>
      </c>
      <c r="E20" s="87">
        <v>15820</v>
      </c>
      <c r="F20" s="87">
        <v>16073</v>
      </c>
      <c r="G20" s="87">
        <v>15876</v>
      </c>
      <c r="H20" s="87">
        <v>17193</v>
      </c>
      <c r="I20" s="87">
        <v>20183</v>
      </c>
      <c r="J20" s="87">
        <v>24180</v>
      </c>
      <c r="K20" s="87">
        <v>22443</v>
      </c>
      <c r="L20" s="87">
        <v>22555</v>
      </c>
      <c r="M20" s="473">
        <v>24890</v>
      </c>
      <c r="N20" s="473">
        <v>20916</v>
      </c>
      <c r="O20" s="473">
        <v>21810</v>
      </c>
      <c r="P20" s="473">
        <v>23675</v>
      </c>
      <c r="Q20" s="473">
        <v>23253.8</v>
      </c>
      <c r="R20" s="473">
        <v>22796.79</v>
      </c>
      <c r="S20" s="473">
        <v>22553.27</v>
      </c>
      <c r="T20" s="473">
        <v>22146.83</v>
      </c>
      <c r="U20" s="473">
        <v>21782.803799999998</v>
      </c>
      <c r="V20" s="473">
        <v>21368.798900000005</v>
      </c>
      <c r="W20" s="84"/>
      <c r="X20" s="562"/>
      <c r="Y20" s="562"/>
      <c r="Z20" s="562"/>
      <c r="AA20" s="562"/>
    </row>
    <row r="21" spans="1:27" ht="15" customHeight="1">
      <c r="A21" s="77"/>
      <c r="B21" s="21" t="s">
        <v>35</v>
      </c>
      <c r="C21" s="202">
        <v>296833</v>
      </c>
      <c r="D21" s="202">
        <v>328025</v>
      </c>
      <c r="E21" s="87">
        <v>365749</v>
      </c>
      <c r="F21" s="87">
        <v>379884</v>
      </c>
      <c r="G21" s="87">
        <v>387317</v>
      </c>
      <c r="H21" s="87">
        <v>355013</v>
      </c>
      <c r="I21" s="87">
        <v>363668</v>
      </c>
      <c r="J21" s="87">
        <v>352406</v>
      </c>
      <c r="K21" s="87">
        <v>315380</v>
      </c>
      <c r="L21" s="87">
        <v>325253</v>
      </c>
      <c r="M21" s="473">
        <v>335534</v>
      </c>
      <c r="N21" s="473">
        <v>348889</v>
      </c>
      <c r="O21" s="473">
        <v>353749</v>
      </c>
      <c r="P21" s="473">
        <v>363930</v>
      </c>
      <c r="Q21" s="473">
        <v>357459.78</v>
      </c>
      <c r="R21" s="473">
        <v>358534.99</v>
      </c>
      <c r="S21" s="473">
        <v>358697.14</v>
      </c>
      <c r="T21" s="473">
        <v>355571.02</v>
      </c>
      <c r="U21" s="473">
        <v>335873.73530000006</v>
      </c>
      <c r="V21" s="473">
        <v>332029.90457280003</v>
      </c>
      <c r="W21" s="84"/>
      <c r="X21" s="562"/>
      <c r="Y21" s="562"/>
      <c r="Z21" s="562"/>
      <c r="AA21" s="562"/>
    </row>
    <row r="22" spans="1:27" ht="15" customHeight="1">
      <c r="A22" s="77"/>
      <c r="B22" s="21" t="s">
        <v>36</v>
      </c>
      <c r="C22" s="202">
        <v>16361</v>
      </c>
      <c r="D22" s="202">
        <v>16034</v>
      </c>
      <c r="E22" s="87">
        <v>15270</v>
      </c>
      <c r="F22" s="87">
        <v>15342</v>
      </c>
      <c r="G22" s="87">
        <v>15123</v>
      </c>
      <c r="H22" s="87">
        <v>15262</v>
      </c>
      <c r="I22" s="87">
        <v>15212</v>
      </c>
      <c r="J22" s="87">
        <v>14737</v>
      </c>
      <c r="K22" s="87">
        <v>17539</v>
      </c>
      <c r="L22" s="87">
        <v>16273</v>
      </c>
      <c r="M22" s="473">
        <v>15891</v>
      </c>
      <c r="N22" s="473">
        <v>16222</v>
      </c>
      <c r="O22" s="473">
        <v>16648</v>
      </c>
      <c r="P22" s="473">
        <v>16966</v>
      </c>
      <c r="Q22" s="473">
        <v>17576.2</v>
      </c>
      <c r="R22" s="473">
        <v>17617.13</v>
      </c>
      <c r="S22" s="473">
        <v>17974.919999999998</v>
      </c>
      <c r="T22" s="473">
        <v>17948.09</v>
      </c>
      <c r="U22" s="473">
        <v>17867.512536095193</v>
      </c>
      <c r="V22" s="473">
        <v>18005.487006039926</v>
      </c>
      <c r="W22" s="84"/>
      <c r="X22" s="562"/>
      <c r="Y22" s="562"/>
      <c r="Z22" s="562"/>
      <c r="AA22" s="562"/>
    </row>
    <row r="23" spans="1:27" ht="15" customHeight="1">
      <c r="A23" s="77"/>
      <c r="B23" s="21" t="s">
        <v>37</v>
      </c>
      <c r="C23" s="202">
        <v>21868</v>
      </c>
      <c r="D23" s="202">
        <v>22100</v>
      </c>
      <c r="E23" s="87">
        <v>22863</v>
      </c>
      <c r="F23" s="87">
        <v>23223</v>
      </c>
      <c r="G23" s="87">
        <v>25982</v>
      </c>
      <c r="H23" s="87">
        <v>26224</v>
      </c>
      <c r="I23" s="87">
        <v>26356</v>
      </c>
      <c r="J23" s="87">
        <v>24983</v>
      </c>
      <c r="K23" s="87">
        <v>25138</v>
      </c>
      <c r="L23" s="87">
        <v>25042</v>
      </c>
      <c r="M23" s="473">
        <v>23487</v>
      </c>
      <c r="N23" s="473">
        <v>23610</v>
      </c>
      <c r="O23" s="473">
        <v>23406</v>
      </c>
      <c r="P23" s="473">
        <v>23452</v>
      </c>
      <c r="Q23" s="473">
        <v>24451.25</v>
      </c>
      <c r="R23" s="473">
        <v>24487</v>
      </c>
      <c r="S23" s="473">
        <v>23998.15</v>
      </c>
      <c r="T23" s="473">
        <v>23486.48</v>
      </c>
      <c r="U23" s="473">
        <v>23228.665107430003</v>
      </c>
      <c r="V23" s="473">
        <v>23549.507500000003</v>
      </c>
      <c r="W23" s="84"/>
      <c r="X23" s="562"/>
      <c r="Y23" s="562"/>
      <c r="Z23" s="562"/>
      <c r="AA23" s="562"/>
    </row>
    <row r="24" spans="1:27" ht="15" customHeight="1">
      <c r="A24" s="77"/>
      <c r="B24" s="21" t="s">
        <v>38</v>
      </c>
      <c r="C24" s="202">
        <v>22805</v>
      </c>
      <c r="D24" s="202">
        <v>22700</v>
      </c>
      <c r="E24" s="87">
        <v>24626</v>
      </c>
      <c r="F24" s="87">
        <v>33825</v>
      </c>
      <c r="G24" s="87">
        <v>40950</v>
      </c>
      <c r="H24" s="87">
        <v>43482</v>
      </c>
      <c r="I24" s="87">
        <v>50138</v>
      </c>
      <c r="J24" s="87">
        <v>51424</v>
      </c>
      <c r="K24" s="87">
        <v>50147</v>
      </c>
      <c r="L24" s="87">
        <v>51788</v>
      </c>
      <c r="M24" s="473">
        <v>47122</v>
      </c>
      <c r="N24" s="473">
        <v>45151</v>
      </c>
      <c r="O24" s="473">
        <v>57449</v>
      </c>
      <c r="P24" s="473">
        <v>56910</v>
      </c>
      <c r="Q24" s="473">
        <v>66387.47</v>
      </c>
      <c r="R24" s="473">
        <v>52260.54</v>
      </c>
      <c r="S24" s="473">
        <v>60206.26</v>
      </c>
      <c r="T24" s="473">
        <v>55772.63</v>
      </c>
      <c r="U24" s="473">
        <v>46115.372179999998</v>
      </c>
      <c r="V24" s="473">
        <v>45341.14910000001</v>
      </c>
      <c r="W24" s="84"/>
      <c r="X24" s="562"/>
      <c r="Y24" s="562"/>
      <c r="Z24" s="562"/>
      <c r="AA24" s="562"/>
    </row>
    <row r="25" spans="1:27" ht="15" customHeight="1">
      <c r="A25" s="77"/>
      <c r="B25" s="21" t="s">
        <v>39</v>
      </c>
      <c r="C25" s="202">
        <v>29143</v>
      </c>
      <c r="D25" s="202">
        <v>34380</v>
      </c>
      <c r="E25" s="87">
        <v>39401</v>
      </c>
      <c r="F25" s="87">
        <v>43526</v>
      </c>
      <c r="G25" s="87">
        <v>42248</v>
      </c>
      <c r="H25" s="87">
        <v>42392</v>
      </c>
      <c r="I25" s="87">
        <v>40770</v>
      </c>
      <c r="J25" s="87">
        <v>33104</v>
      </c>
      <c r="K25" s="87">
        <v>32122</v>
      </c>
      <c r="L25" s="87">
        <v>32593</v>
      </c>
      <c r="M25" s="473">
        <v>32659</v>
      </c>
      <c r="N25" s="473">
        <v>32365</v>
      </c>
      <c r="O25" s="473">
        <v>32468</v>
      </c>
      <c r="P25" s="473">
        <v>32982</v>
      </c>
      <c r="Q25" s="473">
        <v>33399.519999999997</v>
      </c>
      <c r="R25" s="473">
        <v>33475.56</v>
      </c>
      <c r="S25" s="473">
        <v>33244.080000000002</v>
      </c>
      <c r="T25" s="473">
        <v>33075.19</v>
      </c>
      <c r="U25" s="473">
        <v>32252.75258</v>
      </c>
      <c r="V25" s="473">
        <v>31713.832799999996</v>
      </c>
      <c r="W25" s="84"/>
      <c r="X25" s="562"/>
      <c r="Y25" s="562"/>
      <c r="Z25" s="562"/>
      <c r="AA25" s="562"/>
    </row>
    <row r="26" spans="1:27" ht="15" customHeight="1">
      <c r="A26" s="77"/>
      <c r="B26" s="21" t="s">
        <v>42</v>
      </c>
      <c r="C26" s="202">
        <v>30479</v>
      </c>
      <c r="D26" s="202">
        <v>35953</v>
      </c>
      <c r="E26" s="87">
        <v>41622</v>
      </c>
      <c r="F26" s="87">
        <v>47739</v>
      </c>
      <c r="G26" s="87">
        <v>50955</v>
      </c>
      <c r="H26" s="87">
        <v>68452</v>
      </c>
      <c r="I26" s="87">
        <v>65242</v>
      </c>
      <c r="J26" s="87">
        <v>77621</v>
      </c>
      <c r="K26" s="87">
        <v>93148</v>
      </c>
      <c r="L26" s="87">
        <v>95633</v>
      </c>
      <c r="M26" s="473">
        <v>104016</v>
      </c>
      <c r="N26" s="473">
        <v>102458</v>
      </c>
      <c r="O26" s="473">
        <v>102227</v>
      </c>
      <c r="P26" s="473">
        <v>106028</v>
      </c>
      <c r="Q26" s="473">
        <v>110781.09</v>
      </c>
      <c r="R26" s="473">
        <v>116111.23</v>
      </c>
      <c r="S26" s="473">
        <v>123961.34</v>
      </c>
      <c r="T26" s="473">
        <v>138765.9</v>
      </c>
      <c r="U26" s="473">
        <v>140381.99491590002</v>
      </c>
      <c r="V26" s="473">
        <v>136716.49099999998</v>
      </c>
      <c r="W26" s="84"/>
      <c r="X26" s="562"/>
      <c r="Y26" s="562"/>
      <c r="Z26" s="562"/>
      <c r="AA26" s="562"/>
    </row>
    <row r="27" spans="1:27" ht="15" customHeight="1">
      <c r="A27" s="77"/>
      <c r="B27" s="21" t="s">
        <v>43</v>
      </c>
      <c r="C27" s="202">
        <v>49453</v>
      </c>
      <c r="D27" s="202">
        <v>62011</v>
      </c>
      <c r="E27" s="87">
        <v>66065</v>
      </c>
      <c r="F27" s="87">
        <v>67951</v>
      </c>
      <c r="G27" s="87">
        <v>71047</v>
      </c>
      <c r="H27" s="87">
        <v>76907</v>
      </c>
      <c r="I27" s="87">
        <v>79038</v>
      </c>
      <c r="J27" s="87">
        <v>85832</v>
      </c>
      <c r="K27" s="87">
        <v>91287</v>
      </c>
      <c r="L27" s="87">
        <v>95416</v>
      </c>
      <c r="M27" s="473">
        <v>106953</v>
      </c>
      <c r="N27" s="473">
        <v>110465</v>
      </c>
      <c r="O27" s="473">
        <v>114671</v>
      </c>
      <c r="P27" s="473">
        <v>119855</v>
      </c>
      <c r="Q27" s="473">
        <v>127009.36</v>
      </c>
      <c r="R27" s="473">
        <v>131755.9</v>
      </c>
      <c r="S27" s="473">
        <v>137327.15</v>
      </c>
      <c r="T27" s="473">
        <v>141475.76</v>
      </c>
      <c r="U27" s="473">
        <v>136055.53350000002</v>
      </c>
      <c r="V27" s="473">
        <v>144317.2885</v>
      </c>
      <c r="W27" s="84"/>
      <c r="X27" s="562"/>
      <c r="Y27" s="562"/>
      <c r="Z27" s="562"/>
      <c r="AA27" s="562"/>
    </row>
    <row r="28" spans="1:27" ht="15" customHeight="1">
      <c r="A28" s="77"/>
      <c r="B28" s="76" t="s">
        <v>44</v>
      </c>
      <c r="C28" s="202">
        <v>12182</v>
      </c>
      <c r="D28" s="202">
        <v>13426</v>
      </c>
      <c r="E28" s="87">
        <v>15501</v>
      </c>
      <c r="F28" s="87">
        <v>23080</v>
      </c>
      <c r="G28" s="87">
        <v>27399</v>
      </c>
      <c r="H28" s="87">
        <v>29321</v>
      </c>
      <c r="I28" s="87">
        <v>32955</v>
      </c>
      <c r="J28" s="87">
        <v>32037</v>
      </c>
      <c r="K28" s="87">
        <v>31344</v>
      </c>
      <c r="L28" s="87">
        <v>31341</v>
      </c>
      <c r="M28" s="473">
        <v>31038</v>
      </c>
      <c r="N28" s="473">
        <v>32811</v>
      </c>
      <c r="O28" s="473">
        <v>33764</v>
      </c>
      <c r="P28" s="473">
        <v>34990</v>
      </c>
      <c r="Q28" s="473">
        <v>33766.160000000003</v>
      </c>
      <c r="R28" s="473">
        <v>32696.63</v>
      </c>
      <c r="S28" s="473">
        <v>34182.730000000003</v>
      </c>
      <c r="T28" s="473">
        <v>34010.67</v>
      </c>
      <c r="U28" s="473">
        <v>34447.25567450087</v>
      </c>
      <c r="V28" s="473">
        <v>34002.146437787851</v>
      </c>
      <c r="W28" s="84"/>
      <c r="X28" s="562"/>
      <c r="Y28" s="562"/>
      <c r="Z28" s="562"/>
      <c r="AA28" s="562"/>
    </row>
    <row r="29" spans="1:27" ht="15" customHeight="1">
      <c r="A29" s="77"/>
      <c r="B29" s="21" t="s">
        <v>45</v>
      </c>
      <c r="C29" s="202">
        <v>1246</v>
      </c>
      <c r="D29" s="202">
        <v>1439</v>
      </c>
      <c r="E29" s="87">
        <v>1842</v>
      </c>
      <c r="F29" s="87">
        <v>2198</v>
      </c>
      <c r="G29" s="87">
        <v>2414</v>
      </c>
      <c r="H29" s="87">
        <v>2527</v>
      </c>
      <c r="I29" s="87">
        <v>3181</v>
      </c>
      <c r="J29" s="87">
        <v>2767</v>
      </c>
      <c r="K29" s="87">
        <v>2533</v>
      </c>
      <c r="L29" s="87">
        <v>2437</v>
      </c>
      <c r="M29" s="473">
        <v>2280</v>
      </c>
      <c r="N29" s="473">
        <v>2144</v>
      </c>
      <c r="O29" s="473">
        <v>2198</v>
      </c>
      <c r="P29" s="473">
        <v>2018</v>
      </c>
      <c r="Q29" s="473">
        <v>1765.56</v>
      </c>
      <c r="R29" s="473">
        <v>1612.26</v>
      </c>
      <c r="S29" s="473">
        <v>1482.1</v>
      </c>
      <c r="T29" s="473">
        <v>1420.51</v>
      </c>
      <c r="U29" s="473">
        <v>1378.3331538000002</v>
      </c>
      <c r="V29" s="473">
        <v>1314.6712127999999</v>
      </c>
      <c r="W29" s="84"/>
      <c r="X29" s="562"/>
      <c r="Y29" s="562"/>
      <c r="Z29" s="562"/>
      <c r="AA29" s="562"/>
    </row>
    <row r="30" spans="1:27" ht="15" customHeight="1">
      <c r="A30" s="77"/>
      <c r="B30" s="21" t="s">
        <v>46</v>
      </c>
      <c r="C30" s="202">
        <v>3153</v>
      </c>
      <c r="D30" s="202">
        <v>3693</v>
      </c>
      <c r="E30" s="87">
        <v>4024</v>
      </c>
      <c r="F30" s="87">
        <v>4600</v>
      </c>
      <c r="G30" s="87">
        <v>4806</v>
      </c>
      <c r="H30" s="87">
        <v>4986</v>
      </c>
      <c r="I30" s="87">
        <v>5081</v>
      </c>
      <c r="J30" s="87">
        <v>4921</v>
      </c>
      <c r="K30" s="87">
        <v>4908</v>
      </c>
      <c r="L30" s="87">
        <v>4910</v>
      </c>
      <c r="M30" s="473">
        <v>5119</v>
      </c>
      <c r="N30" s="473">
        <v>7340</v>
      </c>
      <c r="O30" s="473">
        <v>6399</v>
      </c>
      <c r="P30" s="473">
        <v>5835</v>
      </c>
      <c r="Q30" s="473">
        <v>5596.29</v>
      </c>
      <c r="R30" s="473">
        <v>5165.59</v>
      </c>
      <c r="S30" s="473">
        <v>4415.38</v>
      </c>
      <c r="T30" s="473">
        <v>4027.66</v>
      </c>
      <c r="U30" s="473">
        <v>3784.5998771200002</v>
      </c>
      <c r="V30" s="473">
        <v>3633.66514663</v>
      </c>
      <c r="W30" s="84"/>
      <c r="X30" s="562"/>
      <c r="Y30" s="562"/>
      <c r="Z30" s="562"/>
      <c r="AA30" s="562"/>
    </row>
    <row r="31" spans="1:27" ht="15" customHeight="1" thickBot="1">
      <c r="A31" s="82"/>
      <c r="B31" s="434" t="s">
        <v>47</v>
      </c>
      <c r="C31" s="438">
        <v>2191</v>
      </c>
      <c r="D31" s="438">
        <v>2421</v>
      </c>
      <c r="E31" s="474">
        <v>2828</v>
      </c>
      <c r="F31" s="474">
        <v>3080</v>
      </c>
      <c r="G31" s="474">
        <v>3054</v>
      </c>
      <c r="H31" s="474">
        <v>3063</v>
      </c>
      <c r="I31" s="474">
        <v>3726</v>
      </c>
      <c r="J31" s="474">
        <v>4214</v>
      </c>
      <c r="K31" s="474">
        <v>4839</v>
      </c>
      <c r="L31" s="474">
        <v>4210</v>
      </c>
      <c r="M31" s="475">
        <v>3653</v>
      </c>
      <c r="N31" s="475">
        <v>1808</v>
      </c>
      <c r="O31" s="475">
        <v>1522</v>
      </c>
      <c r="P31" s="475">
        <v>1526</v>
      </c>
      <c r="Q31" s="475">
        <v>1687.47</v>
      </c>
      <c r="R31" s="475">
        <v>1465.87</v>
      </c>
      <c r="S31" s="475">
        <v>1369.54</v>
      </c>
      <c r="T31" s="475">
        <v>1221.8499999999999</v>
      </c>
      <c r="U31" s="475">
        <v>1342.465725132</v>
      </c>
      <c r="V31" s="475">
        <v>1355.9465618009999</v>
      </c>
      <c r="W31" s="84"/>
      <c r="X31" s="562"/>
      <c r="Y31" s="562"/>
      <c r="Z31" s="562"/>
      <c r="AA31" s="562"/>
    </row>
    <row r="32" spans="1:27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  <c r="R35" s="61"/>
      <c r="S35" s="61"/>
      <c r="T35" s="61"/>
      <c r="U35" s="6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  <c r="R36" s="62"/>
      <c r="S36" s="62"/>
      <c r="T36" s="62"/>
      <c r="U36" s="62"/>
    </row>
    <row r="37" spans="1:22" ht="13.25" customHeight="1">
      <c r="R37" s="61"/>
      <c r="S37" s="61"/>
      <c r="T37" s="61"/>
      <c r="U37" s="61"/>
    </row>
    <row r="38" spans="1:22" ht="13.25" customHeight="1">
      <c r="R38" s="61"/>
      <c r="S38" s="61"/>
      <c r="T38" s="61"/>
      <c r="U38" s="61"/>
    </row>
    <row r="39" spans="1:22" ht="13.25" customHeight="1">
      <c r="R39" s="58"/>
      <c r="S39" s="58"/>
      <c r="T39" s="58"/>
      <c r="U39" s="58"/>
    </row>
    <row r="40" spans="1:22" ht="13.25" customHeight="1">
      <c r="R40" s="61"/>
      <c r="S40" s="61"/>
      <c r="T40" s="61"/>
      <c r="U40" s="61"/>
    </row>
    <row r="41" spans="1:22" ht="13.25" customHeight="1">
      <c r="R41" s="61"/>
      <c r="S41" s="61"/>
      <c r="T41" s="61"/>
      <c r="U41" s="61"/>
    </row>
    <row r="42" spans="1:22" ht="13.25" customHeight="1">
      <c r="R42" s="61"/>
      <c r="S42" s="61"/>
      <c r="T42" s="61"/>
      <c r="U42" s="61"/>
    </row>
    <row r="43" spans="1:22" ht="13.25" customHeight="1">
      <c r="R43" s="61"/>
      <c r="S43" s="61"/>
      <c r="T43" s="61"/>
      <c r="U43" s="61"/>
    </row>
    <row r="44" spans="1:22" ht="13.25" customHeight="1">
      <c r="R44" s="61"/>
      <c r="S44" s="61"/>
      <c r="T44" s="61"/>
      <c r="U44" s="61"/>
    </row>
    <row r="45" spans="1:22" ht="13.25" customHeight="1">
      <c r="R45" s="61"/>
      <c r="S45" s="61"/>
      <c r="T45" s="61"/>
      <c r="U45" s="61"/>
    </row>
    <row r="46" spans="1:22" ht="13.25" customHeight="1">
      <c r="R46" s="61"/>
      <c r="S46" s="61"/>
      <c r="T46" s="61"/>
      <c r="U46" s="61"/>
    </row>
    <row r="47" spans="1:22" ht="13.25" customHeight="1">
      <c r="R47" s="61"/>
      <c r="S47" s="61"/>
      <c r="T47" s="61"/>
      <c r="U47" s="61"/>
    </row>
    <row r="48" spans="1:22" ht="13.25" customHeight="1">
      <c r="R48" s="61"/>
      <c r="S48" s="61"/>
      <c r="T48" s="61"/>
      <c r="U48" s="61"/>
    </row>
    <row r="49" spans="18:21" ht="13.25" customHeight="1">
      <c r="R49" s="61"/>
      <c r="S49" s="61"/>
      <c r="T49" s="61"/>
      <c r="U49" s="61"/>
    </row>
    <row r="50" spans="18:21" ht="13.25" customHeight="1">
      <c r="R50" s="61"/>
      <c r="S50" s="61"/>
      <c r="T50" s="61"/>
      <c r="U50" s="61"/>
    </row>
    <row r="51" spans="18:21" ht="13.25" customHeight="1">
      <c r="R51" s="61"/>
      <c r="S51" s="61"/>
      <c r="T51" s="61"/>
      <c r="U51" s="61"/>
    </row>
    <row r="52" spans="18:21" ht="13.25" customHeight="1">
      <c r="R52" s="58"/>
      <c r="S52" s="58"/>
      <c r="T52" s="58"/>
      <c r="U52" s="58"/>
    </row>
    <row r="53" spans="18:21" ht="13.25" customHeight="1">
      <c r="R53" s="61"/>
      <c r="S53" s="61"/>
      <c r="T53" s="61"/>
      <c r="U53" s="61"/>
    </row>
    <row r="54" spans="18:21" ht="13.25" customHeight="1">
      <c r="R54" s="61"/>
      <c r="S54" s="61"/>
      <c r="T54" s="61"/>
      <c r="U54" s="61"/>
    </row>
    <row r="55" spans="18:21" ht="13.25" customHeight="1">
      <c r="R55" s="61"/>
      <c r="S55" s="61"/>
      <c r="T55" s="61"/>
      <c r="U55" s="61"/>
    </row>
    <row r="56" spans="18:21" ht="13.25" customHeight="1">
      <c r="R56" s="61"/>
      <c r="S56" s="61"/>
      <c r="T56" s="61"/>
      <c r="U56" s="61"/>
    </row>
    <row r="57" spans="18:21" ht="13.25" customHeight="1">
      <c r="R57" s="61"/>
      <c r="S57" s="61"/>
      <c r="T57" s="61"/>
      <c r="U57" s="61"/>
    </row>
    <row r="58" spans="18:21" ht="13.25" customHeight="1" thickBot="1">
      <c r="R58" s="64"/>
      <c r="S58" s="61"/>
      <c r="T58" s="61"/>
      <c r="U58" s="61"/>
    </row>
    <row r="59" spans="18:21" ht="13.25" customHeight="1">
      <c r="R59" s="11"/>
      <c r="S59" s="11"/>
      <c r="T59" s="11"/>
      <c r="U59" s="11"/>
    </row>
    <row r="60" spans="18:21" ht="13.25" customHeight="1">
      <c r="R60" s="11"/>
      <c r="S60" s="11"/>
      <c r="T60" s="11"/>
      <c r="U60" s="11"/>
    </row>
    <row r="61" spans="18:21" ht="13.25" customHeight="1">
      <c r="R61" s="65"/>
      <c r="S61" s="65"/>
      <c r="T61" s="65"/>
      <c r="U61" s="65"/>
    </row>
    <row r="62" spans="18:21" ht="13.25" customHeight="1">
      <c r="R62" s="58"/>
      <c r="S62" s="58"/>
      <c r="T62" s="58"/>
      <c r="U62" s="5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1">
    <tabColor theme="9" tint="0.59999389629810485"/>
  </sheetPr>
  <dimension ref="A2:AA36"/>
  <sheetViews>
    <sheetView showGridLines="0" zoomScaleNormal="100" workbookViewId="0">
      <selection activeCell="H18" sqref="H18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7" style="76" customWidth="1"/>
    <col min="24" max="16384" width="7" style="76"/>
  </cols>
  <sheetData>
    <row r="2" spans="1:27" ht="15.75" customHeight="1">
      <c r="A2" s="210" t="s">
        <v>488</v>
      </c>
      <c r="B2" s="211"/>
    </row>
    <row r="3" spans="1:27" ht="13.25" customHeight="1">
      <c r="A3" s="212" t="s">
        <v>342</v>
      </c>
      <c r="B3" s="212"/>
      <c r="O3" s="153"/>
      <c r="P3" s="153"/>
      <c r="Q3" s="153"/>
    </row>
    <row r="4" spans="1:27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</row>
    <row r="5" spans="1:27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  <c r="W5" s="154"/>
    </row>
    <row r="6" spans="1:27" ht="18" customHeight="1">
      <c r="A6" s="1020" t="s">
        <v>100</v>
      </c>
      <c r="B6" s="1020"/>
      <c r="C6" s="631">
        <v>0.84</v>
      </c>
      <c r="D6" s="631">
        <v>0.84</v>
      </c>
      <c r="E6" s="631">
        <v>0.83</v>
      </c>
      <c r="F6" s="631">
        <v>0.89</v>
      </c>
      <c r="G6" s="631">
        <v>0.94</v>
      </c>
      <c r="H6" s="631">
        <v>0.95</v>
      </c>
      <c r="I6" s="631">
        <v>0.98</v>
      </c>
      <c r="J6" s="631">
        <v>1.04</v>
      </c>
      <c r="K6" s="631">
        <v>1.1000000000000001</v>
      </c>
      <c r="L6" s="631">
        <v>1.1499999999999999</v>
      </c>
      <c r="M6" s="631">
        <v>1.18</v>
      </c>
      <c r="N6" s="631">
        <v>1.2</v>
      </c>
      <c r="O6" s="631">
        <v>1.24</v>
      </c>
      <c r="P6" s="631">
        <v>1.27</v>
      </c>
      <c r="Q6" s="631">
        <v>1.3</v>
      </c>
      <c r="R6" s="631">
        <v>1.33</v>
      </c>
      <c r="S6" s="631">
        <v>1.4</v>
      </c>
      <c r="T6" s="631">
        <v>1.45</v>
      </c>
      <c r="U6" s="631">
        <v>1.5049791005795043</v>
      </c>
      <c r="V6" s="631">
        <v>1.5387871674935578</v>
      </c>
    </row>
    <row r="7" spans="1:27" ht="3" customHeight="1">
      <c r="A7" s="77"/>
      <c r="B7" s="78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</row>
    <row r="8" spans="1:27" ht="15" customHeight="1">
      <c r="A8" s="77"/>
      <c r="B8" s="21" t="s">
        <v>19</v>
      </c>
      <c r="C8" s="218">
        <v>1.41</v>
      </c>
      <c r="D8" s="218">
        <v>1.46</v>
      </c>
      <c r="E8" s="218">
        <v>1.56</v>
      </c>
      <c r="F8" s="218">
        <v>1.54</v>
      </c>
      <c r="G8" s="218">
        <v>1.53</v>
      </c>
      <c r="H8" s="218">
        <v>1.26</v>
      </c>
      <c r="I8" s="218">
        <v>1.25</v>
      </c>
      <c r="J8" s="218">
        <v>1.3</v>
      </c>
      <c r="K8" s="218">
        <v>1.61</v>
      </c>
      <c r="L8" s="218">
        <v>1.77</v>
      </c>
      <c r="M8" s="218">
        <v>1.87</v>
      </c>
      <c r="N8" s="218">
        <v>1.88</v>
      </c>
      <c r="O8" s="218">
        <v>1.75</v>
      </c>
      <c r="P8" s="218">
        <v>1.84</v>
      </c>
      <c r="Q8" s="218">
        <v>1.94</v>
      </c>
      <c r="R8" s="218">
        <v>1.94</v>
      </c>
      <c r="S8" s="218">
        <v>2</v>
      </c>
      <c r="T8" s="218">
        <v>2.04</v>
      </c>
      <c r="U8" s="218">
        <v>2.0946746683832651</v>
      </c>
      <c r="V8" s="218">
        <v>2.1308484931300526</v>
      </c>
      <c r="X8" s="152"/>
      <c r="Y8" s="152"/>
      <c r="Z8" s="152"/>
      <c r="AA8" s="152"/>
    </row>
    <row r="9" spans="1:27" ht="15" customHeight="1">
      <c r="A9" s="77"/>
      <c r="B9" s="21" t="s">
        <v>20</v>
      </c>
      <c r="C9" s="218">
        <v>1.03</v>
      </c>
      <c r="D9" s="218">
        <v>1.05</v>
      </c>
      <c r="E9" s="218">
        <v>1.03</v>
      </c>
      <c r="F9" s="218">
        <v>1.07</v>
      </c>
      <c r="G9" s="218">
        <v>1.18</v>
      </c>
      <c r="H9" s="218">
        <v>1.0900000000000001</v>
      </c>
      <c r="I9" s="218">
        <v>1.05</v>
      </c>
      <c r="J9" s="218">
        <v>1.27</v>
      </c>
      <c r="K9" s="218">
        <v>1.4</v>
      </c>
      <c r="L9" s="218">
        <v>1.46</v>
      </c>
      <c r="M9" s="218">
        <v>1.44</v>
      </c>
      <c r="N9" s="218">
        <v>1.54</v>
      </c>
      <c r="O9" s="218">
        <v>1.58</v>
      </c>
      <c r="P9" s="218">
        <v>1.64</v>
      </c>
      <c r="Q9" s="218">
        <v>1.74</v>
      </c>
      <c r="R9" s="218">
        <v>1.79</v>
      </c>
      <c r="S9" s="218">
        <v>1.8</v>
      </c>
      <c r="T9" s="218">
        <v>1.84</v>
      </c>
      <c r="U9" s="218">
        <v>1.8946048699507367</v>
      </c>
      <c r="V9" s="218">
        <v>1.9194638226959297</v>
      </c>
      <c r="X9" s="152"/>
      <c r="Y9" s="152"/>
      <c r="Z9" s="152"/>
    </row>
    <row r="10" spans="1:27" ht="15" customHeight="1">
      <c r="A10" s="77"/>
      <c r="B10" s="21" t="s">
        <v>21</v>
      </c>
      <c r="C10" s="218">
        <v>0.77</v>
      </c>
      <c r="D10" s="218">
        <v>0.7</v>
      </c>
      <c r="E10" s="218">
        <v>0.73</v>
      </c>
      <c r="F10" s="218">
        <v>0.9</v>
      </c>
      <c r="G10" s="218">
        <v>0.94</v>
      </c>
      <c r="H10" s="218">
        <v>0.94</v>
      </c>
      <c r="I10" s="218">
        <v>0.96</v>
      </c>
      <c r="J10" s="218">
        <v>1.01</v>
      </c>
      <c r="K10" s="218">
        <v>1.1599999999999999</v>
      </c>
      <c r="L10" s="218">
        <v>1.31</v>
      </c>
      <c r="M10" s="218">
        <v>1.19</v>
      </c>
      <c r="N10" s="218">
        <v>1.21</v>
      </c>
      <c r="O10" s="218">
        <v>1.19</v>
      </c>
      <c r="P10" s="218">
        <v>1.26</v>
      </c>
      <c r="Q10" s="218">
        <v>1.29</v>
      </c>
      <c r="R10" s="218">
        <v>1.3</v>
      </c>
      <c r="S10" s="218">
        <v>1.33</v>
      </c>
      <c r="T10" s="218">
        <v>1.39</v>
      </c>
      <c r="U10" s="218">
        <v>1.4452508543353044</v>
      </c>
      <c r="V10" s="218">
        <v>1.4768606809438587</v>
      </c>
      <c r="X10" s="152"/>
      <c r="Y10" s="152"/>
      <c r="Z10" s="152"/>
    </row>
    <row r="11" spans="1:27" ht="15" customHeight="1">
      <c r="A11" s="77"/>
      <c r="B11" s="21" t="s">
        <v>22</v>
      </c>
      <c r="C11" s="218">
        <v>0.88</v>
      </c>
      <c r="D11" s="218">
        <v>0.89</v>
      </c>
      <c r="E11" s="218">
        <v>0.82</v>
      </c>
      <c r="F11" s="218">
        <v>0.84</v>
      </c>
      <c r="G11" s="218">
        <v>0.83</v>
      </c>
      <c r="H11" s="218">
        <v>0.82</v>
      </c>
      <c r="I11" s="218">
        <v>0.84</v>
      </c>
      <c r="J11" s="218">
        <v>0.88</v>
      </c>
      <c r="K11" s="218">
        <v>1.1399999999999999</v>
      </c>
      <c r="L11" s="218">
        <v>1.1399999999999999</v>
      </c>
      <c r="M11" s="218">
        <v>1.1399999999999999</v>
      </c>
      <c r="N11" s="218">
        <v>1.1100000000000001</v>
      </c>
      <c r="O11" s="218">
        <v>1.1200000000000001</v>
      </c>
      <c r="P11" s="218">
        <v>1.1499999999999999</v>
      </c>
      <c r="Q11" s="218">
        <v>1.2</v>
      </c>
      <c r="R11" s="218">
        <v>1.38</v>
      </c>
      <c r="S11" s="218">
        <v>1.49</v>
      </c>
      <c r="T11" s="218">
        <v>1.54</v>
      </c>
      <c r="U11" s="218">
        <v>1.5282219410389351</v>
      </c>
      <c r="V11" s="218">
        <v>1.551336147326676</v>
      </c>
      <c r="X11" s="152"/>
      <c r="Y11" s="152"/>
      <c r="Z11" s="152"/>
    </row>
    <row r="12" spans="1:27" ht="15" customHeight="1">
      <c r="A12" s="77"/>
      <c r="B12" s="21" t="s">
        <v>23</v>
      </c>
      <c r="C12" s="218">
        <v>0.69</v>
      </c>
      <c r="D12" s="218">
        <v>0.71</v>
      </c>
      <c r="E12" s="218">
        <v>0.71</v>
      </c>
      <c r="F12" s="218">
        <v>0.74</v>
      </c>
      <c r="G12" s="218">
        <v>0.81</v>
      </c>
      <c r="H12" s="218">
        <v>0.79</v>
      </c>
      <c r="I12" s="218">
        <v>0.84</v>
      </c>
      <c r="J12" s="218">
        <v>0.87</v>
      </c>
      <c r="K12" s="218">
        <v>0.91</v>
      </c>
      <c r="L12" s="218">
        <v>0.97</v>
      </c>
      <c r="M12" s="218">
        <v>1.02</v>
      </c>
      <c r="N12" s="218">
        <v>1.08</v>
      </c>
      <c r="O12" s="218">
        <v>1.2</v>
      </c>
      <c r="P12" s="218">
        <v>1.21</v>
      </c>
      <c r="Q12" s="218">
        <v>1.23</v>
      </c>
      <c r="R12" s="218">
        <v>1.25</v>
      </c>
      <c r="S12" s="218">
        <v>1.3</v>
      </c>
      <c r="T12" s="218">
        <v>1.34</v>
      </c>
      <c r="U12" s="218">
        <v>1.380013478520149</v>
      </c>
      <c r="V12" s="218">
        <v>1.3992200167153177</v>
      </c>
      <c r="X12" s="152"/>
      <c r="Y12" s="152"/>
      <c r="Z12" s="152"/>
    </row>
    <row r="13" spans="1:27" ht="15" customHeight="1">
      <c r="A13" s="77"/>
      <c r="B13" s="21" t="s">
        <v>27</v>
      </c>
      <c r="C13" s="218">
        <v>0.92</v>
      </c>
      <c r="D13" s="218">
        <v>0.89</v>
      </c>
      <c r="E13" s="218">
        <v>0.86</v>
      </c>
      <c r="F13" s="218">
        <v>0.75</v>
      </c>
      <c r="G13" s="218">
        <v>0.8</v>
      </c>
      <c r="H13" s="218">
        <v>0.82</v>
      </c>
      <c r="I13" s="218">
        <v>0.99</v>
      </c>
      <c r="J13" s="218">
        <v>0.99</v>
      </c>
      <c r="K13" s="218">
        <v>1</v>
      </c>
      <c r="L13" s="218">
        <v>0.92</v>
      </c>
      <c r="M13" s="218">
        <v>0.97</v>
      </c>
      <c r="N13" s="218">
        <v>1.04</v>
      </c>
      <c r="O13" s="218">
        <v>1.1399999999999999</v>
      </c>
      <c r="P13" s="218">
        <v>1.19</v>
      </c>
      <c r="Q13" s="218">
        <v>1.29</v>
      </c>
      <c r="R13" s="218">
        <v>1.3</v>
      </c>
      <c r="S13" s="218">
        <v>1.33</v>
      </c>
      <c r="T13" s="218">
        <v>1.42</v>
      </c>
      <c r="U13" s="218">
        <v>1.442173346925701</v>
      </c>
      <c r="V13" s="218">
        <v>1.4663378758645889</v>
      </c>
      <c r="X13" s="152"/>
      <c r="Y13" s="152"/>
      <c r="Z13" s="152"/>
    </row>
    <row r="14" spans="1:27" ht="15" customHeight="1">
      <c r="A14" s="77"/>
      <c r="B14" s="21" t="s">
        <v>28</v>
      </c>
      <c r="C14" s="218">
        <v>1.02</v>
      </c>
      <c r="D14" s="218">
        <v>1.08</v>
      </c>
      <c r="E14" s="218">
        <v>1</v>
      </c>
      <c r="F14" s="218">
        <v>0.96</v>
      </c>
      <c r="G14" s="218">
        <v>0.98</v>
      </c>
      <c r="H14" s="218">
        <v>1.01</v>
      </c>
      <c r="I14" s="218">
        <v>1</v>
      </c>
      <c r="J14" s="218">
        <v>1.02</v>
      </c>
      <c r="K14" s="218">
        <v>1.24</v>
      </c>
      <c r="L14" s="218">
        <v>1.3</v>
      </c>
      <c r="M14" s="218">
        <v>1.36</v>
      </c>
      <c r="N14" s="218">
        <v>1.45</v>
      </c>
      <c r="O14" s="218">
        <v>1.1599999999999999</v>
      </c>
      <c r="P14" s="218">
        <v>1.1499999999999999</v>
      </c>
      <c r="Q14" s="218">
        <v>1.26</v>
      </c>
      <c r="R14" s="218">
        <v>1.29</v>
      </c>
      <c r="S14" s="218">
        <v>1.38</v>
      </c>
      <c r="T14" s="218">
        <v>1.43</v>
      </c>
      <c r="U14" s="218">
        <v>1.4167937385253697</v>
      </c>
      <c r="V14" s="218">
        <v>1.4365355752817557</v>
      </c>
      <c r="X14" s="152"/>
      <c r="Y14" s="152"/>
      <c r="Z14" s="152"/>
    </row>
    <row r="15" spans="1:27" ht="15" customHeight="1">
      <c r="A15" s="77"/>
      <c r="B15" s="21" t="s">
        <v>29</v>
      </c>
      <c r="C15" s="218">
        <v>0.9</v>
      </c>
      <c r="D15" s="218">
        <v>0.89</v>
      </c>
      <c r="E15" s="218">
        <v>0.87</v>
      </c>
      <c r="F15" s="218">
        <v>0.9</v>
      </c>
      <c r="G15" s="218">
        <v>0.94</v>
      </c>
      <c r="H15" s="218">
        <v>1.01</v>
      </c>
      <c r="I15" s="218">
        <v>1.06</v>
      </c>
      <c r="J15" s="218">
        <v>1.0900000000000001</v>
      </c>
      <c r="K15" s="218">
        <v>1.17</v>
      </c>
      <c r="L15" s="218">
        <v>1.22</v>
      </c>
      <c r="M15" s="218">
        <v>1.26</v>
      </c>
      <c r="N15" s="218">
        <v>1.27</v>
      </c>
      <c r="O15" s="218">
        <v>1.3</v>
      </c>
      <c r="P15" s="218">
        <v>1.36</v>
      </c>
      <c r="Q15" s="218">
        <v>1.39</v>
      </c>
      <c r="R15" s="218">
        <v>1.43</v>
      </c>
      <c r="S15" s="218">
        <v>1.51</v>
      </c>
      <c r="T15" s="218">
        <v>1.56</v>
      </c>
      <c r="U15" s="218">
        <v>1.5853474900952764</v>
      </c>
      <c r="V15" s="218">
        <v>1.6208061798559088</v>
      </c>
      <c r="X15" s="152"/>
      <c r="Y15" s="152"/>
      <c r="Z15" s="152"/>
    </row>
    <row r="16" spans="1:27" ht="15" customHeight="1">
      <c r="A16" s="77"/>
      <c r="B16" s="21" t="s">
        <v>30</v>
      </c>
      <c r="C16" s="218">
        <v>0.92</v>
      </c>
      <c r="D16" s="218">
        <v>0.81</v>
      </c>
      <c r="E16" s="218">
        <v>0.74</v>
      </c>
      <c r="F16" s="218">
        <v>0.81</v>
      </c>
      <c r="G16" s="218">
        <v>0.89</v>
      </c>
      <c r="H16" s="218">
        <v>0.92</v>
      </c>
      <c r="I16" s="218">
        <v>0.89</v>
      </c>
      <c r="J16" s="218">
        <v>0.91</v>
      </c>
      <c r="K16" s="218">
        <v>1.05</v>
      </c>
      <c r="L16" s="218">
        <v>1.04</v>
      </c>
      <c r="M16" s="218">
        <v>1.0900000000000001</v>
      </c>
      <c r="N16" s="218">
        <v>1.18</v>
      </c>
      <c r="O16" s="218">
        <v>1.1399999999999999</v>
      </c>
      <c r="P16" s="218">
        <v>1.19</v>
      </c>
      <c r="Q16" s="218">
        <v>1.26</v>
      </c>
      <c r="R16" s="218">
        <v>1.3</v>
      </c>
      <c r="S16" s="218">
        <v>1.46</v>
      </c>
      <c r="T16" s="218">
        <v>1.53</v>
      </c>
      <c r="U16" s="218">
        <v>1.5745899659573548</v>
      </c>
      <c r="V16" s="218">
        <v>1.6019163804842591</v>
      </c>
      <c r="X16" s="152"/>
      <c r="Y16" s="152"/>
      <c r="Z16" s="152"/>
    </row>
    <row r="17" spans="1:26" ht="15" customHeight="1">
      <c r="A17" s="77"/>
      <c r="B17" s="21" t="s">
        <v>31</v>
      </c>
      <c r="C17" s="218">
        <v>1.29</v>
      </c>
      <c r="D17" s="218">
        <v>1.3</v>
      </c>
      <c r="E17" s="218">
        <v>1.28</v>
      </c>
      <c r="F17" s="218">
        <v>1.26</v>
      </c>
      <c r="G17" s="218">
        <v>1.26</v>
      </c>
      <c r="H17" s="218">
        <v>1.28</v>
      </c>
      <c r="I17" s="218">
        <v>1.1299999999999999</v>
      </c>
      <c r="J17" s="218">
        <v>1.1399999999999999</v>
      </c>
      <c r="K17" s="218">
        <v>1.57</v>
      </c>
      <c r="L17" s="218">
        <v>1.42</v>
      </c>
      <c r="M17" s="218">
        <v>1.33</v>
      </c>
      <c r="N17" s="218">
        <v>1.4</v>
      </c>
      <c r="O17" s="218">
        <v>1.41</v>
      </c>
      <c r="P17" s="218">
        <v>1.44</v>
      </c>
      <c r="Q17" s="218">
        <v>1.48</v>
      </c>
      <c r="R17" s="218">
        <v>1.49</v>
      </c>
      <c r="S17" s="218">
        <v>1.53</v>
      </c>
      <c r="T17" s="218">
        <v>1.58</v>
      </c>
      <c r="U17" s="218">
        <v>1.6008853488858354</v>
      </c>
      <c r="V17" s="218">
        <v>1.6179864906200834</v>
      </c>
      <c r="X17" s="152"/>
      <c r="Y17" s="152"/>
      <c r="Z17" s="152"/>
    </row>
    <row r="18" spans="1:26" ht="15" customHeight="1">
      <c r="A18" s="77"/>
      <c r="B18" s="21" t="s">
        <v>32</v>
      </c>
      <c r="C18" s="218">
        <v>1.19</v>
      </c>
      <c r="D18" s="218">
        <v>0.84</v>
      </c>
      <c r="E18" s="218">
        <v>1.24</v>
      </c>
      <c r="F18" s="218">
        <v>1.03</v>
      </c>
      <c r="G18" s="218">
        <v>1.07</v>
      </c>
      <c r="H18" s="218">
        <v>1.0900000000000001</v>
      </c>
      <c r="I18" s="218">
        <v>1.1100000000000001</v>
      </c>
      <c r="J18" s="218">
        <v>1.1499999999999999</v>
      </c>
      <c r="K18" s="218">
        <v>1.19</v>
      </c>
      <c r="L18" s="218">
        <v>1.18</v>
      </c>
      <c r="M18" s="218">
        <v>1.25</v>
      </c>
      <c r="N18" s="218">
        <v>1.29</v>
      </c>
      <c r="O18" s="218">
        <v>1.38</v>
      </c>
      <c r="P18" s="218">
        <v>1.45</v>
      </c>
      <c r="Q18" s="218">
        <v>1.46</v>
      </c>
      <c r="R18" s="218">
        <v>1.5</v>
      </c>
      <c r="S18" s="218">
        <v>1.52</v>
      </c>
      <c r="T18" s="218">
        <v>1.52</v>
      </c>
      <c r="U18" s="218">
        <v>1.5535404435285942</v>
      </c>
      <c r="V18" s="218">
        <v>1.5736716824772343</v>
      </c>
      <c r="X18" s="152"/>
      <c r="Y18" s="152"/>
      <c r="Z18" s="152"/>
    </row>
    <row r="19" spans="1:26" ht="15" customHeight="1">
      <c r="A19" s="77"/>
      <c r="B19" s="21" t="s">
        <v>33</v>
      </c>
      <c r="C19" s="218">
        <v>0.93</v>
      </c>
      <c r="D19" s="218">
        <v>0.96</v>
      </c>
      <c r="E19" s="218">
        <v>0.99</v>
      </c>
      <c r="F19" s="218">
        <v>1.05</v>
      </c>
      <c r="G19" s="218">
        <v>1.1200000000000001</v>
      </c>
      <c r="H19" s="218">
        <v>1.1100000000000001</v>
      </c>
      <c r="I19" s="218">
        <v>1.1000000000000001</v>
      </c>
      <c r="J19" s="218">
        <v>1.1200000000000001</v>
      </c>
      <c r="K19" s="218">
        <v>1.22</v>
      </c>
      <c r="L19" s="218">
        <v>1.25</v>
      </c>
      <c r="M19" s="218">
        <v>1.31</v>
      </c>
      <c r="N19" s="218">
        <v>1.29</v>
      </c>
      <c r="O19" s="218">
        <v>1.35</v>
      </c>
      <c r="P19" s="218">
        <v>1.37</v>
      </c>
      <c r="Q19" s="218">
        <v>1.31</v>
      </c>
      <c r="R19" s="218">
        <v>1.34</v>
      </c>
      <c r="S19" s="218">
        <v>1.5</v>
      </c>
      <c r="T19" s="218">
        <v>1.58</v>
      </c>
      <c r="U19" s="218">
        <v>1.6192147158095187</v>
      </c>
      <c r="V19" s="218">
        <v>1.6698745419298091</v>
      </c>
      <c r="X19" s="152"/>
      <c r="Y19" s="152"/>
      <c r="Z19" s="152"/>
    </row>
    <row r="20" spans="1:26" ht="15" customHeight="1">
      <c r="A20" s="77"/>
      <c r="B20" s="21" t="s">
        <v>34</v>
      </c>
      <c r="C20" s="218">
        <v>1</v>
      </c>
      <c r="D20" s="218">
        <v>1.08</v>
      </c>
      <c r="E20" s="218">
        <v>0.99</v>
      </c>
      <c r="F20" s="218">
        <v>1.08</v>
      </c>
      <c r="G20" s="218">
        <v>1.1100000000000001</v>
      </c>
      <c r="H20" s="218">
        <v>1.1399999999999999</v>
      </c>
      <c r="I20" s="218">
        <v>1.1200000000000001</v>
      </c>
      <c r="J20" s="218">
        <v>1.08</v>
      </c>
      <c r="K20" s="218">
        <v>1.1599999999999999</v>
      </c>
      <c r="L20" s="218">
        <v>1.21</v>
      </c>
      <c r="M20" s="218">
        <v>1.18</v>
      </c>
      <c r="N20" s="218">
        <v>1.2</v>
      </c>
      <c r="O20" s="218">
        <v>1.18</v>
      </c>
      <c r="P20" s="218">
        <v>1.19</v>
      </c>
      <c r="Q20" s="218">
        <v>1.22</v>
      </c>
      <c r="R20" s="218">
        <v>1.25</v>
      </c>
      <c r="S20" s="218">
        <v>1.28</v>
      </c>
      <c r="T20" s="218">
        <v>1.31</v>
      </c>
      <c r="U20" s="218">
        <v>1.3480359466873975</v>
      </c>
      <c r="V20" s="218">
        <v>1.3782520429367284</v>
      </c>
      <c r="X20" s="152"/>
      <c r="Y20" s="152"/>
      <c r="Z20" s="152"/>
    </row>
    <row r="21" spans="1:26" ht="15" customHeight="1">
      <c r="A21" s="77"/>
      <c r="B21" s="21" t="s">
        <v>35</v>
      </c>
      <c r="C21" s="218">
        <v>0.71</v>
      </c>
      <c r="D21" s="218">
        <v>0.73</v>
      </c>
      <c r="E21" s="218">
        <v>0.74</v>
      </c>
      <c r="F21" s="218">
        <v>0.9</v>
      </c>
      <c r="G21" s="218">
        <v>0.94</v>
      </c>
      <c r="H21" s="218">
        <v>0.95</v>
      </c>
      <c r="I21" s="218">
        <v>0.98</v>
      </c>
      <c r="J21" s="218">
        <v>1.05</v>
      </c>
      <c r="K21" s="218">
        <v>1.0900000000000001</v>
      </c>
      <c r="L21" s="218">
        <v>1.1200000000000001</v>
      </c>
      <c r="M21" s="218">
        <v>1.1100000000000001</v>
      </c>
      <c r="N21" s="218">
        <v>1.1200000000000001</v>
      </c>
      <c r="O21" s="218">
        <v>1.1399999999999999</v>
      </c>
      <c r="P21" s="218">
        <v>1.19</v>
      </c>
      <c r="Q21" s="218">
        <v>1.22</v>
      </c>
      <c r="R21" s="218">
        <v>1.24</v>
      </c>
      <c r="S21" s="218">
        <v>1.3</v>
      </c>
      <c r="T21" s="218">
        <v>1.37</v>
      </c>
      <c r="U21" s="218">
        <v>1.4420656204649698</v>
      </c>
      <c r="V21" s="218">
        <v>1.489676275019981</v>
      </c>
      <c r="X21" s="152"/>
      <c r="Y21" s="152"/>
      <c r="Z21" s="152"/>
    </row>
    <row r="22" spans="1:26" ht="15" customHeight="1">
      <c r="A22" s="77"/>
      <c r="B22" s="21" t="s">
        <v>36</v>
      </c>
      <c r="C22" s="218">
        <v>0.85</v>
      </c>
      <c r="D22" s="218">
        <v>0.8</v>
      </c>
      <c r="E22" s="218">
        <v>0.8</v>
      </c>
      <c r="F22" s="218">
        <v>0.88</v>
      </c>
      <c r="G22" s="218">
        <v>0.94</v>
      </c>
      <c r="H22" s="218">
        <v>0.94</v>
      </c>
      <c r="I22" s="218">
        <v>0.97</v>
      </c>
      <c r="J22" s="218">
        <v>1.01</v>
      </c>
      <c r="K22" s="218">
        <v>1.01</v>
      </c>
      <c r="L22" s="218">
        <v>1.03</v>
      </c>
      <c r="M22" s="218">
        <v>1.1000000000000001</v>
      </c>
      <c r="N22" s="218">
        <v>1.1399999999999999</v>
      </c>
      <c r="O22" s="218">
        <v>1.25</v>
      </c>
      <c r="P22" s="218">
        <v>1.27</v>
      </c>
      <c r="Q22" s="218">
        <v>1.33</v>
      </c>
      <c r="R22" s="218">
        <v>1.36</v>
      </c>
      <c r="S22" s="218">
        <v>1.32</v>
      </c>
      <c r="T22" s="218">
        <v>1.34</v>
      </c>
      <c r="U22" s="218">
        <v>1.4096474302329243</v>
      </c>
      <c r="V22" s="218">
        <v>1.4439042865520777</v>
      </c>
      <c r="X22" s="152"/>
      <c r="Y22" s="152"/>
      <c r="Z22" s="152"/>
    </row>
    <row r="23" spans="1:26" ht="15" customHeight="1">
      <c r="A23" s="77"/>
      <c r="B23" s="21" t="s">
        <v>37</v>
      </c>
      <c r="C23" s="218">
        <v>0.72</v>
      </c>
      <c r="D23" s="218">
        <v>0.83</v>
      </c>
      <c r="E23" s="218">
        <v>0.8</v>
      </c>
      <c r="F23" s="218">
        <v>0.85</v>
      </c>
      <c r="G23" s="218">
        <v>0.94</v>
      </c>
      <c r="H23" s="218">
        <v>0.89</v>
      </c>
      <c r="I23" s="218">
        <v>0.95</v>
      </c>
      <c r="J23" s="218">
        <v>1.0900000000000001</v>
      </c>
      <c r="K23" s="218">
        <v>1.06</v>
      </c>
      <c r="L23" s="218">
        <v>1.1100000000000001</v>
      </c>
      <c r="M23" s="218">
        <v>1.1000000000000001</v>
      </c>
      <c r="N23" s="218">
        <v>1.0900000000000001</v>
      </c>
      <c r="O23" s="218">
        <v>1.1499999999999999</v>
      </c>
      <c r="P23" s="218">
        <v>1.17</v>
      </c>
      <c r="Q23" s="218">
        <v>1.22</v>
      </c>
      <c r="R23" s="218">
        <v>1.32</v>
      </c>
      <c r="S23" s="218">
        <v>1.39</v>
      </c>
      <c r="T23" s="218">
        <v>1.44</v>
      </c>
      <c r="U23" s="218">
        <v>1.4239198200446455</v>
      </c>
      <c r="V23" s="218">
        <v>1.4660713768992935</v>
      </c>
      <c r="X23" s="152"/>
      <c r="Y23" s="152"/>
      <c r="Z23" s="152"/>
    </row>
    <row r="24" spans="1:26" ht="15" customHeight="1">
      <c r="A24" s="77"/>
      <c r="B24" s="21" t="s">
        <v>38</v>
      </c>
      <c r="C24" s="218">
        <v>1.06</v>
      </c>
      <c r="D24" s="218">
        <v>1.1399999999999999</v>
      </c>
      <c r="E24" s="218">
        <v>1.08</v>
      </c>
      <c r="F24" s="218">
        <v>1.1000000000000001</v>
      </c>
      <c r="G24" s="218">
        <v>1.21</v>
      </c>
      <c r="H24" s="218">
        <v>1.22</v>
      </c>
      <c r="I24" s="218">
        <v>1.1499999999999999</v>
      </c>
      <c r="J24" s="218">
        <v>1.38</v>
      </c>
      <c r="K24" s="218">
        <v>1.28</v>
      </c>
      <c r="L24" s="218">
        <v>1.35</v>
      </c>
      <c r="M24" s="218">
        <v>1.35</v>
      </c>
      <c r="N24" s="218">
        <v>1.47</v>
      </c>
      <c r="O24" s="218">
        <v>1.43</v>
      </c>
      <c r="P24" s="218">
        <v>1.45</v>
      </c>
      <c r="Q24" s="218">
        <v>1.51</v>
      </c>
      <c r="R24" s="218">
        <v>1.53</v>
      </c>
      <c r="S24" s="218">
        <v>1.57</v>
      </c>
      <c r="T24" s="218">
        <v>1.61</v>
      </c>
      <c r="U24" s="218">
        <v>1.6335276602119793</v>
      </c>
      <c r="V24" s="218">
        <v>1.6554696415781922</v>
      </c>
      <c r="X24" s="152"/>
      <c r="Y24" s="152"/>
      <c r="Z24" s="152"/>
    </row>
    <row r="25" spans="1:26" ht="15" customHeight="1">
      <c r="A25" s="77"/>
      <c r="B25" s="21" t="s">
        <v>39</v>
      </c>
      <c r="C25" s="218">
        <v>1.1100000000000001</v>
      </c>
      <c r="D25" s="218">
        <v>1.17</v>
      </c>
      <c r="E25" s="218">
        <v>1.1499999999999999</v>
      </c>
      <c r="F25" s="218">
        <v>1.24</v>
      </c>
      <c r="G25" s="218">
        <v>1.3</v>
      </c>
      <c r="H25" s="218">
        <v>1.18</v>
      </c>
      <c r="I25" s="218">
        <v>1.1599999999999999</v>
      </c>
      <c r="J25" s="218">
        <v>1.2</v>
      </c>
      <c r="K25" s="218">
        <v>1.2</v>
      </c>
      <c r="L25" s="218">
        <v>1.18</v>
      </c>
      <c r="M25" s="218">
        <v>1.25</v>
      </c>
      <c r="N25" s="218">
        <v>1.3</v>
      </c>
      <c r="O25" s="218">
        <v>1.3</v>
      </c>
      <c r="P25" s="218">
        <v>1.31</v>
      </c>
      <c r="Q25" s="218">
        <v>1.33</v>
      </c>
      <c r="R25" s="218">
        <v>1.32</v>
      </c>
      <c r="S25" s="218">
        <v>1.32</v>
      </c>
      <c r="T25" s="218">
        <v>1.34</v>
      </c>
      <c r="U25" s="218">
        <v>1.4633873408339451</v>
      </c>
      <c r="V25" s="218">
        <v>1.5024131392580042</v>
      </c>
      <c r="X25" s="152"/>
      <c r="Y25" s="152"/>
      <c r="Z25" s="152"/>
    </row>
    <row r="26" spans="1:26" ht="15" customHeight="1">
      <c r="A26" s="77"/>
      <c r="B26" s="21" t="s">
        <v>42</v>
      </c>
      <c r="C26" s="218">
        <v>1.05</v>
      </c>
      <c r="D26" s="218">
        <v>1.07</v>
      </c>
      <c r="E26" s="218">
        <v>1.05</v>
      </c>
      <c r="F26" s="218">
        <v>1.0900000000000001</v>
      </c>
      <c r="G26" s="218">
        <v>1.1200000000000001</v>
      </c>
      <c r="H26" s="218">
        <v>1.06</v>
      </c>
      <c r="I26" s="218">
        <v>1.07</v>
      </c>
      <c r="J26" s="218">
        <v>1.1100000000000001</v>
      </c>
      <c r="K26" s="218">
        <v>1.17</v>
      </c>
      <c r="L26" s="218">
        <v>1.24</v>
      </c>
      <c r="M26" s="218">
        <v>1.26</v>
      </c>
      <c r="N26" s="218">
        <v>1.27</v>
      </c>
      <c r="O26" s="218">
        <v>1.27</v>
      </c>
      <c r="P26" s="218">
        <v>1.3</v>
      </c>
      <c r="Q26" s="218">
        <v>1.35</v>
      </c>
      <c r="R26" s="218">
        <v>1.35</v>
      </c>
      <c r="S26" s="218">
        <v>1.37</v>
      </c>
      <c r="T26" s="218">
        <v>1.39</v>
      </c>
      <c r="U26" s="218">
        <v>1.5000906285627316</v>
      </c>
      <c r="V26" s="218">
        <v>1.5410573770142224</v>
      </c>
      <c r="X26" s="152"/>
      <c r="Y26" s="152"/>
      <c r="Z26" s="152"/>
    </row>
    <row r="27" spans="1:26" ht="15" customHeight="1">
      <c r="A27" s="77"/>
      <c r="B27" s="21" t="s">
        <v>43</v>
      </c>
      <c r="C27" s="218">
        <v>0.85</v>
      </c>
      <c r="D27" s="218">
        <v>0.75</v>
      </c>
      <c r="E27" s="218">
        <v>0.76</v>
      </c>
      <c r="F27" s="218">
        <v>0.86</v>
      </c>
      <c r="G27" s="218">
        <v>0.91</v>
      </c>
      <c r="H27" s="218">
        <v>0.95</v>
      </c>
      <c r="I27" s="218">
        <v>0.99</v>
      </c>
      <c r="J27" s="218">
        <v>1.1100000000000001</v>
      </c>
      <c r="K27" s="218">
        <v>1.03</v>
      </c>
      <c r="L27" s="218">
        <v>1.2</v>
      </c>
      <c r="M27" s="218">
        <v>1.38</v>
      </c>
      <c r="N27" s="218">
        <v>1.4</v>
      </c>
      <c r="O27" s="218">
        <v>1.47</v>
      </c>
      <c r="P27" s="218">
        <v>1.34</v>
      </c>
      <c r="Q27" s="218">
        <v>1.2</v>
      </c>
      <c r="R27" s="218">
        <v>1.23</v>
      </c>
      <c r="S27" s="218">
        <v>1.27</v>
      </c>
      <c r="T27" s="218">
        <v>1.43</v>
      </c>
      <c r="U27" s="218">
        <v>1.5730128783552215</v>
      </c>
      <c r="V27" s="218">
        <v>1.6089029830732933</v>
      </c>
      <c r="X27" s="152"/>
      <c r="Y27" s="152"/>
      <c r="Z27" s="152"/>
    </row>
    <row r="28" spans="1:26" ht="15" customHeight="1">
      <c r="A28" s="77"/>
      <c r="B28" s="76" t="s">
        <v>44</v>
      </c>
      <c r="C28" s="218">
        <v>0.93</v>
      </c>
      <c r="D28" s="218">
        <v>0.96</v>
      </c>
      <c r="E28" s="218">
        <v>0.96</v>
      </c>
      <c r="F28" s="218">
        <v>0.78</v>
      </c>
      <c r="G28" s="218">
        <v>0.81</v>
      </c>
      <c r="H28" s="218">
        <v>0.86</v>
      </c>
      <c r="I28" s="218">
        <v>0.85</v>
      </c>
      <c r="J28" s="218">
        <v>0.92</v>
      </c>
      <c r="K28" s="218">
        <v>0.83</v>
      </c>
      <c r="L28" s="218">
        <v>1.07</v>
      </c>
      <c r="M28" s="218">
        <v>1.1499999999999999</v>
      </c>
      <c r="N28" s="218">
        <v>1.26</v>
      </c>
      <c r="O28" s="218">
        <v>1.28</v>
      </c>
      <c r="P28" s="218">
        <v>1.3</v>
      </c>
      <c r="Q28" s="218">
        <v>1.31</v>
      </c>
      <c r="R28" s="218">
        <v>1.33</v>
      </c>
      <c r="S28" s="218">
        <v>1.38</v>
      </c>
      <c r="T28" s="218">
        <v>1.35</v>
      </c>
      <c r="U28" s="218">
        <v>1.5096332749161183</v>
      </c>
      <c r="V28" s="218">
        <v>1.5516612876820111</v>
      </c>
      <c r="X28" s="152"/>
      <c r="Y28" s="152"/>
      <c r="Z28" s="152"/>
    </row>
    <row r="29" spans="1:26" ht="15" customHeight="1">
      <c r="A29" s="77"/>
      <c r="B29" s="21" t="s">
        <v>45</v>
      </c>
      <c r="C29" s="218">
        <v>1.43</v>
      </c>
      <c r="D29" s="218">
        <v>1.32</v>
      </c>
      <c r="E29" s="218">
        <v>1.43</v>
      </c>
      <c r="F29" s="218">
        <v>1.29</v>
      </c>
      <c r="G29" s="218">
        <v>1.39</v>
      </c>
      <c r="H29" s="218">
        <v>1.42</v>
      </c>
      <c r="I29" s="218">
        <v>1.4</v>
      </c>
      <c r="J29" s="218">
        <v>1.5</v>
      </c>
      <c r="K29" s="218">
        <v>1.7</v>
      </c>
      <c r="L29" s="218">
        <v>1.87</v>
      </c>
      <c r="M29" s="218">
        <v>1.64</v>
      </c>
      <c r="N29" s="218">
        <v>1.78</v>
      </c>
      <c r="O29" s="218">
        <v>1.73</v>
      </c>
      <c r="P29" s="218">
        <v>1.76</v>
      </c>
      <c r="Q29" s="218">
        <v>1.85</v>
      </c>
      <c r="R29" s="218">
        <v>1.89</v>
      </c>
      <c r="S29" s="218">
        <v>1.9</v>
      </c>
      <c r="T29" s="218">
        <v>1.94</v>
      </c>
      <c r="U29" s="218">
        <v>2.0130996745653253</v>
      </c>
      <c r="V29" s="218">
        <v>2.0678831359896614</v>
      </c>
      <c r="X29" s="152"/>
      <c r="Y29" s="152"/>
      <c r="Z29" s="152"/>
    </row>
    <row r="30" spans="1:26" ht="15" customHeight="1">
      <c r="A30" s="77"/>
      <c r="B30" s="21" t="s">
        <v>46</v>
      </c>
      <c r="C30" s="218">
        <v>1.28</v>
      </c>
      <c r="D30" s="218">
        <v>1.21</v>
      </c>
      <c r="E30" s="218">
        <v>1.18</v>
      </c>
      <c r="F30" s="218">
        <v>0.94</v>
      </c>
      <c r="G30" s="218">
        <v>0.95</v>
      </c>
      <c r="H30" s="218">
        <v>0.94</v>
      </c>
      <c r="I30" s="218">
        <v>0.94</v>
      </c>
      <c r="J30" s="218">
        <v>0.97</v>
      </c>
      <c r="K30" s="218">
        <v>0.94</v>
      </c>
      <c r="L30" s="218">
        <v>0.94</v>
      </c>
      <c r="M30" s="218">
        <v>0.95</v>
      </c>
      <c r="N30" s="218">
        <v>1</v>
      </c>
      <c r="O30" s="218">
        <v>1.07</v>
      </c>
      <c r="P30" s="218">
        <v>1.42</v>
      </c>
      <c r="Q30" s="218">
        <v>1.53</v>
      </c>
      <c r="R30" s="218">
        <v>1.54</v>
      </c>
      <c r="S30" s="218">
        <v>1.56</v>
      </c>
      <c r="T30" s="218">
        <v>1.6</v>
      </c>
      <c r="U30" s="218">
        <v>1.6587615474872714</v>
      </c>
      <c r="V30" s="218">
        <v>1.7329157077335493</v>
      </c>
      <c r="X30" s="152"/>
      <c r="Y30" s="152"/>
      <c r="Z30" s="152"/>
    </row>
    <row r="31" spans="1:26" ht="15" customHeight="1" thickBot="1">
      <c r="A31" s="82"/>
      <c r="B31" s="434" t="s">
        <v>47</v>
      </c>
      <c r="C31" s="433">
        <v>1.41</v>
      </c>
      <c r="D31" s="433">
        <v>1.41</v>
      </c>
      <c r="E31" s="433">
        <v>1.38</v>
      </c>
      <c r="F31" s="433">
        <v>1.5</v>
      </c>
      <c r="G31" s="433">
        <v>1.58</v>
      </c>
      <c r="H31" s="433">
        <v>1.56</v>
      </c>
      <c r="I31" s="433">
        <v>1.44</v>
      </c>
      <c r="J31" s="433">
        <v>1.45</v>
      </c>
      <c r="K31" s="433">
        <v>1.63</v>
      </c>
      <c r="L31" s="433">
        <v>1.81</v>
      </c>
      <c r="M31" s="433">
        <v>1.5</v>
      </c>
      <c r="N31" s="433">
        <v>1.62</v>
      </c>
      <c r="O31" s="433">
        <v>1.53</v>
      </c>
      <c r="P31" s="433">
        <v>1.6</v>
      </c>
      <c r="Q31" s="433">
        <v>1.54</v>
      </c>
      <c r="R31" s="433">
        <v>1.55</v>
      </c>
      <c r="S31" s="433">
        <v>1.59</v>
      </c>
      <c r="T31" s="433">
        <v>1.62</v>
      </c>
      <c r="U31" s="433">
        <v>1.6740158437227304</v>
      </c>
      <c r="V31" s="433">
        <v>1.7342613554415676</v>
      </c>
      <c r="X31" s="152"/>
      <c r="Y31" s="152"/>
      <c r="Z31" s="152"/>
    </row>
    <row r="32" spans="1:26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2">
    <tabColor theme="9" tint="0.59999389629810485"/>
  </sheetPr>
  <dimension ref="A2:V67"/>
  <sheetViews>
    <sheetView showGridLines="0" zoomScaleNormal="100" workbookViewId="0">
      <selection activeCell="M17" sqref="M17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6.3984375" style="76" customWidth="1"/>
    <col min="23" max="23" width="7.3984375" style="76" customWidth="1"/>
    <col min="24" max="16384" width="7" style="76"/>
  </cols>
  <sheetData>
    <row r="2" spans="1:22" ht="13.25" customHeight="1">
      <c r="A2" s="210" t="s">
        <v>489</v>
      </c>
      <c r="B2" s="211"/>
    </row>
    <row r="3" spans="1:22" ht="13.25" customHeight="1">
      <c r="A3" s="212" t="s">
        <v>211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2" ht="18" customHeight="1">
      <c r="A6" s="1020" t="s">
        <v>93</v>
      </c>
      <c r="B6" s="1020"/>
      <c r="C6" s="629">
        <f t="shared" ref="C6:M6" si="0">(C8+C9+C10+C11+C12+C13+C14+C15+C16+C17+C18+C19+C20+C21+C22+C23+C24+C25+C26+C27+C28+C29+C30+C31)</f>
        <v>1946984</v>
      </c>
      <c r="D6" s="629">
        <f t="shared" si="0"/>
        <v>1930625</v>
      </c>
      <c r="E6" s="630">
        <f t="shared" si="0"/>
        <v>1925912</v>
      </c>
      <c r="F6" s="630">
        <f t="shared" si="0"/>
        <v>1904124</v>
      </c>
      <c r="G6" s="630">
        <f t="shared" si="0"/>
        <v>1928678</v>
      </c>
      <c r="H6" s="630">
        <f t="shared" si="0"/>
        <v>1968305</v>
      </c>
      <c r="I6" s="630">
        <f t="shared" si="0"/>
        <v>1946117</v>
      </c>
      <c r="J6" s="630">
        <f t="shared" si="0"/>
        <v>1949502</v>
      </c>
      <c r="K6" s="630">
        <f t="shared" si="0"/>
        <v>1928631</v>
      </c>
      <c r="L6" s="630">
        <f t="shared" si="0"/>
        <v>1905462</v>
      </c>
      <c r="M6" s="630">
        <f t="shared" si="0"/>
        <v>1882361</v>
      </c>
      <c r="N6" s="630">
        <f t="shared" ref="N6:R6" si="1">(N8+N9+N10+N11+N12+N13+N14+N15+N16+N17+N18+N19+N20+N21+N22+N23+N24+N25+N26+N27+N28+N29+N30+N31)</f>
        <v>1865047</v>
      </c>
      <c r="O6" s="630">
        <f t="shared" si="1"/>
        <v>1814704</v>
      </c>
      <c r="P6" s="630">
        <f t="shared" si="1"/>
        <v>1812530</v>
      </c>
      <c r="Q6" s="630">
        <f t="shared" si="1"/>
        <v>1801883</v>
      </c>
      <c r="R6" s="630">
        <f t="shared" si="1"/>
        <v>1784685</v>
      </c>
      <c r="S6" s="630">
        <f t="shared" ref="S6:V6" si="2">(S8+S9+S10+S11+S12+S13+S14+S15+S16+S17+S18+S19+S20+S21+S22+S23+S24+S25+S26+S27+S28+S29+S30+S31)</f>
        <v>1754968</v>
      </c>
      <c r="T6" s="630">
        <f t="shared" si="2"/>
        <v>1767615</v>
      </c>
      <c r="U6" s="630">
        <f t="shared" ref="U6" si="3">(U8+U9+U10+U11+U12+U13+U14+U15+U16+U17+U18+U19+U20+U21+U22+U23+U24+U25+U26+U27+U28+U29+U30+U31)</f>
        <v>1764665</v>
      </c>
      <c r="V6" s="630">
        <f t="shared" si="2"/>
        <v>1749263</v>
      </c>
    </row>
    <row r="7" spans="1:22" ht="3" customHeight="1">
      <c r="A7" s="77"/>
      <c r="B7" s="78"/>
      <c r="C7" s="203"/>
      <c r="D7" s="203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</row>
    <row r="8" spans="1:22" ht="15" customHeight="1">
      <c r="A8" s="77"/>
      <c r="B8" s="21" t="s">
        <v>19</v>
      </c>
      <c r="C8" s="202">
        <v>101220</v>
      </c>
      <c r="D8" s="202">
        <v>101000</v>
      </c>
      <c r="E8" s="87">
        <v>99100</v>
      </c>
      <c r="F8" s="87">
        <v>87027</v>
      </c>
      <c r="G8" s="87">
        <v>89050</v>
      </c>
      <c r="H8" s="87">
        <v>87290</v>
      </c>
      <c r="I8" s="87">
        <v>81400</v>
      </c>
      <c r="J8" s="87">
        <v>78900</v>
      </c>
      <c r="K8" s="87">
        <v>75000</v>
      </c>
      <c r="L8" s="87">
        <v>62600</v>
      </c>
      <c r="M8" s="473">
        <v>71620</v>
      </c>
      <c r="N8" s="473">
        <v>60648</v>
      </c>
      <c r="O8" s="473">
        <v>62430</v>
      </c>
      <c r="P8" s="473">
        <v>68210</v>
      </c>
      <c r="Q8" s="473">
        <v>65320</v>
      </c>
      <c r="R8" s="473">
        <v>63823</v>
      </c>
      <c r="S8" s="473">
        <v>63678</v>
      </c>
      <c r="T8" s="473">
        <v>63751</v>
      </c>
      <c r="U8" s="473">
        <v>94086</v>
      </c>
      <c r="V8" s="473">
        <v>78919</v>
      </c>
    </row>
    <row r="9" spans="1:22" ht="15" customHeight="1">
      <c r="A9" s="77"/>
      <c r="B9" s="21" t="s">
        <v>20</v>
      </c>
      <c r="C9" s="202">
        <v>335100</v>
      </c>
      <c r="D9" s="202">
        <v>341333</v>
      </c>
      <c r="E9" s="87">
        <v>342698</v>
      </c>
      <c r="F9" s="87">
        <v>343180</v>
      </c>
      <c r="G9" s="87">
        <v>359416</v>
      </c>
      <c r="H9" s="87">
        <v>415459</v>
      </c>
      <c r="I9" s="87">
        <v>412459</v>
      </c>
      <c r="J9" s="87">
        <v>417121</v>
      </c>
      <c r="K9" s="87">
        <v>395221</v>
      </c>
      <c r="L9" s="87">
        <v>396861</v>
      </c>
      <c r="M9" s="473">
        <v>391887</v>
      </c>
      <c r="N9" s="473">
        <v>382545</v>
      </c>
      <c r="O9" s="473">
        <v>345496</v>
      </c>
      <c r="P9" s="473">
        <v>346221</v>
      </c>
      <c r="Q9" s="473">
        <v>330221</v>
      </c>
      <c r="R9" s="473">
        <v>330308</v>
      </c>
      <c r="S9" s="473">
        <v>305413</v>
      </c>
      <c r="T9" s="473">
        <v>317861</v>
      </c>
      <c r="U9" s="473">
        <v>296221</v>
      </c>
      <c r="V9" s="473">
        <v>323221</v>
      </c>
    </row>
    <row r="10" spans="1:22" ht="15" customHeight="1">
      <c r="A10" s="77"/>
      <c r="B10" s="21" t="s">
        <v>21</v>
      </c>
      <c r="C10" s="202">
        <v>60000</v>
      </c>
      <c r="D10" s="202">
        <v>72700</v>
      </c>
      <c r="E10" s="87">
        <v>66341</v>
      </c>
      <c r="F10" s="87">
        <v>74724</v>
      </c>
      <c r="G10" s="87">
        <v>78420</v>
      </c>
      <c r="H10" s="87">
        <v>75437</v>
      </c>
      <c r="I10" s="87">
        <v>77230</v>
      </c>
      <c r="J10" s="87">
        <v>78198</v>
      </c>
      <c r="K10" s="87">
        <v>78098</v>
      </c>
      <c r="L10" s="87">
        <v>75598</v>
      </c>
      <c r="M10" s="87">
        <v>77150</v>
      </c>
      <c r="N10" s="87">
        <v>83968</v>
      </c>
      <c r="O10" s="87">
        <v>91548</v>
      </c>
      <c r="P10" s="87">
        <v>90560</v>
      </c>
      <c r="Q10" s="87">
        <v>106151</v>
      </c>
      <c r="R10" s="87">
        <v>105050</v>
      </c>
      <c r="S10" s="87">
        <v>105680</v>
      </c>
      <c r="T10" s="87">
        <v>104500</v>
      </c>
      <c r="U10" s="87">
        <v>105365</v>
      </c>
      <c r="V10" s="87">
        <v>104933</v>
      </c>
    </row>
    <row r="11" spans="1:22" ht="15" customHeight="1">
      <c r="A11" s="77"/>
      <c r="B11" s="21" t="s">
        <v>22</v>
      </c>
      <c r="C11" s="202">
        <v>130433</v>
      </c>
      <c r="D11" s="202">
        <v>130173</v>
      </c>
      <c r="E11" s="87">
        <v>130243</v>
      </c>
      <c r="F11" s="87">
        <v>130423</v>
      </c>
      <c r="G11" s="87">
        <v>130953</v>
      </c>
      <c r="H11" s="87">
        <v>131492</v>
      </c>
      <c r="I11" s="87">
        <v>131643</v>
      </c>
      <c r="J11" s="87">
        <v>131719</v>
      </c>
      <c r="K11" s="87">
        <v>128495</v>
      </c>
      <c r="L11" s="87">
        <v>116803</v>
      </c>
      <c r="M11" s="473">
        <v>103065</v>
      </c>
      <c r="N11" s="473">
        <v>100605</v>
      </c>
      <c r="O11" s="473">
        <v>98187</v>
      </c>
      <c r="P11" s="473">
        <v>84588</v>
      </c>
      <c r="Q11" s="473">
        <v>82812</v>
      </c>
      <c r="R11" s="473">
        <v>92017</v>
      </c>
      <c r="S11" s="473">
        <v>86812</v>
      </c>
      <c r="T11" s="473">
        <v>85926</v>
      </c>
      <c r="U11" s="473">
        <v>84406</v>
      </c>
      <c r="V11" s="473">
        <v>85406</v>
      </c>
    </row>
    <row r="12" spans="1:22" ht="15" customHeight="1">
      <c r="A12" s="77"/>
      <c r="B12" s="21" t="s">
        <v>23</v>
      </c>
      <c r="C12" s="202">
        <v>96690</v>
      </c>
      <c r="D12" s="202">
        <v>98238</v>
      </c>
      <c r="E12" s="87">
        <v>97950</v>
      </c>
      <c r="F12" s="87">
        <v>91315</v>
      </c>
      <c r="G12" s="87">
        <v>93900</v>
      </c>
      <c r="H12" s="87">
        <v>95518</v>
      </c>
      <c r="I12" s="87">
        <v>87325</v>
      </c>
      <c r="J12" s="87">
        <v>82835</v>
      </c>
      <c r="K12" s="87">
        <v>82206</v>
      </c>
      <c r="L12" s="87">
        <v>82910</v>
      </c>
      <c r="M12" s="473">
        <v>81616</v>
      </c>
      <c r="N12" s="473">
        <v>96193</v>
      </c>
      <c r="O12" s="473">
        <v>99202</v>
      </c>
      <c r="P12" s="473">
        <v>103252</v>
      </c>
      <c r="Q12" s="473">
        <v>107350</v>
      </c>
      <c r="R12" s="473">
        <v>106138</v>
      </c>
      <c r="S12" s="473">
        <v>106195</v>
      </c>
      <c r="T12" s="473">
        <v>104167</v>
      </c>
      <c r="U12" s="473">
        <v>105217</v>
      </c>
      <c r="V12" s="473">
        <v>104655</v>
      </c>
    </row>
    <row r="13" spans="1:22" ht="15" customHeight="1">
      <c r="A13" s="77"/>
      <c r="B13" s="21" t="s">
        <v>27</v>
      </c>
      <c r="C13" s="202">
        <v>7205</v>
      </c>
      <c r="D13" s="202">
        <v>7800</v>
      </c>
      <c r="E13" s="87">
        <v>10218</v>
      </c>
      <c r="F13" s="87">
        <v>9850</v>
      </c>
      <c r="G13" s="87">
        <v>9900</v>
      </c>
      <c r="H13" s="87">
        <v>8252</v>
      </c>
      <c r="I13" s="87">
        <v>9006</v>
      </c>
      <c r="J13" s="87">
        <v>11206</v>
      </c>
      <c r="K13" s="87">
        <v>12106</v>
      </c>
      <c r="L13" s="87">
        <v>12310</v>
      </c>
      <c r="M13" s="87">
        <v>12327</v>
      </c>
      <c r="N13" s="87">
        <v>12572</v>
      </c>
      <c r="O13" s="87">
        <v>12640</v>
      </c>
      <c r="P13" s="87">
        <v>12510</v>
      </c>
      <c r="Q13" s="87">
        <v>13975</v>
      </c>
      <c r="R13" s="87">
        <v>13975</v>
      </c>
      <c r="S13" s="87">
        <v>14397</v>
      </c>
      <c r="T13" s="87">
        <v>14827</v>
      </c>
      <c r="U13" s="87">
        <v>15271</v>
      </c>
      <c r="V13" s="87">
        <v>15675</v>
      </c>
    </row>
    <row r="14" spans="1:22" ht="15" customHeight="1">
      <c r="A14" s="77"/>
      <c r="B14" s="21" t="s">
        <v>28</v>
      </c>
      <c r="C14" s="202">
        <v>190443</v>
      </c>
      <c r="D14" s="202">
        <v>182297</v>
      </c>
      <c r="E14" s="87">
        <v>178521</v>
      </c>
      <c r="F14" s="87">
        <v>183422</v>
      </c>
      <c r="G14" s="87">
        <v>176458</v>
      </c>
      <c r="H14" s="87">
        <v>175228</v>
      </c>
      <c r="I14" s="87">
        <v>167112</v>
      </c>
      <c r="J14" s="87">
        <v>166175</v>
      </c>
      <c r="K14" s="87">
        <v>168200</v>
      </c>
      <c r="L14" s="87">
        <v>170142</v>
      </c>
      <c r="M14" s="473">
        <v>169145</v>
      </c>
      <c r="N14" s="473">
        <v>170602</v>
      </c>
      <c r="O14" s="473">
        <v>169610</v>
      </c>
      <c r="P14" s="473">
        <v>169785</v>
      </c>
      <c r="Q14" s="473">
        <v>169698</v>
      </c>
      <c r="R14" s="473">
        <v>168457</v>
      </c>
      <c r="S14" s="473">
        <v>167891</v>
      </c>
      <c r="T14" s="473">
        <v>168174</v>
      </c>
      <c r="U14" s="473">
        <v>168033</v>
      </c>
      <c r="V14" s="473">
        <v>168104</v>
      </c>
    </row>
    <row r="15" spans="1:22" ht="15" customHeight="1">
      <c r="A15" s="77"/>
      <c r="B15" s="21" t="s">
        <v>29</v>
      </c>
      <c r="C15" s="202">
        <v>183469</v>
      </c>
      <c r="D15" s="202">
        <v>187600</v>
      </c>
      <c r="E15" s="87">
        <v>186019</v>
      </c>
      <c r="F15" s="87">
        <v>187188</v>
      </c>
      <c r="G15" s="87">
        <v>188100</v>
      </c>
      <c r="H15" s="87">
        <v>186475</v>
      </c>
      <c r="I15" s="87">
        <v>189053</v>
      </c>
      <c r="J15" s="87">
        <v>187765</v>
      </c>
      <c r="K15" s="87">
        <v>180470</v>
      </c>
      <c r="L15" s="87">
        <v>184982</v>
      </c>
      <c r="M15" s="473">
        <v>185186</v>
      </c>
      <c r="N15" s="473">
        <v>175075</v>
      </c>
      <c r="O15" s="473">
        <v>167335</v>
      </c>
      <c r="P15" s="473">
        <v>165431</v>
      </c>
      <c r="Q15" s="473">
        <v>169383</v>
      </c>
      <c r="R15" s="473">
        <v>168458</v>
      </c>
      <c r="S15" s="473">
        <v>158415</v>
      </c>
      <c r="T15" s="473">
        <v>163437</v>
      </c>
      <c r="U15" s="473">
        <v>159255</v>
      </c>
      <c r="V15" s="473">
        <v>160346</v>
      </c>
    </row>
    <row r="16" spans="1:22" ht="15" customHeight="1">
      <c r="A16" s="77"/>
      <c r="B16" s="21" t="s">
        <v>30</v>
      </c>
      <c r="C16" s="202">
        <v>65037</v>
      </c>
      <c r="D16" s="202">
        <v>66362</v>
      </c>
      <c r="E16" s="87">
        <v>68978</v>
      </c>
      <c r="F16" s="87">
        <v>68172</v>
      </c>
      <c r="G16" s="87">
        <v>67350</v>
      </c>
      <c r="H16" s="87">
        <v>67180</v>
      </c>
      <c r="I16" s="87">
        <v>66788</v>
      </c>
      <c r="J16" s="87">
        <v>67724</v>
      </c>
      <c r="K16" s="87">
        <v>72324</v>
      </c>
      <c r="L16" s="87">
        <v>76527</v>
      </c>
      <c r="M16" s="87">
        <v>80148</v>
      </c>
      <c r="N16" s="87">
        <v>78936</v>
      </c>
      <c r="O16" s="87">
        <v>78925</v>
      </c>
      <c r="P16" s="87">
        <v>77013</v>
      </c>
      <c r="Q16" s="87">
        <v>75880</v>
      </c>
      <c r="R16" s="87">
        <v>74971</v>
      </c>
      <c r="S16" s="87">
        <v>75606</v>
      </c>
      <c r="T16" s="87">
        <v>79847</v>
      </c>
      <c r="U16" s="87">
        <v>80874</v>
      </c>
      <c r="V16" s="87">
        <v>79929</v>
      </c>
    </row>
    <row r="17" spans="1:22" ht="15" customHeight="1">
      <c r="A17" s="77"/>
      <c r="B17" s="21" t="s">
        <v>31</v>
      </c>
      <c r="C17" s="202">
        <v>72984</v>
      </c>
      <c r="D17" s="202">
        <v>79774</v>
      </c>
      <c r="E17" s="87">
        <v>78338</v>
      </c>
      <c r="F17" s="87">
        <v>81567</v>
      </c>
      <c r="G17" s="87">
        <v>80200</v>
      </c>
      <c r="H17" s="87">
        <v>78573</v>
      </c>
      <c r="I17" s="87">
        <v>85480</v>
      </c>
      <c r="J17" s="87">
        <v>97911</v>
      </c>
      <c r="K17" s="87">
        <v>101640</v>
      </c>
      <c r="L17" s="87">
        <v>101762</v>
      </c>
      <c r="M17" s="473">
        <v>102840</v>
      </c>
      <c r="N17" s="473">
        <v>102064</v>
      </c>
      <c r="O17" s="473">
        <v>102170</v>
      </c>
      <c r="P17" s="473">
        <v>102350</v>
      </c>
      <c r="Q17" s="473">
        <v>102260</v>
      </c>
      <c r="R17" s="473">
        <v>101568</v>
      </c>
      <c r="S17" s="473">
        <v>101673</v>
      </c>
      <c r="T17" s="473">
        <v>101621</v>
      </c>
      <c r="U17" s="473">
        <v>101647</v>
      </c>
      <c r="V17" s="473">
        <v>101634</v>
      </c>
    </row>
    <row r="18" spans="1:22" ht="15" customHeight="1">
      <c r="A18" s="77"/>
      <c r="B18" s="21" t="s">
        <v>32</v>
      </c>
      <c r="C18" s="202">
        <v>25049</v>
      </c>
      <c r="D18" s="202">
        <v>22586</v>
      </c>
      <c r="E18" s="87">
        <v>18694</v>
      </c>
      <c r="F18" s="87">
        <v>13049</v>
      </c>
      <c r="G18" s="87">
        <v>12271</v>
      </c>
      <c r="H18" s="87">
        <v>10520</v>
      </c>
      <c r="I18" s="87">
        <v>9471</v>
      </c>
      <c r="J18" s="87">
        <v>9626</v>
      </c>
      <c r="K18" s="87">
        <v>7543</v>
      </c>
      <c r="L18" s="87">
        <v>7547</v>
      </c>
      <c r="M18" s="473">
        <v>7168</v>
      </c>
      <c r="N18" s="473">
        <v>6810</v>
      </c>
      <c r="O18" s="473">
        <v>6173</v>
      </c>
      <c r="P18" s="473">
        <v>6517</v>
      </c>
      <c r="Q18" s="473">
        <v>6345</v>
      </c>
      <c r="R18" s="473">
        <v>6430</v>
      </c>
      <c r="S18" s="473">
        <v>6384</v>
      </c>
      <c r="T18" s="473">
        <v>6407</v>
      </c>
      <c r="U18" s="473">
        <v>6396</v>
      </c>
      <c r="V18" s="473">
        <v>6402</v>
      </c>
    </row>
    <row r="19" spans="1:22" ht="15" customHeight="1">
      <c r="A19" s="77"/>
      <c r="B19" s="21" t="s">
        <v>33</v>
      </c>
      <c r="C19" s="202">
        <v>8980</v>
      </c>
      <c r="D19" s="202">
        <v>8910</v>
      </c>
      <c r="E19" s="87">
        <v>8980</v>
      </c>
      <c r="F19" s="87">
        <v>8944</v>
      </c>
      <c r="G19" s="87">
        <v>8860</v>
      </c>
      <c r="H19" s="87">
        <v>8035</v>
      </c>
      <c r="I19" s="87">
        <v>7454</v>
      </c>
      <c r="J19" s="87">
        <v>9431</v>
      </c>
      <c r="K19" s="87">
        <v>10205</v>
      </c>
      <c r="L19" s="87">
        <v>9558</v>
      </c>
      <c r="M19" s="473">
        <v>9818</v>
      </c>
      <c r="N19" s="473">
        <v>10187</v>
      </c>
      <c r="O19" s="473">
        <v>10680</v>
      </c>
      <c r="P19" s="473">
        <v>11985</v>
      </c>
      <c r="Q19" s="473">
        <v>12015</v>
      </c>
      <c r="R19" s="473">
        <v>13304</v>
      </c>
      <c r="S19" s="473">
        <v>14890</v>
      </c>
      <c r="T19" s="473">
        <v>14570</v>
      </c>
      <c r="U19" s="473">
        <v>17118</v>
      </c>
      <c r="V19" s="473">
        <v>16063</v>
      </c>
    </row>
    <row r="20" spans="1:22" ht="15" customHeight="1">
      <c r="A20" s="77"/>
      <c r="B20" s="21" t="s">
        <v>34</v>
      </c>
      <c r="C20" s="202">
        <v>178863</v>
      </c>
      <c r="D20" s="202">
        <v>176054</v>
      </c>
      <c r="E20" s="87">
        <v>176052</v>
      </c>
      <c r="F20" s="87">
        <v>173841</v>
      </c>
      <c r="G20" s="87">
        <v>185072</v>
      </c>
      <c r="H20" s="87">
        <v>182976</v>
      </c>
      <c r="I20" s="87">
        <v>191885</v>
      </c>
      <c r="J20" s="87">
        <v>187431</v>
      </c>
      <c r="K20" s="87">
        <v>183763</v>
      </c>
      <c r="L20" s="87">
        <v>189918</v>
      </c>
      <c r="M20" s="473">
        <v>182850</v>
      </c>
      <c r="N20" s="473">
        <v>180188</v>
      </c>
      <c r="O20" s="473">
        <v>171566</v>
      </c>
      <c r="P20" s="473">
        <v>172240</v>
      </c>
      <c r="Q20" s="473">
        <v>181228</v>
      </c>
      <c r="R20" s="473">
        <v>188124</v>
      </c>
      <c r="S20" s="473">
        <v>186563</v>
      </c>
      <c r="T20" s="473">
        <v>187344</v>
      </c>
      <c r="U20" s="473">
        <v>186954</v>
      </c>
      <c r="V20" s="473">
        <v>187149</v>
      </c>
    </row>
    <row r="21" spans="1:22" ht="15" customHeight="1">
      <c r="A21" s="77"/>
      <c r="B21" s="21" t="s">
        <v>35</v>
      </c>
      <c r="C21" s="202">
        <v>34280</v>
      </c>
      <c r="D21" s="202">
        <v>29267</v>
      </c>
      <c r="E21" s="87">
        <v>30967</v>
      </c>
      <c r="F21" s="87">
        <v>26056</v>
      </c>
      <c r="G21" s="87">
        <v>24442</v>
      </c>
      <c r="H21" s="87">
        <v>22591</v>
      </c>
      <c r="I21" s="87">
        <v>20395</v>
      </c>
      <c r="J21" s="87">
        <v>16759</v>
      </c>
      <c r="K21" s="87">
        <v>20313</v>
      </c>
      <c r="L21" s="87">
        <v>20480</v>
      </c>
      <c r="M21" s="473">
        <v>19805</v>
      </c>
      <c r="N21" s="473">
        <v>19062</v>
      </c>
      <c r="O21" s="473">
        <v>20736</v>
      </c>
      <c r="P21" s="473">
        <v>22976</v>
      </c>
      <c r="Q21" s="473">
        <v>16611</v>
      </c>
      <c r="R21" s="473">
        <v>17620</v>
      </c>
      <c r="S21" s="473">
        <v>26786</v>
      </c>
      <c r="T21" s="473">
        <v>22203</v>
      </c>
      <c r="U21" s="473">
        <v>31937</v>
      </c>
      <c r="V21" s="473">
        <v>29379</v>
      </c>
    </row>
    <row r="22" spans="1:22" ht="15" customHeight="1">
      <c r="A22" s="77"/>
      <c r="B22" s="21" t="s">
        <v>36</v>
      </c>
      <c r="C22" s="202">
        <v>11297</v>
      </c>
      <c r="D22" s="202">
        <v>11805</v>
      </c>
      <c r="E22" s="87">
        <v>13285</v>
      </c>
      <c r="F22" s="87">
        <v>13850</v>
      </c>
      <c r="G22" s="87">
        <v>13520</v>
      </c>
      <c r="H22" s="87">
        <v>12751</v>
      </c>
      <c r="I22" s="87">
        <v>11522</v>
      </c>
      <c r="J22" s="87">
        <v>12130</v>
      </c>
      <c r="K22" s="87">
        <v>12480</v>
      </c>
      <c r="L22" s="87">
        <v>6862</v>
      </c>
      <c r="M22" s="473">
        <v>8106</v>
      </c>
      <c r="N22" s="473">
        <v>8511</v>
      </c>
      <c r="O22" s="473">
        <v>8347</v>
      </c>
      <c r="P22" s="473">
        <v>8319</v>
      </c>
      <c r="Q22" s="473">
        <v>8333</v>
      </c>
      <c r="R22" s="473">
        <v>8289</v>
      </c>
      <c r="S22" s="473">
        <v>8310</v>
      </c>
      <c r="T22" s="473">
        <v>8300</v>
      </c>
      <c r="U22" s="473">
        <v>8305</v>
      </c>
      <c r="V22" s="473">
        <v>8299</v>
      </c>
    </row>
    <row r="23" spans="1:22" ht="15" customHeight="1">
      <c r="A23" s="77"/>
      <c r="B23" s="21" t="s">
        <v>37</v>
      </c>
      <c r="C23" s="202">
        <v>13795</v>
      </c>
      <c r="D23" s="202">
        <v>15210</v>
      </c>
      <c r="E23" s="87">
        <v>15275</v>
      </c>
      <c r="F23" s="87">
        <v>17105</v>
      </c>
      <c r="G23" s="87">
        <v>18870</v>
      </c>
      <c r="H23" s="87">
        <v>18433</v>
      </c>
      <c r="I23" s="87">
        <v>20492</v>
      </c>
      <c r="J23" s="87">
        <v>20301</v>
      </c>
      <c r="K23" s="87">
        <v>19696</v>
      </c>
      <c r="L23" s="87">
        <v>17145</v>
      </c>
      <c r="M23" s="473">
        <v>17359</v>
      </c>
      <c r="N23" s="473">
        <v>18227</v>
      </c>
      <c r="O23" s="473">
        <v>17155</v>
      </c>
      <c r="P23" s="473">
        <v>17155</v>
      </c>
      <c r="Q23" s="473">
        <v>17080</v>
      </c>
      <c r="R23" s="473">
        <v>17118</v>
      </c>
      <c r="S23" s="473">
        <v>17064</v>
      </c>
      <c r="T23" s="473">
        <v>17091</v>
      </c>
      <c r="U23" s="473">
        <v>17078</v>
      </c>
      <c r="V23" s="473">
        <v>17006</v>
      </c>
    </row>
    <row r="24" spans="1:22" ht="15" customHeight="1">
      <c r="A24" s="77"/>
      <c r="B24" s="21" t="s">
        <v>38</v>
      </c>
      <c r="C24" s="202">
        <v>245589</v>
      </c>
      <c r="D24" s="202">
        <v>213196</v>
      </c>
      <c r="E24" s="87">
        <v>217816</v>
      </c>
      <c r="F24" s="87">
        <v>214034</v>
      </c>
      <c r="G24" s="87">
        <v>211965</v>
      </c>
      <c r="H24" s="87">
        <v>213910</v>
      </c>
      <c r="I24" s="87">
        <v>237522</v>
      </c>
      <c r="J24" s="87">
        <v>221616</v>
      </c>
      <c r="K24" s="87">
        <v>229707</v>
      </c>
      <c r="L24" s="87">
        <v>216976</v>
      </c>
      <c r="M24" s="473">
        <v>208087</v>
      </c>
      <c r="N24" s="473">
        <v>208978</v>
      </c>
      <c r="O24" s="473">
        <v>204583</v>
      </c>
      <c r="P24" s="473">
        <v>207710</v>
      </c>
      <c r="Q24" s="473">
        <v>192115</v>
      </c>
      <c r="R24" s="473">
        <v>170518</v>
      </c>
      <c r="S24" s="473">
        <v>171647</v>
      </c>
      <c r="T24" s="473">
        <v>170476</v>
      </c>
      <c r="U24" s="473">
        <v>159445</v>
      </c>
      <c r="V24" s="473">
        <v>134961</v>
      </c>
    </row>
    <row r="25" spans="1:22" ht="15" customHeight="1">
      <c r="A25" s="77"/>
      <c r="B25" s="21" t="s">
        <v>39</v>
      </c>
      <c r="C25" s="202">
        <v>90170</v>
      </c>
      <c r="D25" s="202">
        <v>87870</v>
      </c>
      <c r="E25" s="87">
        <v>87137</v>
      </c>
      <c r="F25" s="87">
        <v>89603</v>
      </c>
      <c r="G25" s="87">
        <v>89480</v>
      </c>
      <c r="H25" s="87">
        <v>88852</v>
      </c>
      <c r="I25" s="87">
        <v>90004</v>
      </c>
      <c r="J25" s="87">
        <v>104119</v>
      </c>
      <c r="K25" s="87">
        <v>104320</v>
      </c>
      <c r="L25" s="87">
        <v>106928</v>
      </c>
      <c r="M25" s="473">
        <v>106270</v>
      </c>
      <c r="N25" s="473">
        <v>111584</v>
      </c>
      <c r="O25" s="473">
        <v>109650</v>
      </c>
      <c r="P25" s="473">
        <v>109305</v>
      </c>
      <c r="Q25" s="473">
        <v>109518</v>
      </c>
      <c r="R25" s="473">
        <v>107810</v>
      </c>
      <c r="S25" s="473">
        <v>108668</v>
      </c>
      <c r="T25" s="473">
        <v>108239</v>
      </c>
      <c r="U25" s="473">
        <v>108213</v>
      </c>
      <c r="V25" s="473">
        <v>104351</v>
      </c>
    </row>
    <row r="26" spans="1:22" ht="15" customHeight="1">
      <c r="A26" s="77"/>
      <c r="B26" s="21" t="s">
        <v>42</v>
      </c>
      <c r="C26" s="202">
        <v>96380</v>
      </c>
      <c r="D26" s="202">
        <v>98450</v>
      </c>
      <c r="E26" s="87">
        <v>99300</v>
      </c>
      <c r="F26" s="87">
        <v>90774</v>
      </c>
      <c r="G26" s="87">
        <v>90451</v>
      </c>
      <c r="H26" s="87">
        <v>89333</v>
      </c>
      <c r="I26" s="87">
        <v>49876</v>
      </c>
      <c r="J26" s="87">
        <v>48535</v>
      </c>
      <c r="K26" s="87">
        <v>46844</v>
      </c>
      <c r="L26" s="87">
        <v>48964</v>
      </c>
      <c r="M26" s="473">
        <v>47285</v>
      </c>
      <c r="N26" s="473">
        <v>37608</v>
      </c>
      <c r="O26" s="473">
        <v>37566</v>
      </c>
      <c r="P26" s="473">
        <v>35775</v>
      </c>
      <c r="Q26" s="473">
        <v>34907</v>
      </c>
      <c r="R26" s="473">
        <v>30039</v>
      </c>
      <c r="S26" s="473">
        <v>28204</v>
      </c>
      <c r="T26" s="473">
        <v>28194</v>
      </c>
      <c r="U26" s="473">
        <v>18142</v>
      </c>
      <c r="V26" s="473">
        <v>22168</v>
      </c>
    </row>
    <row r="27" spans="1:22" ht="15" customHeight="1">
      <c r="A27" s="77"/>
      <c r="B27" s="21" t="s">
        <v>43</v>
      </c>
      <c r="C27" s="202">
        <v>0</v>
      </c>
      <c r="D27" s="202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0</v>
      </c>
      <c r="M27" s="473">
        <v>0</v>
      </c>
      <c r="N27" s="473">
        <v>0</v>
      </c>
      <c r="O27" s="473">
        <v>0</v>
      </c>
      <c r="P27" s="473">
        <v>0</v>
      </c>
      <c r="Q27" s="473">
        <v>0</v>
      </c>
      <c r="R27" s="473">
        <v>0</v>
      </c>
      <c r="S27" s="473">
        <v>0</v>
      </c>
      <c r="T27" s="473">
        <v>0</v>
      </c>
      <c r="U27" s="473">
        <v>0</v>
      </c>
      <c r="V27" s="473">
        <v>0</v>
      </c>
    </row>
    <row r="28" spans="1:22" ht="15" customHeight="1">
      <c r="A28" s="77"/>
      <c r="B28" s="76" t="s">
        <v>44</v>
      </c>
      <c r="C28" s="202">
        <v>0</v>
      </c>
      <c r="D28" s="202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0</v>
      </c>
      <c r="M28" s="473">
        <v>0</v>
      </c>
      <c r="N28" s="473">
        <v>0</v>
      </c>
      <c r="O28" s="473">
        <v>0</v>
      </c>
      <c r="P28" s="473">
        <v>0</v>
      </c>
      <c r="Q28" s="473">
        <v>0</v>
      </c>
      <c r="R28" s="473">
        <v>0</v>
      </c>
      <c r="S28" s="473">
        <v>0</v>
      </c>
      <c r="T28" s="473">
        <v>0</v>
      </c>
      <c r="U28" s="473">
        <v>0</v>
      </c>
      <c r="V28" s="473">
        <v>0</v>
      </c>
    </row>
    <row r="29" spans="1:22" ht="15" customHeight="1">
      <c r="A29" s="77"/>
      <c r="B29" s="21" t="s">
        <v>45</v>
      </c>
      <c r="C29" s="202">
        <v>0</v>
      </c>
      <c r="D29" s="202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280</v>
      </c>
      <c r="M29" s="473">
        <v>310</v>
      </c>
      <c r="N29" s="473">
        <v>350</v>
      </c>
      <c r="O29" s="473">
        <v>360</v>
      </c>
      <c r="P29" s="473">
        <v>268</v>
      </c>
      <c r="Q29" s="473">
        <v>291</v>
      </c>
      <c r="R29" s="473">
        <v>280</v>
      </c>
      <c r="S29" s="473">
        <v>290</v>
      </c>
      <c r="T29" s="473">
        <v>285</v>
      </c>
      <c r="U29" s="473">
        <v>296</v>
      </c>
      <c r="V29" s="473">
        <v>227</v>
      </c>
    </row>
    <row r="30" spans="1:22" ht="15" customHeight="1">
      <c r="A30" s="77"/>
      <c r="B30" s="21" t="s">
        <v>46</v>
      </c>
      <c r="C30" s="202">
        <v>0</v>
      </c>
      <c r="D30" s="202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134</v>
      </c>
      <c r="M30" s="473">
        <v>140</v>
      </c>
      <c r="N30" s="473">
        <v>148</v>
      </c>
      <c r="O30" s="473">
        <v>150</v>
      </c>
      <c r="P30" s="473">
        <v>160</v>
      </c>
      <c r="Q30" s="473">
        <v>170</v>
      </c>
      <c r="R30" s="473">
        <v>178</v>
      </c>
      <c r="S30" s="473">
        <v>182</v>
      </c>
      <c r="T30" s="473">
        <v>180</v>
      </c>
      <c r="U30" s="473">
        <v>186</v>
      </c>
      <c r="V30" s="473">
        <v>194</v>
      </c>
    </row>
    <row r="31" spans="1:22" ht="15" customHeight="1" thickBot="1">
      <c r="A31" s="82"/>
      <c r="B31" s="434" t="s">
        <v>47</v>
      </c>
      <c r="C31" s="438">
        <v>0</v>
      </c>
      <c r="D31" s="438">
        <v>0</v>
      </c>
      <c r="E31" s="474">
        <v>0</v>
      </c>
      <c r="F31" s="474">
        <v>0</v>
      </c>
      <c r="G31" s="474">
        <v>0</v>
      </c>
      <c r="H31" s="474">
        <v>0</v>
      </c>
      <c r="I31" s="474">
        <v>0</v>
      </c>
      <c r="J31" s="474">
        <v>0</v>
      </c>
      <c r="K31" s="474">
        <v>0</v>
      </c>
      <c r="L31" s="474">
        <v>175</v>
      </c>
      <c r="M31" s="475">
        <v>179</v>
      </c>
      <c r="N31" s="475">
        <v>186</v>
      </c>
      <c r="O31" s="475">
        <v>195</v>
      </c>
      <c r="P31" s="475">
        <v>200</v>
      </c>
      <c r="Q31" s="475">
        <v>220</v>
      </c>
      <c r="R31" s="475">
        <v>210</v>
      </c>
      <c r="S31" s="475">
        <v>220</v>
      </c>
      <c r="T31" s="475">
        <v>215</v>
      </c>
      <c r="U31" s="475">
        <v>220</v>
      </c>
      <c r="V31" s="475">
        <v>242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  <c r="R35" s="78"/>
      <c r="S35" s="78"/>
      <c r="T35" s="78"/>
      <c r="U35" s="78"/>
      <c r="V35" s="78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  <c r="R36" s="78"/>
      <c r="S36" s="78"/>
      <c r="T36" s="78"/>
      <c r="U36" s="78"/>
      <c r="V36" s="78"/>
    </row>
    <row r="37" spans="1:22" ht="13.25" customHeight="1">
      <c r="R37" s="78"/>
      <c r="S37" s="78"/>
      <c r="T37" s="78"/>
      <c r="U37" s="78"/>
      <c r="V37" s="78"/>
    </row>
    <row r="38" spans="1:22" ht="13.25" customHeight="1">
      <c r="R38" s="78"/>
      <c r="S38" s="78"/>
      <c r="T38" s="78"/>
      <c r="U38" s="78"/>
      <c r="V38" s="78"/>
    </row>
    <row r="39" spans="1:22" ht="13.25" customHeight="1">
      <c r="R39" s="78"/>
      <c r="S39" s="78"/>
      <c r="T39" s="78"/>
      <c r="U39" s="78"/>
      <c r="V39" s="78"/>
    </row>
    <row r="40" spans="1:22" ht="13.25" customHeight="1">
      <c r="R40" s="78"/>
      <c r="S40" s="78"/>
      <c r="T40" s="78"/>
      <c r="U40" s="78"/>
      <c r="V40" s="78"/>
    </row>
    <row r="41" spans="1:22" ht="13.25" customHeight="1">
      <c r="R41" s="78"/>
      <c r="S41" s="78"/>
      <c r="T41" s="78"/>
      <c r="U41" s="78"/>
      <c r="V41" s="78"/>
    </row>
    <row r="42" spans="1:22" ht="13.25" customHeight="1">
      <c r="R42" s="78"/>
      <c r="S42" s="78"/>
      <c r="T42" s="78"/>
      <c r="U42" s="78"/>
      <c r="V42" s="78"/>
    </row>
    <row r="43" spans="1:22" ht="13.25" customHeight="1">
      <c r="R43" s="78"/>
      <c r="S43" s="78"/>
      <c r="T43" s="78"/>
      <c r="U43" s="78"/>
      <c r="V43" s="78"/>
    </row>
    <row r="44" spans="1:22" ht="13.25" customHeight="1">
      <c r="R44" s="78"/>
      <c r="S44" s="78"/>
      <c r="T44" s="78"/>
      <c r="U44" s="78"/>
      <c r="V44" s="78"/>
    </row>
    <row r="45" spans="1:22" ht="13.25" customHeight="1">
      <c r="R45" s="78"/>
      <c r="S45" s="78"/>
      <c r="T45" s="78"/>
      <c r="U45" s="78"/>
      <c r="V45" s="78"/>
    </row>
    <row r="46" spans="1:22" ht="13.25" customHeight="1">
      <c r="R46" s="78"/>
      <c r="S46" s="78"/>
      <c r="T46" s="78"/>
      <c r="U46" s="78"/>
      <c r="V46" s="78"/>
    </row>
    <row r="47" spans="1:22" ht="13.25" customHeight="1">
      <c r="R47" s="78"/>
      <c r="S47" s="78"/>
      <c r="T47" s="78"/>
      <c r="U47" s="78"/>
      <c r="V47" s="78"/>
    </row>
    <row r="48" spans="1:22" ht="13.25" customHeight="1">
      <c r="R48" s="78"/>
      <c r="S48" s="78"/>
      <c r="T48" s="78"/>
      <c r="U48" s="78"/>
      <c r="V48" s="78"/>
    </row>
    <row r="49" spans="18:22" ht="13.25" customHeight="1">
      <c r="R49" s="78"/>
      <c r="S49" s="78"/>
      <c r="T49" s="78"/>
      <c r="U49" s="78"/>
      <c r="V49" s="78"/>
    </row>
    <row r="50" spans="18:22" ht="13.25" customHeight="1">
      <c r="R50" s="78"/>
      <c r="S50" s="78"/>
      <c r="T50" s="78"/>
      <c r="U50" s="78"/>
      <c r="V50" s="78"/>
    </row>
    <row r="51" spans="18:22" ht="13.25" customHeight="1">
      <c r="R51" s="78"/>
      <c r="S51" s="78"/>
      <c r="T51" s="78"/>
      <c r="U51" s="78"/>
      <c r="V51" s="78"/>
    </row>
    <row r="52" spans="18:22" ht="13.25" customHeight="1">
      <c r="R52" s="78"/>
      <c r="S52" s="78"/>
      <c r="T52" s="78"/>
      <c r="U52" s="78"/>
      <c r="V52" s="78"/>
    </row>
    <row r="53" spans="18:22" ht="13.25" customHeight="1">
      <c r="R53" s="78"/>
      <c r="S53" s="78"/>
      <c r="T53" s="78"/>
      <c r="U53" s="78"/>
      <c r="V53" s="78"/>
    </row>
    <row r="54" spans="18:22" ht="13.25" customHeight="1">
      <c r="R54" s="78"/>
      <c r="S54" s="78"/>
      <c r="T54" s="78"/>
      <c r="U54" s="78"/>
      <c r="V54" s="78"/>
    </row>
    <row r="55" spans="18:22" ht="13.25" customHeight="1">
      <c r="R55" s="78"/>
      <c r="S55" s="78"/>
      <c r="T55" s="78"/>
      <c r="U55" s="78"/>
      <c r="V55" s="78"/>
    </row>
    <row r="56" spans="18:22" ht="13.25" customHeight="1">
      <c r="R56" s="78"/>
      <c r="S56" s="78"/>
      <c r="T56" s="78"/>
      <c r="U56" s="78"/>
      <c r="V56" s="78"/>
    </row>
    <row r="57" spans="18:22" ht="13.25" customHeight="1">
      <c r="R57" s="78"/>
      <c r="S57" s="78"/>
      <c r="T57" s="78"/>
      <c r="U57" s="78"/>
      <c r="V57" s="78"/>
    </row>
    <row r="58" spans="18:22" ht="13.25" customHeight="1">
      <c r="R58" s="78"/>
      <c r="S58" s="78"/>
      <c r="T58" s="78"/>
      <c r="U58" s="78"/>
      <c r="V58" s="78"/>
    </row>
    <row r="59" spans="18:22" ht="13.25" customHeight="1">
      <c r="R59" s="78"/>
      <c r="S59" s="78"/>
      <c r="T59" s="78"/>
      <c r="U59" s="78"/>
      <c r="V59" s="78"/>
    </row>
    <row r="60" spans="18:22" ht="13.25" customHeight="1">
      <c r="R60" s="78"/>
      <c r="S60" s="78"/>
      <c r="T60" s="78"/>
      <c r="U60" s="78"/>
      <c r="V60" s="78"/>
    </row>
    <row r="61" spans="18:22" ht="13.25" customHeight="1">
      <c r="R61" s="78"/>
      <c r="S61" s="78"/>
      <c r="T61" s="78"/>
      <c r="U61" s="78"/>
      <c r="V61" s="78"/>
    </row>
    <row r="62" spans="18:22" ht="13.25" customHeight="1">
      <c r="R62" s="78"/>
      <c r="S62" s="78"/>
      <c r="T62" s="78"/>
      <c r="U62" s="78"/>
      <c r="V62" s="78"/>
    </row>
    <row r="63" spans="18:22" ht="13.25" customHeight="1">
      <c r="R63" s="78"/>
      <c r="S63" s="78"/>
      <c r="T63" s="78"/>
      <c r="U63" s="78"/>
      <c r="V63" s="78"/>
    </row>
    <row r="64" spans="18:22" ht="13.25" customHeight="1">
      <c r="R64" s="78"/>
      <c r="S64" s="78"/>
      <c r="T64" s="78"/>
      <c r="U64" s="78"/>
      <c r="V64" s="78"/>
    </row>
    <row r="65" spans="18:22" ht="13.25" customHeight="1">
      <c r="R65" s="78"/>
      <c r="S65" s="78"/>
      <c r="T65" s="78"/>
      <c r="U65" s="78"/>
      <c r="V65" s="78"/>
    </row>
    <row r="66" spans="18:22" ht="13.25" customHeight="1">
      <c r="R66" s="78"/>
      <c r="S66" s="78"/>
      <c r="T66" s="78"/>
      <c r="U66" s="78"/>
      <c r="V66" s="78"/>
    </row>
    <row r="67" spans="18:22" ht="13.25" customHeight="1">
      <c r="R67" s="78"/>
      <c r="S67" s="78"/>
      <c r="T67" s="78"/>
      <c r="U67" s="78"/>
      <c r="V67" s="7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3">
    <tabColor theme="9" tint="0.59999389629810485"/>
  </sheetPr>
  <dimension ref="A2:W36"/>
  <sheetViews>
    <sheetView showGridLines="0" zoomScaleNormal="100" workbookViewId="0">
      <selection activeCell="H17" sqref="H17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6.796875" style="76" customWidth="1"/>
    <col min="23" max="23" width="7.3984375" style="76" customWidth="1"/>
    <col min="24" max="16384" width="7" style="76"/>
  </cols>
  <sheetData>
    <row r="2" spans="1:23" ht="17.25" customHeight="1">
      <c r="A2" s="210" t="s">
        <v>570</v>
      </c>
      <c r="B2" s="211"/>
    </row>
    <row r="3" spans="1:23" ht="13.25" customHeight="1">
      <c r="A3" s="212" t="s">
        <v>211</v>
      </c>
      <c r="B3" s="212"/>
    </row>
    <row r="4" spans="1:23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</row>
    <row r="5" spans="1:23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3" ht="18" customHeight="1">
      <c r="A6" s="1020" t="s">
        <v>93</v>
      </c>
      <c r="B6" s="1020"/>
      <c r="C6" s="632">
        <f t="shared" ref="C6:N6" si="0">(C8+C9+C10+C11+C12+C13+C14+C15+C16+C17+C18+C19+C20+C21+C22+C23+C24+C25+C26+C27+C28+C29+C30+C31)</f>
        <v>527096</v>
      </c>
      <c r="D6" s="632">
        <f t="shared" si="0"/>
        <v>518663</v>
      </c>
      <c r="E6" s="629">
        <f t="shared" si="0"/>
        <v>506927</v>
      </c>
      <c r="F6" s="629">
        <f t="shared" si="0"/>
        <v>496706</v>
      </c>
      <c r="G6" s="629">
        <f t="shared" si="0"/>
        <v>505880</v>
      </c>
      <c r="H6" s="629">
        <f t="shared" si="0"/>
        <v>499447</v>
      </c>
      <c r="I6" s="629">
        <f t="shared" si="0"/>
        <v>489915</v>
      </c>
      <c r="J6" s="629">
        <f t="shared" si="0"/>
        <v>496626</v>
      </c>
      <c r="K6" s="629">
        <f t="shared" si="0"/>
        <v>505262</v>
      </c>
      <c r="L6" s="629">
        <f t="shared" si="0"/>
        <v>489956</v>
      </c>
      <c r="M6" s="629">
        <f t="shared" si="0"/>
        <v>464018</v>
      </c>
      <c r="N6" s="629">
        <f t="shared" si="0"/>
        <v>458811</v>
      </c>
      <c r="O6" s="629">
        <f t="shared" ref="O6:V6" si="1">(O8+O9+O10+O11+O12+O13+O14+O15+O16+O17+O18+O19+O20+O21+O22+O23+O24+O25+O26+O27+O28+O29+O30+O31)</f>
        <v>444799</v>
      </c>
      <c r="P6" s="629">
        <f t="shared" si="1"/>
        <v>410567</v>
      </c>
      <c r="Q6" s="629">
        <f t="shared" si="1"/>
        <v>411441</v>
      </c>
      <c r="R6" s="629">
        <f t="shared" si="1"/>
        <v>392865.38</v>
      </c>
      <c r="S6" s="629">
        <f t="shared" si="1"/>
        <v>390291.63535673812</v>
      </c>
      <c r="T6" s="629">
        <f t="shared" ref="T6:U6" si="2">(T8+T9+T10+T11+T12+T13+T14+T15+T16+T17+T18+T19+T20+T21+T22+T23+T24+T25+T26+T27+T28+T29+T30+T31)</f>
        <v>390293.62560000003</v>
      </c>
      <c r="U6" s="629">
        <f t="shared" si="2"/>
        <v>388995.12560000003</v>
      </c>
      <c r="V6" s="629">
        <f t="shared" si="1"/>
        <v>392831.12560000003</v>
      </c>
    </row>
    <row r="7" spans="1:23" ht="3" customHeight="1">
      <c r="A7" s="77"/>
      <c r="B7" s="78"/>
      <c r="C7" s="213"/>
      <c r="D7" s="21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</row>
    <row r="8" spans="1:23" ht="15" customHeight="1">
      <c r="A8" s="77"/>
      <c r="B8" s="21" t="s">
        <v>19</v>
      </c>
      <c r="C8" s="214">
        <v>22914</v>
      </c>
      <c r="D8" s="214">
        <v>20617</v>
      </c>
      <c r="E8" s="202">
        <v>17664</v>
      </c>
      <c r="F8" s="202">
        <v>16080</v>
      </c>
      <c r="G8" s="202">
        <v>19470</v>
      </c>
      <c r="H8" s="202">
        <v>20921</v>
      </c>
      <c r="I8" s="202">
        <v>21074</v>
      </c>
      <c r="J8" s="202">
        <v>21403</v>
      </c>
      <c r="K8" s="202">
        <v>21022</v>
      </c>
      <c r="L8" s="202">
        <v>25563</v>
      </c>
      <c r="M8" s="163">
        <v>21596</v>
      </c>
      <c r="N8" s="163">
        <v>18127</v>
      </c>
      <c r="O8" s="163">
        <v>32867</v>
      </c>
      <c r="P8" s="163">
        <v>25750</v>
      </c>
      <c r="Q8" s="163">
        <v>22337</v>
      </c>
      <c r="R8" s="163">
        <v>18938.32</v>
      </c>
      <c r="S8" s="163">
        <v>18005</v>
      </c>
      <c r="T8" s="163">
        <v>18318</v>
      </c>
      <c r="U8" s="163">
        <v>24128</v>
      </c>
      <c r="V8" s="163">
        <v>21954</v>
      </c>
    </row>
    <row r="9" spans="1:23" ht="15" customHeight="1">
      <c r="A9" s="77"/>
      <c r="B9" s="21" t="s">
        <v>20</v>
      </c>
      <c r="C9" s="214">
        <v>149460</v>
      </c>
      <c r="D9" s="214">
        <v>159867</v>
      </c>
      <c r="E9" s="202">
        <v>145635</v>
      </c>
      <c r="F9" s="202">
        <v>149857</v>
      </c>
      <c r="G9" s="202">
        <v>139553</v>
      </c>
      <c r="H9" s="202">
        <v>137022</v>
      </c>
      <c r="I9" s="202">
        <v>129182</v>
      </c>
      <c r="J9" s="202">
        <v>134568</v>
      </c>
      <c r="K9" s="202">
        <v>127787</v>
      </c>
      <c r="L9" s="202">
        <v>124725</v>
      </c>
      <c r="M9" s="163">
        <v>117178</v>
      </c>
      <c r="N9" s="163">
        <v>110964</v>
      </c>
      <c r="O9" s="163">
        <v>94622</v>
      </c>
      <c r="P9" s="163">
        <v>86591</v>
      </c>
      <c r="Q9" s="163">
        <v>93286</v>
      </c>
      <c r="R9" s="163">
        <v>95060</v>
      </c>
      <c r="S9" s="163">
        <v>91624.251175377896</v>
      </c>
      <c r="T9" s="163">
        <v>96548.1</v>
      </c>
      <c r="U9" s="163">
        <v>93179</v>
      </c>
      <c r="V9" s="163">
        <v>97958</v>
      </c>
      <c r="W9" s="84"/>
    </row>
    <row r="10" spans="1:23" ht="15" customHeight="1">
      <c r="A10" s="77"/>
      <c r="B10" s="21" t="s">
        <v>21</v>
      </c>
      <c r="C10" s="214">
        <v>41274</v>
      </c>
      <c r="D10" s="214">
        <v>38081</v>
      </c>
      <c r="E10" s="202">
        <v>38353</v>
      </c>
      <c r="F10" s="202">
        <v>32319</v>
      </c>
      <c r="G10" s="202">
        <v>39267</v>
      </c>
      <c r="H10" s="202">
        <v>34248</v>
      </c>
      <c r="I10" s="202">
        <v>32953</v>
      </c>
      <c r="J10" s="202">
        <v>24637</v>
      </c>
      <c r="K10" s="202">
        <v>24143</v>
      </c>
      <c r="L10" s="202">
        <v>26199</v>
      </c>
      <c r="M10" s="202">
        <v>20821</v>
      </c>
      <c r="N10" s="202">
        <v>19370</v>
      </c>
      <c r="O10" s="202">
        <v>30600</v>
      </c>
      <c r="P10" s="202">
        <v>27998</v>
      </c>
      <c r="Q10" s="202">
        <v>26996</v>
      </c>
      <c r="R10" s="202">
        <v>22921.439999999999</v>
      </c>
      <c r="S10" s="202">
        <v>20843.36</v>
      </c>
      <c r="T10" s="202">
        <v>17887</v>
      </c>
      <c r="U10" s="202">
        <v>19240</v>
      </c>
      <c r="V10" s="202">
        <v>17957</v>
      </c>
      <c r="W10" s="84"/>
    </row>
    <row r="11" spans="1:23" ht="15" customHeight="1">
      <c r="A11" s="77"/>
      <c r="B11" s="21" t="s">
        <v>22</v>
      </c>
      <c r="C11" s="214">
        <v>41250</v>
      </c>
      <c r="D11" s="214">
        <v>42572</v>
      </c>
      <c r="E11" s="202">
        <v>42758</v>
      </c>
      <c r="F11" s="202">
        <v>43874</v>
      </c>
      <c r="G11" s="202">
        <v>44198</v>
      </c>
      <c r="H11" s="202">
        <v>44529</v>
      </c>
      <c r="I11" s="202">
        <v>44768</v>
      </c>
      <c r="J11" s="202">
        <v>44998</v>
      </c>
      <c r="K11" s="202">
        <v>45374</v>
      </c>
      <c r="L11" s="202">
        <v>45895</v>
      </c>
      <c r="M11" s="163">
        <v>47182</v>
      </c>
      <c r="N11" s="163">
        <v>47693</v>
      </c>
      <c r="O11" s="163">
        <v>37209</v>
      </c>
      <c r="P11" s="163">
        <v>36726</v>
      </c>
      <c r="Q11" s="163">
        <v>35654</v>
      </c>
      <c r="R11" s="163">
        <v>37143</v>
      </c>
      <c r="S11" s="163">
        <v>37305</v>
      </c>
      <c r="T11" s="163">
        <v>34765</v>
      </c>
      <c r="U11" s="163">
        <v>35316</v>
      </c>
      <c r="V11" s="163">
        <v>35659</v>
      </c>
      <c r="W11" s="84"/>
    </row>
    <row r="12" spans="1:23" ht="15" customHeight="1">
      <c r="A12" s="77"/>
      <c r="B12" s="21" t="s">
        <v>23</v>
      </c>
      <c r="C12" s="214">
        <v>27525</v>
      </c>
      <c r="D12" s="214">
        <v>28734</v>
      </c>
      <c r="E12" s="202">
        <v>29177</v>
      </c>
      <c r="F12" s="202">
        <v>27350</v>
      </c>
      <c r="G12" s="202">
        <v>27705</v>
      </c>
      <c r="H12" s="202">
        <v>29810</v>
      </c>
      <c r="I12" s="202">
        <v>30574</v>
      </c>
      <c r="J12" s="202">
        <v>28576</v>
      </c>
      <c r="K12" s="202">
        <v>28313</v>
      </c>
      <c r="L12" s="202">
        <v>27139</v>
      </c>
      <c r="M12" s="163">
        <v>28125</v>
      </c>
      <c r="N12" s="163">
        <v>32585</v>
      </c>
      <c r="O12" s="163">
        <v>28609</v>
      </c>
      <c r="P12" s="163">
        <v>28894</v>
      </c>
      <c r="Q12" s="163">
        <v>29102</v>
      </c>
      <c r="R12" s="163">
        <v>23891.62</v>
      </c>
      <c r="S12" s="163">
        <v>23407</v>
      </c>
      <c r="T12" s="163">
        <v>24415</v>
      </c>
      <c r="U12" s="163">
        <v>21747</v>
      </c>
      <c r="V12" s="163">
        <v>21386</v>
      </c>
      <c r="W12" s="84"/>
    </row>
    <row r="13" spans="1:23" ht="15" customHeight="1">
      <c r="A13" s="77"/>
      <c r="B13" s="21" t="s">
        <v>27</v>
      </c>
      <c r="C13" s="214">
        <v>2346</v>
      </c>
      <c r="D13" s="214">
        <v>2380</v>
      </c>
      <c r="E13" s="202">
        <v>2699</v>
      </c>
      <c r="F13" s="202">
        <v>2298</v>
      </c>
      <c r="G13" s="202">
        <v>2738</v>
      </c>
      <c r="H13" s="202">
        <v>3728</v>
      </c>
      <c r="I13" s="202">
        <v>3946</v>
      </c>
      <c r="J13" s="202">
        <v>4013</v>
      </c>
      <c r="K13" s="202">
        <v>3917</v>
      </c>
      <c r="L13" s="202">
        <v>4230</v>
      </c>
      <c r="M13" s="202">
        <v>4631</v>
      </c>
      <c r="N13" s="202">
        <v>4630</v>
      </c>
      <c r="O13" s="202">
        <v>4507</v>
      </c>
      <c r="P13" s="202">
        <v>4572</v>
      </c>
      <c r="Q13" s="202">
        <v>4816</v>
      </c>
      <c r="R13" s="202">
        <v>4182</v>
      </c>
      <c r="S13" s="202">
        <v>4290</v>
      </c>
      <c r="T13" s="202">
        <v>4582</v>
      </c>
      <c r="U13" s="202">
        <v>4775</v>
      </c>
      <c r="V13" s="202">
        <v>5132</v>
      </c>
      <c r="W13" s="84"/>
    </row>
    <row r="14" spans="1:23" ht="15" customHeight="1">
      <c r="A14" s="77"/>
      <c r="B14" s="21" t="s">
        <v>28</v>
      </c>
      <c r="C14" s="214">
        <v>19563</v>
      </c>
      <c r="D14" s="214">
        <v>19014</v>
      </c>
      <c r="E14" s="202">
        <v>16693</v>
      </c>
      <c r="F14" s="202">
        <v>16955</v>
      </c>
      <c r="G14" s="202">
        <v>13600</v>
      </c>
      <c r="H14" s="202">
        <v>15129</v>
      </c>
      <c r="I14" s="202">
        <v>13930</v>
      </c>
      <c r="J14" s="202">
        <v>14469</v>
      </c>
      <c r="K14" s="202">
        <v>14919</v>
      </c>
      <c r="L14" s="202">
        <v>14869</v>
      </c>
      <c r="M14" s="163">
        <v>16739</v>
      </c>
      <c r="N14" s="163">
        <v>20343</v>
      </c>
      <c r="O14" s="163">
        <v>20432</v>
      </c>
      <c r="P14" s="163">
        <v>20565</v>
      </c>
      <c r="Q14" s="163">
        <v>20509</v>
      </c>
      <c r="R14" s="163">
        <v>19925</v>
      </c>
      <c r="S14" s="163">
        <v>20114</v>
      </c>
      <c r="T14" s="163">
        <v>20332</v>
      </c>
      <c r="U14" s="163">
        <v>20958</v>
      </c>
      <c r="V14" s="163">
        <v>21885</v>
      </c>
      <c r="W14" s="84"/>
    </row>
    <row r="15" spans="1:23" ht="15" customHeight="1">
      <c r="A15" s="77"/>
      <c r="B15" s="21" t="s">
        <v>29</v>
      </c>
      <c r="C15" s="214">
        <v>55950</v>
      </c>
      <c r="D15" s="214">
        <v>54403</v>
      </c>
      <c r="E15" s="202">
        <v>53532</v>
      </c>
      <c r="F15" s="202">
        <v>53005</v>
      </c>
      <c r="G15" s="202">
        <v>53710</v>
      </c>
      <c r="H15" s="202">
        <v>52654</v>
      </c>
      <c r="I15" s="202">
        <v>55445</v>
      </c>
      <c r="J15" s="202">
        <v>57039</v>
      </c>
      <c r="K15" s="202">
        <v>59796</v>
      </c>
      <c r="L15" s="202">
        <v>60713</v>
      </c>
      <c r="M15" s="163">
        <v>56179</v>
      </c>
      <c r="N15" s="163">
        <v>52628</v>
      </c>
      <c r="O15" s="163">
        <v>48379</v>
      </c>
      <c r="P15" s="163">
        <v>40586</v>
      </c>
      <c r="Q15" s="163">
        <v>40739</v>
      </c>
      <c r="R15" s="163">
        <v>37543</v>
      </c>
      <c r="S15" s="163">
        <v>35830</v>
      </c>
      <c r="T15" s="163">
        <v>35626</v>
      </c>
      <c r="U15" s="163">
        <v>36612</v>
      </c>
      <c r="V15" s="163">
        <v>39384</v>
      </c>
      <c r="W15" s="84"/>
    </row>
    <row r="16" spans="1:23" ht="15" customHeight="1">
      <c r="A16" s="77"/>
      <c r="B16" s="21" t="s">
        <v>30</v>
      </c>
      <c r="C16" s="214">
        <v>17350</v>
      </c>
      <c r="D16" s="214">
        <v>17706</v>
      </c>
      <c r="E16" s="202">
        <v>17125</v>
      </c>
      <c r="F16" s="202">
        <v>16342</v>
      </c>
      <c r="G16" s="202">
        <v>15674</v>
      </c>
      <c r="H16" s="202">
        <v>15049</v>
      </c>
      <c r="I16" s="202">
        <v>14840</v>
      </c>
      <c r="J16" s="202">
        <v>15978</v>
      </c>
      <c r="K16" s="202">
        <v>16498</v>
      </c>
      <c r="L16" s="202">
        <v>17691</v>
      </c>
      <c r="M16" s="202">
        <v>16592</v>
      </c>
      <c r="N16" s="202">
        <v>16670</v>
      </c>
      <c r="O16" s="202">
        <v>14913</v>
      </c>
      <c r="P16" s="202">
        <v>14133</v>
      </c>
      <c r="Q16" s="202">
        <v>17363</v>
      </c>
      <c r="R16" s="202">
        <v>19360</v>
      </c>
      <c r="S16" s="202">
        <v>23824.424181360202</v>
      </c>
      <c r="T16" s="202">
        <v>23441</v>
      </c>
      <c r="U16" s="202">
        <v>22475</v>
      </c>
      <c r="V16" s="202">
        <v>21374</v>
      </c>
      <c r="W16" s="84"/>
    </row>
    <row r="17" spans="1:23" ht="15" customHeight="1">
      <c r="A17" s="77"/>
      <c r="B17" s="21" t="s">
        <v>31</v>
      </c>
      <c r="C17" s="214">
        <v>15218</v>
      </c>
      <c r="D17" s="214">
        <v>16580</v>
      </c>
      <c r="E17" s="202">
        <v>19147</v>
      </c>
      <c r="F17" s="202">
        <v>20484</v>
      </c>
      <c r="G17" s="202">
        <v>24021</v>
      </c>
      <c r="H17" s="202">
        <v>23936</v>
      </c>
      <c r="I17" s="202">
        <v>22276</v>
      </c>
      <c r="J17" s="202">
        <v>22265</v>
      </c>
      <c r="K17" s="202">
        <v>23407</v>
      </c>
      <c r="L17" s="202">
        <v>25115</v>
      </c>
      <c r="M17" s="163">
        <v>23243</v>
      </c>
      <c r="N17" s="163">
        <v>24427</v>
      </c>
      <c r="O17" s="163">
        <v>26502</v>
      </c>
      <c r="P17" s="163">
        <v>25971</v>
      </c>
      <c r="Q17" s="163">
        <v>23327</v>
      </c>
      <c r="R17" s="163">
        <v>23261</v>
      </c>
      <c r="S17" s="163">
        <v>24055</v>
      </c>
      <c r="T17" s="163">
        <v>24833</v>
      </c>
      <c r="U17" s="163">
        <v>24868</v>
      </c>
      <c r="V17" s="163">
        <v>27535</v>
      </c>
      <c r="W17" s="84"/>
    </row>
    <row r="18" spans="1:23" ht="15" customHeight="1">
      <c r="A18" s="77"/>
      <c r="B18" s="21" t="s">
        <v>32</v>
      </c>
      <c r="C18" s="214">
        <v>1054</v>
      </c>
      <c r="D18" s="214">
        <v>1389</v>
      </c>
      <c r="E18" s="202">
        <v>2906</v>
      </c>
      <c r="F18" s="202">
        <v>2403</v>
      </c>
      <c r="G18" s="202">
        <v>2225</v>
      </c>
      <c r="H18" s="202">
        <v>2348</v>
      </c>
      <c r="I18" s="202">
        <v>2561</v>
      </c>
      <c r="J18" s="202">
        <v>2932</v>
      </c>
      <c r="K18" s="202">
        <v>1867</v>
      </c>
      <c r="L18" s="202">
        <v>1771</v>
      </c>
      <c r="M18" s="163">
        <v>1485</v>
      </c>
      <c r="N18" s="163">
        <v>1281</v>
      </c>
      <c r="O18" s="163">
        <v>1189</v>
      </c>
      <c r="P18" s="163">
        <v>1109</v>
      </c>
      <c r="Q18" s="163">
        <v>1059</v>
      </c>
      <c r="R18" s="163">
        <v>955</v>
      </c>
      <c r="S18" s="163">
        <v>1037</v>
      </c>
      <c r="T18" s="163">
        <v>1038</v>
      </c>
      <c r="U18" s="163">
        <v>1160</v>
      </c>
      <c r="V18" s="163">
        <v>1235</v>
      </c>
      <c r="W18" s="84"/>
    </row>
    <row r="19" spans="1:23" ht="15" customHeight="1">
      <c r="A19" s="77"/>
      <c r="B19" s="21" t="s">
        <v>33</v>
      </c>
      <c r="C19" s="214">
        <v>1420</v>
      </c>
      <c r="D19" s="214">
        <v>1280</v>
      </c>
      <c r="E19" s="202">
        <v>1373</v>
      </c>
      <c r="F19" s="202">
        <v>1501</v>
      </c>
      <c r="G19" s="202">
        <v>1351</v>
      </c>
      <c r="H19" s="202">
        <v>1619</v>
      </c>
      <c r="I19" s="202">
        <v>1894</v>
      </c>
      <c r="J19" s="202">
        <v>2373</v>
      </c>
      <c r="K19" s="202">
        <v>2418</v>
      </c>
      <c r="L19" s="202">
        <v>2938</v>
      </c>
      <c r="M19" s="163">
        <v>3651</v>
      </c>
      <c r="N19" s="163">
        <v>3905</v>
      </c>
      <c r="O19" s="163">
        <v>4659</v>
      </c>
      <c r="P19" s="163">
        <v>5357</v>
      </c>
      <c r="Q19" s="163">
        <v>3585</v>
      </c>
      <c r="R19" s="163">
        <v>3158</v>
      </c>
      <c r="S19" s="163">
        <v>3716</v>
      </c>
      <c r="T19" s="163">
        <v>4040</v>
      </c>
      <c r="U19" s="163">
        <v>3855</v>
      </c>
      <c r="V19" s="163">
        <v>4172</v>
      </c>
      <c r="W19" s="84"/>
    </row>
    <row r="20" spans="1:23" ht="15" customHeight="1">
      <c r="A20" s="77"/>
      <c r="B20" s="21" t="s">
        <v>34</v>
      </c>
      <c r="C20" s="214">
        <v>47510</v>
      </c>
      <c r="D20" s="214">
        <v>34795</v>
      </c>
      <c r="E20" s="202">
        <v>34292</v>
      </c>
      <c r="F20" s="202">
        <v>33169</v>
      </c>
      <c r="G20" s="202">
        <v>40800</v>
      </c>
      <c r="H20" s="202">
        <v>35925</v>
      </c>
      <c r="I20" s="202">
        <v>30234</v>
      </c>
      <c r="J20" s="202">
        <v>34362</v>
      </c>
      <c r="K20" s="202">
        <v>43834</v>
      </c>
      <c r="L20" s="202">
        <v>42600</v>
      </c>
      <c r="M20" s="163">
        <v>36463</v>
      </c>
      <c r="N20" s="163">
        <v>30127</v>
      </c>
      <c r="O20" s="163">
        <v>28698</v>
      </c>
      <c r="P20" s="163">
        <v>24103</v>
      </c>
      <c r="Q20" s="163">
        <v>25727</v>
      </c>
      <c r="R20" s="163">
        <v>23387</v>
      </c>
      <c r="S20" s="163">
        <v>22844.3</v>
      </c>
      <c r="T20" s="163">
        <v>21540.400000000001</v>
      </c>
      <c r="U20" s="163">
        <v>19096</v>
      </c>
      <c r="V20" s="163">
        <v>19294</v>
      </c>
      <c r="W20" s="84"/>
    </row>
    <row r="21" spans="1:23" ht="15" customHeight="1">
      <c r="A21" s="77"/>
      <c r="B21" s="21" t="s">
        <v>35</v>
      </c>
      <c r="C21" s="214">
        <v>9620</v>
      </c>
      <c r="D21" s="214">
        <v>9123</v>
      </c>
      <c r="E21" s="202">
        <v>11626</v>
      </c>
      <c r="F21" s="202">
        <v>9382</v>
      </c>
      <c r="G21" s="202">
        <v>7198</v>
      </c>
      <c r="H21" s="202">
        <v>5668</v>
      </c>
      <c r="I21" s="202">
        <v>5295</v>
      </c>
      <c r="J21" s="202">
        <v>5597</v>
      </c>
      <c r="K21" s="202">
        <v>7157</v>
      </c>
      <c r="L21" s="202">
        <v>8161</v>
      </c>
      <c r="M21" s="163">
        <v>8951</v>
      </c>
      <c r="N21" s="163">
        <v>15265</v>
      </c>
      <c r="O21" s="163">
        <v>15642</v>
      </c>
      <c r="P21" s="163">
        <v>13680</v>
      </c>
      <c r="Q21" s="163">
        <v>10335</v>
      </c>
      <c r="R21" s="163">
        <v>9386</v>
      </c>
      <c r="S21" s="163">
        <v>10325</v>
      </c>
      <c r="T21" s="163">
        <v>10885</v>
      </c>
      <c r="U21" s="163">
        <v>10081</v>
      </c>
      <c r="V21" s="163">
        <v>8197</v>
      </c>
      <c r="W21" s="84"/>
    </row>
    <row r="22" spans="1:23" ht="15" customHeight="1">
      <c r="A22" s="77"/>
      <c r="B22" s="21" t="s">
        <v>36</v>
      </c>
      <c r="C22" s="214">
        <v>1660</v>
      </c>
      <c r="D22" s="214">
        <v>1469</v>
      </c>
      <c r="E22" s="202">
        <v>1718</v>
      </c>
      <c r="F22" s="202">
        <v>1387</v>
      </c>
      <c r="G22" s="202">
        <v>1494</v>
      </c>
      <c r="H22" s="202">
        <v>1329</v>
      </c>
      <c r="I22" s="202">
        <v>1018</v>
      </c>
      <c r="J22" s="202">
        <v>779</v>
      </c>
      <c r="K22" s="202">
        <v>848</v>
      </c>
      <c r="L22" s="202">
        <v>703</v>
      </c>
      <c r="M22" s="163">
        <v>710</v>
      </c>
      <c r="N22" s="163">
        <v>706</v>
      </c>
      <c r="O22" s="163">
        <v>861</v>
      </c>
      <c r="P22" s="163">
        <v>647</v>
      </c>
      <c r="Q22" s="163">
        <v>689</v>
      </c>
      <c r="R22" s="163">
        <v>759</v>
      </c>
      <c r="S22" s="163">
        <v>847</v>
      </c>
      <c r="T22" s="163">
        <v>847</v>
      </c>
      <c r="U22" s="163">
        <v>966</v>
      </c>
      <c r="V22" s="163">
        <v>1040</v>
      </c>
      <c r="W22" s="84"/>
    </row>
    <row r="23" spans="1:23" ht="15" customHeight="1">
      <c r="A23" s="77"/>
      <c r="B23" s="21" t="s">
        <v>37</v>
      </c>
      <c r="C23" s="214">
        <v>5288</v>
      </c>
      <c r="D23" s="214">
        <v>5591</v>
      </c>
      <c r="E23" s="202">
        <v>5403</v>
      </c>
      <c r="F23" s="202">
        <v>4772</v>
      </c>
      <c r="G23" s="202">
        <v>4794</v>
      </c>
      <c r="H23" s="202">
        <v>5060</v>
      </c>
      <c r="I23" s="202">
        <v>4954</v>
      </c>
      <c r="J23" s="202">
        <v>5369</v>
      </c>
      <c r="K23" s="202">
        <v>5322</v>
      </c>
      <c r="L23" s="202">
        <v>5201</v>
      </c>
      <c r="M23" s="163">
        <v>4994</v>
      </c>
      <c r="N23" s="163">
        <v>5031</v>
      </c>
      <c r="O23" s="163">
        <v>5022</v>
      </c>
      <c r="P23" s="163">
        <v>5170</v>
      </c>
      <c r="Q23" s="163">
        <v>5343</v>
      </c>
      <c r="R23" s="163">
        <v>5507</v>
      </c>
      <c r="S23" s="163">
        <v>5682</v>
      </c>
      <c r="T23" s="163">
        <v>5850</v>
      </c>
      <c r="U23" s="163">
        <v>5960</v>
      </c>
      <c r="V23" s="163">
        <v>6008</v>
      </c>
      <c r="W23" s="84"/>
    </row>
    <row r="24" spans="1:23" ht="15" customHeight="1">
      <c r="A24" s="77"/>
      <c r="B24" s="21" t="s">
        <v>38</v>
      </c>
      <c r="C24" s="214">
        <v>47054</v>
      </c>
      <c r="D24" s="214">
        <v>45061</v>
      </c>
      <c r="E24" s="202">
        <v>44279</v>
      </c>
      <c r="F24" s="202">
        <v>43408</v>
      </c>
      <c r="G24" s="202">
        <v>43673</v>
      </c>
      <c r="H24" s="202">
        <v>46079</v>
      </c>
      <c r="I24" s="202">
        <v>47883</v>
      </c>
      <c r="J24" s="202">
        <v>50162</v>
      </c>
      <c r="K24" s="202">
        <v>53248</v>
      </c>
      <c r="L24" s="202">
        <v>31848</v>
      </c>
      <c r="M24" s="163">
        <v>31730</v>
      </c>
      <c r="N24" s="163">
        <v>32986</v>
      </c>
      <c r="O24" s="163">
        <v>28342</v>
      </c>
      <c r="P24" s="163">
        <v>27672</v>
      </c>
      <c r="Q24" s="163">
        <v>28248</v>
      </c>
      <c r="R24" s="163">
        <v>25403</v>
      </c>
      <c r="S24" s="163">
        <v>25825</v>
      </c>
      <c r="T24" s="163">
        <v>25058</v>
      </c>
      <c r="U24" s="163">
        <v>24656</v>
      </c>
      <c r="V24" s="163">
        <v>23826</v>
      </c>
      <c r="W24" s="84"/>
    </row>
    <row r="25" spans="1:23" ht="15" customHeight="1">
      <c r="A25" s="77"/>
      <c r="B25" s="21" t="s">
        <v>39</v>
      </c>
      <c r="C25" s="214">
        <v>13635</v>
      </c>
      <c r="D25" s="214">
        <v>13355</v>
      </c>
      <c r="E25" s="202">
        <v>15390</v>
      </c>
      <c r="F25" s="202">
        <v>15324</v>
      </c>
      <c r="G25" s="202">
        <v>16928</v>
      </c>
      <c r="H25" s="202">
        <v>16685</v>
      </c>
      <c r="I25" s="202">
        <v>18161</v>
      </c>
      <c r="J25" s="202">
        <v>18141</v>
      </c>
      <c r="K25" s="202">
        <v>18383</v>
      </c>
      <c r="L25" s="202">
        <v>18234</v>
      </c>
      <c r="M25" s="163">
        <v>18313</v>
      </c>
      <c r="N25" s="163">
        <v>18280</v>
      </c>
      <c r="O25" s="163">
        <v>18043</v>
      </c>
      <c r="P25" s="163">
        <v>17431</v>
      </c>
      <c r="Q25" s="163">
        <v>18390</v>
      </c>
      <c r="R25" s="163">
        <v>18028</v>
      </c>
      <c r="S25" s="163">
        <v>16519.3</v>
      </c>
      <c r="T25" s="163">
        <v>16083</v>
      </c>
      <c r="U25" s="163">
        <v>15736</v>
      </c>
      <c r="V25" s="163">
        <v>14110</v>
      </c>
      <c r="W25" s="84"/>
    </row>
    <row r="26" spans="1:23" ht="15" customHeight="1">
      <c r="A26" s="77"/>
      <c r="B26" s="21" t="s">
        <v>42</v>
      </c>
      <c r="C26" s="214">
        <v>7005</v>
      </c>
      <c r="D26" s="214">
        <v>6646</v>
      </c>
      <c r="E26" s="202">
        <v>7157</v>
      </c>
      <c r="F26" s="202">
        <v>6796</v>
      </c>
      <c r="G26" s="202">
        <v>7481</v>
      </c>
      <c r="H26" s="202">
        <v>7708</v>
      </c>
      <c r="I26" s="202">
        <v>8927</v>
      </c>
      <c r="J26" s="202">
        <v>8965</v>
      </c>
      <c r="K26" s="202">
        <v>7009</v>
      </c>
      <c r="L26" s="202">
        <v>6361</v>
      </c>
      <c r="M26" s="163">
        <v>5435</v>
      </c>
      <c r="N26" s="163">
        <v>3776</v>
      </c>
      <c r="O26" s="163">
        <v>3693</v>
      </c>
      <c r="P26" s="163">
        <v>3524</v>
      </c>
      <c r="Q26" s="163">
        <v>3901</v>
      </c>
      <c r="R26" s="163">
        <v>4023</v>
      </c>
      <c r="S26" s="163">
        <v>4169</v>
      </c>
      <c r="T26" s="163">
        <v>4175</v>
      </c>
      <c r="U26" s="163">
        <v>4158</v>
      </c>
      <c r="V26" s="163">
        <v>4697</v>
      </c>
      <c r="W26" s="84"/>
    </row>
    <row r="27" spans="1:23" ht="15" customHeight="1">
      <c r="A27" s="77"/>
      <c r="B27" s="21" t="s">
        <v>43</v>
      </c>
      <c r="C27" s="214">
        <v>0</v>
      </c>
      <c r="D27" s="214">
        <v>0</v>
      </c>
      <c r="E27" s="202">
        <v>0</v>
      </c>
      <c r="F27" s="202">
        <v>0</v>
      </c>
      <c r="G27" s="202">
        <v>0</v>
      </c>
      <c r="H27" s="202">
        <v>0</v>
      </c>
      <c r="I27" s="202">
        <v>0</v>
      </c>
      <c r="J27" s="202">
        <v>0</v>
      </c>
      <c r="K27" s="202">
        <v>0</v>
      </c>
      <c r="L27" s="202">
        <v>0</v>
      </c>
      <c r="M27" s="163">
        <v>0</v>
      </c>
      <c r="N27" s="163">
        <v>0</v>
      </c>
      <c r="O27" s="163">
        <v>0</v>
      </c>
      <c r="P27" s="163">
        <v>0</v>
      </c>
      <c r="Q27" s="163">
        <v>0</v>
      </c>
      <c r="R27" s="163">
        <v>0</v>
      </c>
      <c r="S27" s="163">
        <v>0</v>
      </c>
      <c r="T27" s="163">
        <v>0</v>
      </c>
      <c r="U27" s="163">
        <v>0</v>
      </c>
      <c r="V27" s="163">
        <v>0</v>
      </c>
      <c r="W27" s="84"/>
    </row>
    <row r="28" spans="1:23" ht="15" customHeight="1">
      <c r="A28" s="77"/>
      <c r="B28" s="76" t="s">
        <v>44</v>
      </c>
      <c r="C28" s="214">
        <v>0</v>
      </c>
      <c r="D28" s="214">
        <v>0</v>
      </c>
      <c r="E28" s="202">
        <v>0</v>
      </c>
      <c r="F28" s="202">
        <v>0</v>
      </c>
      <c r="G28" s="202">
        <v>0</v>
      </c>
      <c r="H28" s="202">
        <v>0</v>
      </c>
      <c r="I28" s="202">
        <v>0</v>
      </c>
      <c r="J28" s="202">
        <v>0</v>
      </c>
      <c r="K28" s="202">
        <v>0</v>
      </c>
      <c r="L28" s="202">
        <v>0</v>
      </c>
      <c r="M28" s="163">
        <v>0</v>
      </c>
      <c r="N28" s="163">
        <v>0</v>
      </c>
      <c r="O28" s="163">
        <v>0</v>
      </c>
      <c r="P28" s="163">
        <v>0</v>
      </c>
      <c r="Q28" s="163">
        <v>0</v>
      </c>
      <c r="R28" s="163">
        <v>0</v>
      </c>
      <c r="S28" s="163">
        <v>0</v>
      </c>
      <c r="T28" s="163">
        <v>0</v>
      </c>
      <c r="U28" s="163">
        <v>0</v>
      </c>
      <c r="V28" s="163">
        <v>0</v>
      </c>
      <c r="W28" s="84"/>
    </row>
    <row r="29" spans="1:23" ht="15" customHeight="1">
      <c r="A29" s="77"/>
      <c r="B29" s="21" t="s">
        <v>45</v>
      </c>
      <c r="C29" s="214">
        <v>0</v>
      </c>
      <c r="D29" s="214">
        <v>0</v>
      </c>
      <c r="E29" s="202">
        <v>0</v>
      </c>
      <c r="F29" s="202">
        <v>0</v>
      </c>
      <c r="G29" s="202">
        <v>0</v>
      </c>
      <c r="H29" s="202">
        <v>0</v>
      </c>
      <c r="I29" s="202">
        <v>0</v>
      </c>
      <c r="J29" s="202">
        <v>0</v>
      </c>
      <c r="K29" s="202">
        <v>0</v>
      </c>
      <c r="L29" s="202">
        <v>0</v>
      </c>
      <c r="M29" s="163">
        <v>0</v>
      </c>
      <c r="N29" s="163">
        <v>17</v>
      </c>
      <c r="O29" s="163">
        <v>10</v>
      </c>
      <c r="P29" s="163">
        <v>88</v>
      </c>
      <c r="Q29" s="163">
        <v>35</v>
      </c>
      <c r="R29" s="163">
        <v>34</v>
      </c>
      <c r="S29" s="163">
        <v>29</v>
      </c>
      <c r="T29" s="163">
        <v>30.125599999999999</v>
      </c>
      <c r="U29" s="163">
        <v>29.125599999999999</v>
      </c>
      <c r="V29" s="163">
        <v>28.125599999999999</v>
      </c>
      <c r="W29" s="84"/>
    </row>
    <row r="30" spans="1:23" ht="15" customHeight="1">
      <c r="A30" s="77"/>
      <c r="B30" s="21" t="s">
        <v>46</v>
      </c>
      <c r="C30" s="214">
        <v>0</v>
      </c>
      <c r="D30" s="214">
        <v>0</v>
      </c>
      <c r="E30" s="202">
        <v>0</v>
      </c>
      <c r="F30" s="202">
        <v>0</v>
      </c>
      <c r="G30" s="202">
        <v>0</v>
      </c>
      <c r="H30" s="202">
        <v>0</v>
      </c>
      <c r="I30" s="202">
        <v>0</v>
      </c>
      <c r="J30" s="202">
        <v>0</v>
      </c>
      <c r="K30" s="202">
        <v>0</v>
      </c>
      <c r="L30" s="202">
        <v>0</v>
      </c>
      <c r="M30" s="163">
        <v>0</v>
      </c>
      <c r="N30" s="163">
        <v>0</v>
      </c>
      <c r="O30" s="163">
        <v>0</v>
      </c>
      <c r="P30" s="163">
        <v>0</v>
      </c>
      <c r="Q30" s="163">
        <v>0</v>
      </c>
      <c r="R30" s="163">
        <v>0</v>
      </c>
      <c r="S30" s="163">
        <v>0</v>
      </c>
      <c r="T30" s="163">
        <v>0</v>
      </c>
      <c r="U30" s="163">
        <v>0</v>
      </c>
      <c r="V30" s="163">
        <v>0</v>
      </c>
      <c r="W30" s="84"/>
    </row>
    <row r="31" spans="1:23" ht="15" customHeight="1" thickBot="1">
      <c r="A31" s="82"/>
      <c r="B31" s="434" t="s">
        <v>47</v>
      </c>
      <c r="C31" s="440">
        <v>0</v>
      </c>
      <c r="D31" s="440">
        <v>0</v>
      </c>
      <c r="E31" s="438">
        <v>0</v>
      </c>
      <c r="F31" s="438">
        <v>0</v>
      </c>
      <c r="G31" s="438">
        <v>0</v>
      </c>
      <c r="H31" s="438">
        <v>0</v>
      </c>
      <c r="I31" s="438">
        <v>0</v>
      </c>
      <c r="J31" s="438">
        <v>0</v>
      </c>
      <c r="K31" s="438">
        <v>0</v>
      </c>
      <c r="L31" s="438">
        <v>0</v>
      </c>
      <c r="M31" s="441">
        <v>0</v>
      </c>
      <c r="N31" s="441">
        <v>0</v>
      </c>
      <c r="O31" s="441">
        <v>0</v>
      </c>
      <c r="P31" s="441">
        <v>0</v>
      </c>
      <c r="Q31" s="441">
        <v>0</v>
      </c>
      <c r="R31" s="441">
        <v>0</v>
      </c>
      <c r="S31" s="441">
        <v>0</v>
      </c>
      <c r="T31" s="441">
        <v>0</v>
      </c>
      <c r="U31" s="441">
        <v>0</v>
      </c>
      <c r="V31" s="441">
        <v>0</v>
      </c>
      <c r="W31" s="84"/>
    </row>
    <row r="32" spans="1:23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19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</row>
    <row r="34" spans="1:19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</row>
    <row r="35" spans="1:19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19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4">
    <tabColor theme="9" tint="0.59999389629810485"/>
  </sheetPr>
  <dimension ref="A2:Z36"/>
  <sheetViews>
    <sheetView showGridLines="0" zoomScaleNormal="100" workbookViewId="0">
      <selection activeCell="T9" sqref="T9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796875" style="76" customWidth="1"/>
    <col min="24" max="16384" width="7" style="76"/>
  </cols>
  <sheetData>
    <row r="2" spans="1:26" ht="13.25" customHeight="1">
      <c r="A2" s="210" t="s">
        <v>571</v>
      </c>
      <c r="B2" s="211"/>
    </row>
    <row r="3" spans="1:26" ht="13.25" customHeight="1">
      <c r="A3" s="212" t="s">
        <v>210</v>
      </c>
      <c r="B3" s="212"/>
    </row>
    <row r="4" spans="1:26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</row>
    <row r="5" spans="1:26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297</v>
      </c>
      <c r="R5" s="735">
        <v>2020</v>
      </c>
      <c r="S5" s="735">
        <v>2021</v>
      </c>
      <c r="T5" s="735" t="s">
        <v>396</v>
      </c>
      <c r="U5" s="735" t="s">
        <v>490</v>
      </c>
      <c r="V5" s="735" t="s">
        <v>485</v>
      </c>
    </row>
    <row r="6" spans="1:26" ht="18" customHeight="1">
      <c r="A6" s="1020" t="s">
        <v>93</v>
      </c>
      <c r="B6" s="1020"/>
      <c r="C6" s="633">
        <f t="shared" ref="C6:N6" si="0">(C8+C9+C10+C11+C12+C13+C14+C15+C16+C17+C18+C19+C20+C21+C22+C23+C24+C25+C26+C27+C28+C29+C30+C31)</f>
        <v>6617</v>
      </c>
      <c r="D6" s="633">
        <f t="shared" si="0"/>
        <v>6771</v>
      </c>
      <c r="E6" s="629">
        <f t="shared" si="0"/>
        <v>6684</v>
      </c>
      <c r="F6" s="629">
        <f t="shared" si="0"/>
        <v>6420</v>
      </c>
      <c r="G6" s="629">
        <f t="shared" si="0"/>
        <v>6152</v>
      </c>
      <c r="H6" s="629">
        <f t="shared" si="0"/>
        <v>6133</v>
      </c>
      <c r="I6" s="629">
        <f t="shared" si="0"/>
        <v>6151</v>
      </c>
      <c r="J6" s="629">
        <f t="shared" si="0"/>
        <v>6245</v>
      </c>
      <c r="K6" s="629">
        <f t="shared" si="0"/>
        <v>6439</v>
      </c>
      <c r="L6" s="629">
        <f t="shared" si="0"/>
        <v>6167</v>
      </c>
      <c r="M6" s="629">
        <f t="shared" si="0"/>
        <v>5900</v>
      </c>
      <c r="N6" s="629">
        <f t="shared" si="0"/>
        <v>5827</v>
      </c>
      <c r="O6" s="629">
        <f t="shared" ref="O6:V6" si="1">(O8+O9+O10+O11+O12+O13+O14+O15+O16+O17+O18+O19+O20+O21+O22+O23+O24+O25+O26+O27+O28+O29+O30+O31)</f>
        <v>5494</v>
      </c>
      <c r="P6" s="629">
        <f t="shared" si="1"/>
        <v>4966</v>
      </c>
      <c r="Q6" s="629">
        <f t="shared" si="1"/>
        <v>5100</v>
      </c>
      <c r="R6" s="629">
        <f t="shared" si="1"/>
        <v>4957.4344300000012</v>
      </c>
      <c r="S6" s="629">
        <f t="shared" si="1"/>
        <v>4948.0020000000004</v>
      </c>
      <c r="T6" s="629">
        <f t="shared" ref="T6:U6" si="2">(T8+T9+T10+T11+T12+T13+T14+T15+T16+T17+T18+T19+T20+T21+T22+T23+T24+T25+T26+T27+T28+T29+T30+T31)</f>
        <v>4929.125634</v>
      </c>
      <c r="U6" s="629">
        <f t="shared" si="2"/>
        <v>4940.988238451604</v>
      </c>
      <c r="V6" s="629">
        <f t="shared" si="1"/>
        <v>4951.9427489497693</v>
      </c>
    </row>
    <row r="7" spans="1:26" ht="3" customHeight="1">
      <c r="A7" s="77"/>
      <c r="B7" s="78"/>
      <c r="C7" s="215"/>
      <c r="D7" s="215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</row>
    <row r="8" spans="1:26" ht="15" customHeight="1">
      <c r="A8" s="77"/>
      <c r="B8" s="21" t="s">
        <v>19</v>
      </c>
      <c r="C8" s="216">
        <v>274</v>
      </c>
      <c r="D8" s="216">
        <v>261</v>
      </c>
      <c r="E8" s="202">
        <v>226</v>
      </c>
      <c r="F8" s="202">
        <v>215</v>
      </c>
      <c r="G8" s="202">
        <v>260</v>
      </c>
      <c r="H8" s="202">
        <v>283</v>
      </c>
      <c r="I8" s="202">
        <v>256</v>
      </c>
      <c r="J8" s="202">
        <v>266</v>
      </c>
      <c r="K8" s="202">
        <v>258</v>
      </c>
      <c r="L8" s="202">
        <v>292</v>
      </c>
      <c r="M8" s="163">
        <v>252</v>
      </c>
      <c r="N8" s="163">
        <v>205</v>
      </c>
      <c r="O8" s="163">
        <v>378</v>
      </c>
      <c r="P8" s="163">
        <v>273</v>
      </c>
      <c r="Q8" s="163">
        <v>220</v>
      </c>
      <c r="R8" s="163">
        <v>203.9</v>
      </c>
      <c r="S8" s="163">
        <v>189</v>
      </c>
      <c r="T8" s="163">
        <v>191.5</v>
      </c>
      <c r="U8" s="163">
        <v>245.68</v>
      </c>
      <c r="V8" s="163">
        <v>235.82369999999997</v>
      </c>
      <c r="X8" s="563"/>
      <c r="Y8" s="563"/>
      <c r="Z8" s="563"/>
    </row>
    <row r="9" spans="1:26" ht="15" customHeight="1">
      <c r="A9" s="77"/>
      <c r="B9" s="21" t="s">
        <v>20</v>
      </c>
      <c r="C9" s="216">
        <v>1970</v>
      </c>
      <c r="D9" s="216">
        <v>2250</v>
      </c>
      <c r="E9" s="202">
        <v>2114</v>
      </c>
      <c r="F9" s="202">
        <v>2190</v>
      </c>
      <c r="G9" s="202">
        <v>1819</v>
      </c>
      <c r="H9" s="202">
        <v>1854</v>
      </c>
      <c r="I9" s="202">
        <v>1833</v>
      </c>
      <c r="J9" s="202">
        <v>1923</v>
      </c>
      <c r="K9" s="202">
        <v>1990</v>
      </c>
      <c r="L9" s="202">
        <v>1895</v>
      </c>
      <c r="M9" s="163">
        <v>1781</v>
      </c>
      <c r="N9" s="163">
        <v>1666</v>
      </c>
      <c r="O9" s="163">
        <v>1377</v>
      </c>
      <c r="P9" s="163">
        <v>1128</v>
      </c>
      <c r="Q9" s="163">
        <v>1283</v>
      </c>
      <c r="R9" s="163">
        <v>1306.8</v>
      </c>
      <c r="S9" s="163">
        <v>1330.4</v>
      </c>
      <c r="T9" s="163">
        <v>1350.5</v>
      </c>
      <c r="U9" s="163">
        <v>1350.8056408929185</v>
      </c>
      <c r="V9" s="163">
        <v>1385.0618640200644</v>
      </c>
      <c r="X9" s="563"/>
      <c r="Y9" s="563"/>
      <c r="Z9" s="563"/>
    </row>
    <row r="10" spans="1:26" ht="15" customHeight="1">
      <c r="A10" s="77"/>
      <c r="B10" s="21" t="s">
        <v>21</v>
      </c>
      <c r="C10" s="216">
        <v>569</v>
      </c>
      <c r="D10" s="216">
        <v>536</v>
      </c>
      <c r="E10" s="202">
        <v>564</v>
      </c>
      <c r="F10" s="202">
        <v>473</v>
      </c>
      <c r="G10" s="202">
        <v>481</v>
      </c>
      <c r="H10" s="202">
        <v>434</v>
      </c>
      <c r="I10" s="202">
        <v>491</v>
      </c>
      <c r="J10" s="202">
        <v>384</v>
      </c>
      <c r="K10" s="202">
        <v>353</v>
      </c>
      <c r="L10" s="202">
        <v>365</v>
      </c>
      <c r="M10" s="202">
        <v>310</v>
      </c>
      <c r="N10" s="202">
        <v>385</v>
      </c>
      <c r="O10" s="202">
        <v>456</v>
      </c>
      <c r="P10" s="202">
        <v>416</v>
      </c>
      <c r="Q10" s="202">
        <v>375</v>
      </c>
      <c r="R10" s="202">
        <v>344.7</v>
      </c>
      <c r="S10" s="202">
        <v>312.39999999999998</v>
      </c>
      <c r="T10" s="202">
        <v>295.10000000000002</v>
      </c>
      <c r="U10" s="202">
        <v>275.60578099999998</v>
      </c>
      <c r="V10" s="202">
        <v>267.16340000000002</v>
      </c>
      <c r="W10" s="84"/>
      <c r="X10" s="563"/>
      <c r="Y10" s="563"/>
      <c r="Z10" s="563"/>
    </row>
    <row r="11" spans="1:26" ht="15" customHeight="1">
      <c r="A11" s="77"/>
      <c r="B11" s="21" t="s">
        <v>22</v>
      </c>
      <c r="C11" s="216">
        <v>496</v>
      </c>
      <c r="D11" s="216">
        <v>516</v>
      </c>
      <c r="E11" s="202">
        <v>519</v>
      </c>
      <c r="F11" s="202">
        <v>531</v>
      </c>
      <c r="G11" s="202">
        <v>538</v>
      </c>
      <c r="H11" s="202">
        <v>543</v>
      </c>
      <c r="I11" s="202">
        <v>546</v>
      </c>
      <c r="J11" s="202">
        <v>548</v>
      </c>
      <c r="K11" s="202">
        <v>554</v>
      </c>
      <c r="L11" s="202">
        <v>560</v>
      </c>
      <c r="M11" s="163">
        <v>573</v>
      </c>
      <c r="N11" s="163">
        <v>579</v>
      </c>
      <c r="O11" s="163">
        <v>453</v>
      </c>
      <c r="P11" s="163">
        <v>451</v>
      </c>
      <c r="Q11" s="163">
        <v>437</v>
      </c>
      <c r="R11" s="163">
        <v>455.7</v>
      </c>
      <c r="S11" s="163">
        <v>472.1</v>
      </c>
      <c r="T11" s="163">
        <v>460.1</v>
      </c>
      <c r="U11" s="163">
        <v>465.71014800000006</v>
      </c>
      <c r="V11" s="163">
        <v>470.46452000000011</v>
      </c>
      <c r="W11" s="84"/>
      <c r="X11" s="563"/>
      <c r="Y11" s="563"/>
      <c r="Z11" s="563"/>
    </row>
    <row r="12" spans="1:26" ht="15" customHeight="1">
      <c r="A12" s="77"/>
      <c r="B12" s="21" t="s">
        <v>23</v>
      </c>
      <c r="C12" s="216">
        <v>339</v>
      </c>
      <c r="D12" s="216">
        <v>359</v>
      </c>
      <c r="E12" s="202">
        <v>366</v>
      </c>
      <c r="F12" s="202">
        <v>333</v>
      </c>
      <c r="G12" s="202">
        <v>333</v>
      </c>
      <c r="H12" s="202">
        <v>329</v>
      </c>
      <c r="I12" s="202">
        <v>324</v>
      </c>
      <c r="J12" s="202">
        <v>305</v>
      </c>
      <c r="K12" s="202">
        <v>323</v>
      </c>
      <c r="L12" s="202">
        <v>308</v>
      </c>
      <c r="M12" s="163">
        <v>299</v>
      </c>
      <c r="N12" s="163">
        <v>328</v>
      </c>
      <c r="O12" s="163">
        <v>234</v>
      </c>
      <c r="P12" s="163">
        <v>250</v>
      </c>
      <c r="Q12" s="163">
        <v>296</v>
      </c>
      <c r="R12" s="163">
        <v>256.89999999999998</v>
      </c>
      <c r="S12" s="163">
        <v>248.7</v>
      </c>
      <c r="T12" s="163">
        <v>250</v>
      </c>
      <c r="U12" s="163">
        <v>239.551559</v>
      </c>
      <c r="V12" s="163">
        <v>232.62599</v>
      </c>
      <c r="W12" s="84"/>
      <c r="X12" s="563"/>
      <c r="Y12" s="563"/>
      <c r="Z12" s="563"/>
    </row>
    <row r="13" spans="1:26" ht="15" customHeight="1">
      <c r="A13" s="77"/>
      <c r="B13" s="21" t="s">
        <v>27</v>
      </c>
      <c r="C13" s="216">
        <v>27</v>
      </c>
      <c r="D13" s="216">
        <v>27</v>
      </c>
      <c r="E13" s="202">
        <v>32</v>
      </c>
      <c r="F13" s="202">
        <v>25</v>
      </c>
      <c r="G13" s="202">
        <v>29</v>
      </c>
      <c r="H13" s="202">
        <v>39</v>
      </c>
      <c r="I13" s="202">
        <v>40</v>
      </c>
      <c r="J13" s="202">
        <v>46</v>
      </c>
      <c r="K13" s="202">
        <v>45</v>
      </c>
      <c r="L13" s="202">
        <v>54</v>
      </c>
      <c r="M13" s="202">
        <v>59</v>
      </c>
      <c r="N13" s="202">
        <v>58</v>
      </c>
      <c r="O13" s="202">
        <v>57</v>
      </c>
      <c r="P13" s="202">
        <v>57</v>
      </c>
      <c r="Q13" s="202">
        <v>60</v>
      </c>
      <c r="R13" s="202">
        <v>52.9</v>
      </c>
      <c r="S13" s="202">
        <v>54.1</v>
      </c>
      <c r="T13" s="202">
        <v>57.7</v>
      </c>
      <c r="U13" s="202">
        <v>60.242899999999992</v>
      </c>
      <c r="V13" s="202">
        <v>64.570199999999986</v>
      </c>
      <c r="W13" s="84"/>
      <c r="X13" s="563"/>
      <c r="Y13" s="563"/>
      <c r="Z13" s="563"/>
    </row>
    <row r="14" spans="1:26" ht="15" customHeight="1">
      <c r="A14" s="77"/>
      <c r="B14" s="21" t="s">
        <v>28</v>
      </c>
      <c r="C14" s="216">
        <v>198</v>
      </c>
      <c r="D14" s="216">
        <v>207</v>
      </c>
      <c r="E14" s="202">
        <v>171</v>
      </c>
      <c r="F14" s="202">
        <v>174</v>
      </c>
      <c r="G14" s="202">
        <v>140</v>
      </c>
      <c r="H14" s="202">
        <v>155</v>
      </c>
      <c r="I14" s="202">
        <v>144</v>
      </c>
      <c r="J14" s="202">
        <v>145</v>
      </c>
      <c r="K14" s="202">
        <v>153</v>
      </c>
      <c r="L14" s="202">
        <v>154</v>
      </c>
      <c r="M14" s="163">
        <v>174</v>
      </c>
      <c r="N14" s="163">
        <v>210</v>
      </c>
      <c r="O14" s="163">
        <v>214</v>
      </c>
      <c r="P14" s="163">
        <v>218</v>
      </c>
      <c r="Q14" s="163">
        <v>219</v>
      </c>
      <c r="R14" s="163">
        <v>214</v>
      </c>
      <c r="S14" s="163">
        <v>205.3</v>
      </c>
      <c r="T14" s="163">
        <v>205.7</v>
      </c>
      <c r="U14" s="163">
        <v>207.69611122036457</v>
      </c>
      <c r="V14" s="163">
        <v>213.49165782215354</v>
      </c>
      <c r="W14" s="84"/>
      <c r="X14" s="563"/>
      <c r="Y14" s="563"/>
      <c r="Z14" s="563"/>
    </row>
    <row r="15" spans="1:26" ht="15" customHeight="1">
      <c r="A15" s="77"/>
      <c r="B15" s="21" t="s">
        <v>29</v>
      </c>
      <c r="C15" s="216">
        <v>785</v>
      </c>
      <c r="D15" s="216">
        <v>769</v>
      </c>
      <c r="E15" s="202">
        <v>755</v>
      </c>
      <c r="F15" s="202">
        <v>743</v>
      </c>
      <c r="G15" s="202">
        <v>751</v>
      </c>
      <c r="H15" s="202">
        <v>709</v>
      </c>
      <c r="I15" s="202">
        <v>731</v>
      </c>
      <c r="J15" s="202">
        <v>719</v>
      </c>
      <c r="K15" s="202">
        <v>747</v>
      </c>
      <c r="L15" s="202">
        <v>758</v>
      </c>
      <c r="M15" s="163">
        <v>725</v>
      </c>
      <c r="N15" s="163">
        <v>659</v>
      </c>
      <c r="O15" s="163">
        <v>603</v>
      </c>
      <c r="P15" s="163">
        <v>533</v>
      </c>
      <c r="Q15" s="163">
        <v>533</v>
      </c>
      <c r="R15" s="163">
        <v>498.6</v>
      </c>
      <c r="S15" s="163">
        <v>473</v>
      </c>
      <c r="T15" s="163">
        <v>457.3</v>
      </c>
      <c r="U15" s="163">
        <v>462.39848799999999</v>
      </c>
      <c r="V15" s="163">
        <v>475.49328000000003</v>
      </c>
      <c r="W15" s="84"/>
      <c r="X15" s="563"/>
      <c r="Y15" s="563"/>
      <c r="Z15" s="563"/>
    </row>
    <row r="16" spans="1:26" ht="15" customHeight="1">
      <c r="A16" s="77"/>
      <c r="B16" s="21" t="s">
        <v>30</v>
      </c>
      <c r="C16" s="216">
        <v>229</v>
      </c>
      <c r="D16" s="216">
        <v>235</v>
      </c>
      <c r="E16" s="202">
        <v>231</v>
      </c>
      <c r="F16" s="202">
        <v>203</v>
      </c>
      <c r="G16" s="202">
        <v>186</v>
      </c>
      <c r="H16" s="202">
        <v>189</v>
      </c>
      <c r="I16" s="202">
        <v>196</v>
      </c>
      <c r="J16" s="202">
        <v>216</v>
      </c>
      <c r="K16" s="202">
        <v>231</v>
      </c>
      <c r="L16" s="202">
        <v>228</v>
      </c>
      <c r="M16" s="202">
        <v>223</v>
      </c>
      <c r="N16" s="202">
        <v>228</v>
      </c>
      <c r="O16" s="202">
        <v>211</v>
      </c>
      <c r="P16" s="202">
        <v>198</v>
      </c>
      <c r="Q16" s="202">
        <v>247</v>
      </c>
      <c r="R16" s="202">
        <v>280.39999999999998</v>
      </c>
      <c r="S16" s="202">
        <v>294.10000000000002</v>
      </c>
      <c r="T16" s="202">
        <v>306.5</v>
      </c>
      <c r="U16" s="202">
        <v>307.7304122964286</v>
      </c>
      <c r="V16" s="202">
        <v>299.14561999999995</v>
      </c>
      <c r="W16" s="84"/>
      <c r="X16" s="563"/>
      <c r="Y16" s="563"/>
      <c r="Z16" s="563"/>
    </row>
    <row r="17" spans="1:26" ht="15" customHeight="1">
      <c r="A17" s="77"/>
      <c r="B17" s="21" t="s">
        <v>31</v>
      </c>
      <c r="C17" s="216">
        <v>214</v>
      </c>
      <c r="D17" s="216">
        <v>233</v>
      </c>
      <c r="E17" s="202">
        <v>267</v>
      </c>
      <c r="F17" s="202">
        <v>246</v>
      </c>
      <c r="G17" s="202">
        <v>250</v>
      </c>
      <c r="H17" s="202">
        <v>240</v>
      </c>
      <c r="I17" s="202">
        <v>221</v>
      </c>
      <c r="J17" s="202">
        <v>211</v>
      </c>
      <c r="K17" s="202">
        <v>213</v>
      </c>
      <c r="L17" s="202">
        <v>232</v>
      </c>
      <c r="M17" s="163">
        <v>218</v>
      </c>
      <c r="N17" s="163">
        <v>222</v>
      </c>
      <c r="O17" s="163">
        <v>242</v>
      </c>
      <c r="P17" s="163">
        <v>251</v>
      </c>
      <c r="Q17" s="163">
        <v>237</v>
      </c>
      <c r="R17" s="163">
        <v>239.2</v>
      </c>
      <c r="S17" s="163">
        <v>248.2</v>
      </c>
      <c r="T17" s="163">
        <v>244</v>
      </c>
      <c r="U17" s="163">
        <v>244.6914830031034</v>
      </c>
      <c r="V17" s="163">
        <v>260.25512000000003</v>
      </c>
      <c r="W17" s="84"/>
      <c r="X17" s="563"/>
      <c r="Y17" s="563"/>
      <c r="Z17" s="563"/>
    </row>
    <row r="18" spans="1:26" ht="15" customHeight="1">
      <c r="A18" s="77"/>
      <c r="B18" s="21" t="s">
        <v>32</v>
      </c>
      <c r="C18" s="216">
        <v>11</v>
      </c>
      <c r="D18" s="216">
        <v>15</v>
      </c>
      <c r="E18" s="202">
        <v>30</v>
      </c>
      <c r="F18" s="202">
        <v>25</v>
      </c>
      <c r="G18" s="202">
        <v>21</v>
      </c>
      <c r="H18" s="202">
        <v>23</v>
      </c>
      <c r="I18" s="202">
        <v>27</v>
      </c>
      <c r="J18" s="202">
        <v>33</v>
      </c>
      <c r="K18" s="202">
        <v>21</v>
      </c>
      <c r="L18" s="202">
        <v>20</v>
      </c>
      <c r="M18" s="163">
        <v>18</v>
      </c>
      <c r="N18" s="163">
        <v>14</v>
      </c>
      <c r="O18" s="163">
        <v>14</v>
      </c>
      <c r="P18" s="163">
        <v>13</v>
      </c>
      <c r="Q18" s="163">
        <v>12</v>
      </c>
      <c r="R18" s="163">
        <v>11</v>
      </c>
      <c r="S18" s="163">
        <v>11.9</v>
      </c>
      <c r="T18" s="163">
        <v>12.3</v>
      </c>
      <c r="U18" s="163">
        <v>12.948128047400001</v>
      </c>
      <c r="V18" s="163">
        <v>13.510201726549999</v>
      </c>
      <c r="W18" s="84"/>
      <c r="X18" s="563"/>
      <c r="Y18" s="563"/>
      <c r="Z18" s="563"/>
    </row>
    <row r="19" spans="1:26" ht="15" customHeight="1">
      <c r="A19" s="77"/>
      <c r="B19" s="21" t="s">
        <v>33</v>
      </c>
      <c r="C19" s="216">
        <v>14</v>
      </c>
      <c r="D19" s="216">
        <v>13</v>
      </c>
      <c r="E19" s="202">
        <v>14</v>
      </c>
      <c r="F19" s="202">
        <v>15</v>
      </c>
      <c r="G19" s="202">
        <v>14</v>
      </c>
      <c r="H19" s="202">
        <v>18</v>
      </c>
      <c r="I19" s="202">
        <v>21</v>
      </c>
      <c r="J19" s="202">
        <v>26</v>
      </c>
      <c r="K19" s="202">
        <v>27</v>
      </c>
      <c r="L19" s="202">
        <v>33</v>
      </c>
      <c r="M19" s="163">
        <v>42</v>
      </c>
      <c r="N19" s="163">
        <v>41</v>
      </c>
      <c r="O19" s="163">
        <v>48</v>
      </c>
      <c r="P19" s="163">
        <v>56</v>
      </c>
      <c r="Q19" s="163">
        <v>44</v>
      </c>
      <c r="R19" s="163">
        <v>35.799999999999997</v>
      </c>
      <c r="S19" s="163">
        <v>38.1</v>
      </c>
      <c r="T19" s="163">
        <v>41.9</v>
      </c>
      <c r="U19" s="163">
        <v>40.052799999999998</v>
      </c>
      <c r="V19" s="163">
        <v>43.489600000000003</v>
      </c>
      <c r="W19" s="84"/>
      <c r="X19" s="563"/>
      <c r="Y19" s="563"/>
      <c r="Z19" s="563"/>
    </row>
    <row r="20" spans="1:26" ht="15" customHeight="1">
      <c r="A20" s="77"/>
      <c r="B20" s="21" t="s">
        <v>34</v>
      </c>
      <c r="C20" s="216">
        <v>532</v>
      </c>
      <c r="D20" s="216">
        <v>400</v>
      </c>
      <c r="E20" s="202">
        <v>395</v>
      </c>
      <c r="F20" s="202">
        <v>381</v>
      </c>
      <c r="G20" s="202">
        <v>450</v>
      </c>
      <c r="H20" s="202">
        <v>420</v>
      </c>
      <c r="I20" s="202">
        <v>393</v>
      </c>
      <c r="J20" s="202">
        <v>436</v>
      </c>
      <c r="K20" s="202">
        <v>499</v>
      </c>
      <c r="L20" s="202">
        <v>460</v>
      </c>
      <c r="M20" s="163">
        <v>420</v>
      </c>
      <c r="N20" s="163">
        <v>345</v>
      </c>
      <c r="O20" s="163">
        <v>369</v>
      </c>
      <c r="P20" s="163">
        <v>309</v>
      </c>
      <c r="Q20" s="163">
        <v>335</v>
      </c>
      <c r="R20" s="163">
        <v>308.60000000000002</v>
      </c>
      <c r="S20" s="163">
        <v>294.89999999999998</v>
      </c>
      <c r="T20" s="163">
        <v>286.7</v>
      </c>
      <c r="U20" s="163">
        <v>278.35328000000004</v>
      </c>
      <c r="V20" s="163">
        <v>270.48599999999999</v>
      </c>
      <c r="W20" s="84"/>
      <c r="X20" s="563"/>
      <c r="Y20" s="563"/>
      <c r="Z20" s="563"/>
    </row>
    <row r="21" spans="1:26" ht="15" customHeight="1">
      <c r="A21" s="77"/>
      <c r="B21" s="21" t="s">
        <v>35</v>
      </c>
      <c r="C21" s="216">
        <v>113</v>
      </c>
      <c r="D21" s="216">
        <v>115</v>
      </c>
      <c r="E21" s="202">
        <v>138</v>
      </c>
      <c r="F21" s="202">
        <v>111</v>
      </c>
      <c r="G21" s="202">
        <v>83</v>
      </c>
      <c r="H21" s="202">
        <v>67</v>
      </c>
      <c r="I21" s="202">
        <v>63</v>
      </c>
      <c r="J21" s="202">
        <v>68</v>
      </c>
      <c r="K21" s="202">
        <v>80</v>
      </c>
      <c r="L21" s="202">
        <v>86</v>
      </c>
      <c r="M21" s="163">
        <v>93</v>
      </c>
      <c r="N21" s="163">
        <v>181</v>
      </c>
      <c r="O21" s="163">
        <v>178</v>
      </c>
      <c r="P21" s="163">
        <v>169</v>
      </c>
      <c r="Q21" s="163">
        <v>130</v>
      </c>
      <c r="R21" s="163">
        <v>114.6</v>
      </c>
      <c r="S21" s="163">
        <v>122</v>
      </c>
      <c r="T21" s="163">
        <v>127.9</v>
      </c>
      <c r="U21" s="163">
        <v>118.53600000000002</v>
      </c>
      <c r="V21" s="163">
        <v>96.582800000000006</v>
      </c>
      <c r="W21" s="84"/>
      <c r="X21" s="563"/>
      <c r="Y21" s="563"/>
      <c r="Z21" s="563"/>
    </row>
    <row r="22" spans="1:26" ht="15" customHeight="1">
      <c r="A22" s="77"/>
      <c r="B22" s="21" t="s">
        <v>36</v>
      </c>
      <c r="C22" s="216">
        <v>28</v>
      </c>
      <c r="D22" s="216">
        <v>25</v>
      </c>
      <c r="E22" s="202">
        <v>27</v>
      </c>
      <c r="F22" s="202">
        <v>22</v>
      </c>
      <c r="G22" s="202">
        <v>25</v>
      </c>
      <c r="H22" s="202">
        <v>23</v>
      </c>
      <c r="I22" s="202">
        <v>20</v>
      </c>
      <c r="J22" s="202">
        <v>15</v>
      </c>
      <c r="K22" s="202">
        <v>17</v>
      </c>
      <c r="L22" s="202">
        <v>14</v>
      </c>
      <c r="M22" s="163">
        <v>14</v>
      </c>
      <c r="N22" s="163">
        <v>13</v>
      </c>
      <c r="O22" s="163">
        <v>13</v>
      </c>
      <c r="P22" s="163">
        <v>10</v>
      </c>
      <c r="Q22" s="163">
        <v>10</v>
      </c>
      <c r="R22" s="163">
        <v>12.6</v>
      </c>
      <c r="S22" s="163">
        <v>14.3</v>
      </c>
      <c r="T22" s="163">
        <v>14.2</v>
      </c>
      <c r="U22" s="163">
        <v>14.910489086571003</v>
      </c>
      <c r="V22" s="163">
        <v>15.455268714334702</v>
      </c>
      <c r="W22" s="84"/>
      <c r="X22" s="563"/>
      <c r="Y22" s="563"/>
      <c r="Z22" s="563"/>
    </row>
    <row r="23" spans="1:26" ht="15" customHeight="1">
      <c r="A23" s="77"/>
      <c r="B23" s="21" t="s">
        <v>37</v>
      </c>
      <c r="C23" s="216">
        <v>69</v>
      </c>
      <c r="D23" s="216">
        <v>71</v>
      </c>
      <c r="E23" s="202">
        <v>68</v>
      </c>
      <c r="F23" s="202">
        <v>60</v>
      </c>
      <c r="G23" s="202">
        <v>59</v>
      </c>
      <c r="H23" s="202">
        <v>60</v>
      </c>
      <c r="I23" s="202">
        <v>60</v>
      </c>
      <c r="J23" s="202">
        <v>67</v>
      </c>
      <c r="K23" s="202">
        <v>71</v>
      </c>
      <c r="L23" s="202">
        <v>73</v>
      </c>
      <c r="M23" s="163">
        <v>71</v>
      </c>
      <c r="N23" s="163">
        <v>71</v>
      </c>
      <c r="O23" s="163">
        <v>72</v>
      </c>
      <c r="P23" s="163">
        <v>74</v>
      </c>
      <c r="Q23" s="163">
        <v>76</v>
      </c>
      <c r="R23" s="163">
        <v>82</v>
      </c>
      <c r="S23" s="163">
        <v>82.8</v>
      </c>
      <c r="T23" s="163">
        <v>85.2</v>
      </c>
      <c r="U23" s="163">
        <v>89.340983904819268</v>
      </c>
      <c r="V23" s="163">
        <v>91.438866666666655</v>
      </c>
      <c r="W23" s="84"/>
      <c r="X23" s="563"/>
      <c r="Y23" s="563"/>
      <c r="Z23" s="563"/>
    </row>
    <row r="24" spans="1:26" ht="15" customHeight="1">
      <c r="A24" s="77"/>
      <c r="B24" s="21" t="s">
        <v>38</v>
      </c>
      <c r="C24" s="216">
        <v>525</v>
      </c>
      <c r="D24" s="216">
        <v>506</v>
      </c>
      <c r="E24" s="202">
        <v>503</v>
      </c>
      <c r="F24" s="202">
        <v>421</v>
      </c>
      <c r="G24" s="202">
        <v>443</v>
      </c>
      <c r="H24" s="202">
        <v>489</v>
      </c>
      <c r="I24" s="202">
        <v>510</v>
      </c>
      <c r="J24" s="202">
        <v>547</v>
      </c>
      <c r="K24" s="202">
        <v>586</v>
      </c>
      <c r="L24" s="202">
        <v>368</v>
      </c>
      <c r="M24" s="163">
        <v>365</v>
      </c>
      <c r="N24" s="163">
        <v>379</v>
      </c>
      <c r="O24" s="163">
        <v>336</v>
      </c>
      <c r="P24" s="163">
        <v>324</v>
      </c>
      <c r="Q24" s="163">
        <v>341</v>
      </c>
      <c r="R24" s="163">
        <v>297.7</v>
      </c>
      <c r="S24" s="163">
        <v>317.7</v>
      </c>
      <c r="T24" s="163">
        <v>305.8</v>
      </c>
      <c r="U24" s="163">
        <v>298.33839999999998</v>
      </c>
      <c r="V24" s="163">
        <v>293.40100000000001</v>
      </c>
      <c r="W24" s="84"/>
      <c r="X24" s="563"/>
      <c r="Y24" s="563"/>
      <c r="Z24" s="563"/>
    </row>
    <row r="25" spans="1:26" ht="15" customHeight="1">
      <c r="A25" s="77"/>
      <c r="B25" s="21" t="s">
        <v>39</v>
      </c>
      <c r="C25" s="216">
        <v>140</v>
      </c>
      <c r="D25" s="216">
        <v>155</v>
      </c>
      <c r="E25" s="202">
        <v>184</v>
      </c>
      <c r="F25" s="202">
        <v>176</v>
      </c>
      <c r="G25" s="202">
        <v>192</v>
      </c>
      <c r="H25" s="202">
        <v>181</v>
      </c>
      <c r="I25" s="202">
        <v>183</v>
      </c>
      <c r="J25" s="202">
        <v>192</v>
      </c>
      <c r="K25" s="202">
        <v>195</v>
      </c>
      <c r="L25" s="202">
        <v>196</v>
      </c>
      <c r="M25" s="163">
        <v>198</v>
      </c>
      <c r="N25" s="163">
        <v>196</v>
      </c>
      <c r="O25" s="163">
        <v>194</v>
      </c>
      <c r="P25" s="163">
        <v>191</v>
      </c>
      <c r="Q25" s="163">
        <v>195</v>
      </c>
      <c r="R25" s="163">
        <v>190.1</v>
      </c>
      <c r="S25" s="163">
        <v>185.1</v>
      </c>
      <c r="T25" s="163">
        <v>182.6</v>
      </c>
      <c r="U25" s="163">
        <v>174.25475400000002</v>
      </c>
      <c r="V25" s="163">
        <v>168.90020000000004</v>
      </c>
      <c r="W25" s="84"/>
      <c r="X25" s="563"/>
      <c r="Y25" s="563"/>
      <c r="Z25" s="563"/>
    </row>
    <row r="26" spans="1:26" ht="15" customHeight="1">
      <c r="A26" s="77"/>
      <c r="B26" s="21" t="s">
        <v>42</v>
      </c>
      <c r="C26" s="216">
        <v>84</v>
      </c>
      <c r="D26" s="216">
        <v>78</v>
      </c>
      <c r="E26" s="202">
        <v>80</v>
      </c>
      <c r="F26" s="202">
        <v>76</v>
      </c>
      <c r="G26" s="202">
        <v>78</v>
      </c>
      <c r="H26" s="202">
        <v>77</v>
      </c>
      <c r="I26" s="202">
        <v>92</v>
      </c>
      <c r="J26" s="202">
        <v>98</v>
      </c>
      <c r="K26" s="202">
        <v>76</v>
      </c>
      <c r="L26" s="202">
        <v>71</v>
      </c>
      <c r="M26" s="163">
        <v>65</v>
      </c>
      <c r="N26" s="163">
        <v>47</v>
      </c>
      <c r="O26" s="163">
        <v>45</v>
      </c>
      <c r="P26" s="163">
        <v>44</v>
      </c>
      <c r="Q26" s="163">
        <v>50</v>
      </c>
      <c r="R26" s="163">
        <v>51.6</v>
      </c>
      <c r="S26" s="163">
        <v>53.8</v>
      </c>
      <c r="T26" s="163">
        <v>53.8</v>
      </c>
      <c r="U26" s="163">
        <v>53.827200000000012</v>
      </c>
      <c r="V26" s="163">
        <v>54.27409999999999</v>
      </c>
      <c r="W26" s="84"/>
      <c r="X26" s="563"/>
      <c r="Y26" s="563"/>
      <c r="Z26" s="563"/>
    </row>
    <row r="27" spans="1:26" ht="15" customHeight="1">
      <c r="A27" s="77"/>
      <c r="B27" s="21" t="s">
        <v>43</v>
      </c>
      <c r="C27" s="216">
        <v>0</v>
      </c>
      <c r="D27" s="216">
        <v>0</v>
      </c>
      <c r="E27" s="202">
        <v>0</v>
      </c>
      <c r="F27" s="202">
        <v>0</v>
      </c>
      <c r="G27" s="202">
        <v>0</v>
      </c>
      <c r="H27" s="202">
        <v>0</v>
      </c>
      <c r="I27" s="202">
        <v>0</v>
      </c>
      <c r="J27" s="202">
        <v>0</v>
      </c>
      <c r="K27" s="202">
        <v>0</v>
      </c>
      <c r="L27" s="202">
        <v>0</v>
      </c>
      <c r="M27" s="163">
        <v>0</v>
      </c>
      <c r="N27" s="163">
        <v>0</v>
      </c>
      <c r="O27" s="163">
        <v>0</v>
      </c>
      <c r="P27" s="163">
        <v>0</v>
      </c>
      <c r="Q27" s="163">
        <v>0</v>
      </c>
      <c r="R27" s="163">
        <v>0</v>
      </c>
      <c r="S27" s="163">
        <v>0</v>
      </c>
      <c r="T27" s="163">
        <v>0</v>
      </c>
      <c r="U27" s="163">
        <v>0</v>
      </c>
      <c r="V27" s="163">
        <v>0</v>
      </c>
      <c r="W27" s="84"/>
      <c r="X27" s="563"/>
      <c r="Y27" s="563"/>
      <c r="Z27" s="563"/>
    </row>
    <row r="28" spans="1:26" ht="15" customHeight="1">
      <c r="A28" s="77"/>
      <c r="B28" s="76" t="s">
        <v>44</v>
      </c>
      <c r="C28" s="216">
        <v>0</v>
      </c>
      <c r="D28" s="216">
        <v>0</v>
      </c>
      <c r="E28" s="202">
        <v>0</v>
      </c>
      <c r="F28" s="202">
        <v>0</v>
      </c>
      <c r="G28" s="202">
        <v>0</v>
      </c>
      <c r="H28" s="202">
        <v>0</v>
      </c>
      <c r="I28" s="202">
        <v>0</v>
      </c>
      <c r="J28" s="202">
        <v>0</v>
      </c>
      <c r="K28" s="202">
        <v>0</v>
      </c>
      <c r="L28" s="202">
        <v>0</v>
      </c>
      <c r="M28" s="163">
        <v>0</v>
      </c>
      <c r="N28" s="163">
        <v>0</v>
      </c>
      <c r="O28" s="163">
        <v>0</v>
      </c>
      <c r="P28" s="163">
        <v>0</v>
      </c>
      <c r="Q28" s="163">
        <v>0</v>
      </c>
      <c r="R28" s="163">
        <v>0</v>
      </c>
      <c r="S28" s="163">
        <v>0</v>
      </c>
      <c r="T28" s="163">
        <v>0</v>
      </c>
      <c r="U28" s="163">
        <v>0</v>
      </c>
      <c r="V28" s="163">
        <v>0</v>
      </c>
      <c r="W28" s="84"/>
      <c r="X28" s="563"/>
      <c r="Y28" s="563"/>
      <c r="Z28" s="563"/>
    </row>
    <row r="29" spans="1:26" ht="15" customHeight="1">
      <c r="A29" s="77"/>
      <c r="B29" s="21" t="s">
        <v>45</v>
      </c>
      <c r="C29" s="216">
        <v>0</v>
      </c>
      <c r="D29" s="216">
        <v>0</v>
      </c>
      <c r="E29" s="202">
        <v>0</v>
      </c>
      <c r="F29" s="202">
        <v>0</v>
      </c>
      <c r="G29" s="202">
        <v>0</v>
      </c>
      <c r="H29" s="202">
        <v>0</v>
      </c>
      <c r="I29" s="202">
        <v>0</v>
      </c>
      <c r="J29" s="202">
        <v>0</v>
      </c>
      <c r="K29" s="202">
        <v>0</v>
      </c>
      <c r="L29" s="202">
        <v>0</v>
      </c>
      <c r="M29" s="163">
        <v>0</v>
      </c>
      <c r="N29" s="163">
        <v>0</v>
      </c>
      <c r="O29" s="163">
        <v>0</v>
      </c>
      <c r="P29" s="163">
        <v>1</v>
      </c>
      <c r="Q29" s="983">
        <v>0</v>
      </c>
      <c r="R29" s="983">
        <v>0.33442999999999995</v>
      </c>
      <c r="S29" s="983">
        <v>0.10200000000000001</v>
      </c>
      <c r="T29" s="983">
        <v>0.32563399999999998</v>
      </c>
      <c r="U29" s="983">
        <v>0.31367999999999996</v>
      </c>
      <c r="V29" s="983">
        <v>0.30936000000000002</v>
      </c>
      <c r="W29" s="84"/>
      <c r="X29" s="563"/>
      <c r="Y29" s="563"/>
      <c r="Z29" s="563"/>
    </row>
    <row r="30" spans="1:26" ht="15" customHeight="1">
      <c r="A30" s="77"/>
      <c r="B30" s="21" t="s">
        <v>46</v>
      </c>
      <c r="C30" s="216">
        <v>0</v>
      </c>
      <c r="D30" s="216">
        <v>0</v>
      </c>
      <c r="E30" s="202">
        <v>0</v>
      </c>
      <c r="F30" s="202">
        <v>0</v>
      </c>
      <c r="G30" s="202">
        <v>0</v>
      </c>
      <c r="H30" s="202">
        <v>0</v>
      </c>
      <c r="I30" s="202">
        <v>0</v>
      </c>
      <c r="J30" s="202">
        <v>0</v>
      </c>
      <c r="K30" s="202">
        <v>0</v>
      </c>
      <c r="L30" s="202">
        <v>0</v>
      </c>
      <c r="M30" s="163">
        <v>0</v>
      </c>
      <c r="N30" s="163">
        <v>0</v>
      </c>
      <c r="O30" s="163">
        <v>0</v>
      </c>
      <c r="P30" s="163">
        <v>0</v>
      </c>
      <c r="Q30" s="163">
        <v>0</v>
      </c>
      <c r="R30" s="163">
        <v>0</v>
      </c>
      <c r="S30" s="163">
        <v>0</v>
      </c>
      <c r="T30" s="163">
        <v>0</v>
      </c>
      <c r="U30" s="163">
        <v>0</v>
      </c>
      <c r="V30" s="163">
        <v>0</v>
      </c>
      <c r="W30" s="84"/>
      <c r="X30" s="563"/>
      <c r="Y30" s="563"/>
      <c r="Z30" s="563"/>
    </row>
    <row r="31" spans="1:26" ht="15" customHeight="1" thickBot="1">
      <c r="A31" s="82"/>
      <c r="B31" s="434" t="s">
        <v>47</v>
      </c>
      <c r="C31" s="442">
        <v>0</v>
      </c>
      <c r="D31" s="442">
        <v>0</v>
      </c>
      <c r="E31" s="438">
        <v>0</v>
      </c>
      <c r="F31" s="438">
        <v>0</v>
      </c>
      <c r="G31" s="438">
        <v>0</v>
      </c>
      <c r="H31" s="438">
        <v>0</v>
      </c>
      <c r="I31" s="438">
        <v>0</v>
      </c>
      <c r="J31" s="438">
        <v>0</v>
      </c>
      <c r="K31" s="438">
        <v>0</v>
      </c>
      <c r="L31" s="438">
        <v>0</v>
      </c>
      <c r="M31" s="441">
        <v>0</v>
      </c>
      <c r="N31" s="441">
        <v>0</v>
      </c>
      <c r="O31" s="441">
        <v>0</v>
      </c>
      <c r="P31" s="441">
        <v>0</v>
      </c>
      <c r="Q31" s="441">
        <v>0</v>
      </c>
      <c r="R31" s="441">
        <v>0</v>
      </c>
      <c r="S31" s="441">
        <v>0</v>
      </c>
      <c r="T31" s="441">
        <v>0</v>
      </c>
      <c r="U31" s="441">
        <v>0</v>
      </c>
      <c r="V31" s="441">
        <v>0</v>
      </c>
      <c r="W31" s="84"/>
      <c r="X31" s="563"/>
      <c r="Y31" s="563"/>
      <c r="Z31" s="563"/>
    </row>
    <row r="32" spans="1:26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84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5">
    <tabColor theme="9" tint="0.59999389629810485"/>
  </sheetPr>
  <dimension ref="A2:Z36"/>
  <sheetViews>
    <sheetView showGridLines="0" zoomScaleNormal="100" workbookViewId="0">
      <selection activeCell="Q18" sqref="Q18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3984375" style="76" customWidth="1"/>
    <col min="24" max="16384" width="7" style="76"/>
  </cols>
  <sheetData>
    <row r="2" spans="1:26" ht="16.5" customHeight="1">
      <c r="A2" s="210" t="s">
        <v>491</v>
      </c>
      <c r="B2" s="211"/>
    </row>
    <row r="3" spans="1:26" ht="13.25" customHeight="1">
      <c r="A3" s="212" t="s">
        <v>341</v>
      </c>
      <c r="B3" s="212"/>
    </row>
    <row r="4" spans="1:26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</row>
    <row r="5" spans="1:26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297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6" ht="18" customHeight="1">
      <c r="A6" s="1020" t="s">
        <v>100</v>
      </c>
      <c r="B6" s="1020"/>
      <c r="C6" s="631">
        <v>3.05</v>
      </c>
      <c r="D6" s="631">
        <v>3.01</v>
      </c>
      <c r="E6" s="631">
        <v>3.17</v>
      </c>
      <c r="F6" s="631">
        <v>3.41</v>
      </c>
      <c r="G6" s="631">
        <v>3.61</v>
      </c>
      <c r="H6" s="631">
        <v>3.38</v>
      </c>
      <c r="I6" s="631">
        <v>3.53</v>
      </c>
      <c r="J6" s="631">
        <v>3.68</v>
      </c>
      <c r="K6" s="631">
        <v>3.93</v>
      </c>
      <c r="L6" s="631">
        <v>4.04</v>
      </c>
      <c r="M6" s="631">
        <v>4.28</v>
      </c>
      <c r="N6" s="631">
        <v>4.66</v>
      </c>
      <c r="O6" s="631">
        <v>4.74</v>
      </c>
      <c r="P6" s="631">
        <v>4.79</v>
      </c>
      <c r="Q6" s="631">
        <v>4.8099999999999996</v>
      </c>
      <c r="R6" s="631">
        <v>4.8</v>
      </c>
      <c r="S6" s="631">
        <v>4.79</v>
      </c>
      <c r="T6" s="631">
        <v>4.8099999999999996</v>
      </c>
      <c r="U6" s="631">
        <v>4.8108362060649332</v>
      </c>
      <c r="V6" s="631">
        <v>4.8358450824020132</v>
      </c>
    </row>
    <row r="7" spans="1:26" ht="3" customHeight="1">
      <c r="A7" s="77"/>
      <c r="B7" s="78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</row>
    <row r="8" spans="1:26" ht="15" customHeight="1">
      <c r="A8" s="77"/>
      <c r="B8" s="21" t="s">
        <v>19</v>
      </c>
      <c r="C8" s="218">
        <v>3.01</v>
      </c>
      <c r="D8" s="218">
        <v>3.25</v>
      </c>
      <c r="E8" s="218">
        <v>3.2</v>
      </c>
      <c r="F8" s="218">
        <v>3.22</v>
      </c>
      <c r="G8" s="218">
        <v>3.35</v>
      </c>
      <c r="H8" s="218">
        <v>3.42</v>
      </c>
      <c r="I8" s="218">
        <v>3.43</v>
      </c>
      <c r="J8" s="218">
        <v>3.38</v>
      </c>
      <c r="K8" s="218">
        <v>3.6</v>
      </c>
      <c r="L8" s="218">
        <v>3.63</v>
      </c>
      <c r="M8" s="218">
        <v>4.45</v>
      </c>
      <c r="N8" s="218">
        <v>4.45</v>
      </c>
      <c r="O8" s="218">
        <v>4.47</v>
      </c>
      <c r="P8" s="218">
        <v>4.5999999999999996</v>
      </c>
      <c r="Q8" s="218">
        <v>4.58</v>
      </c>
      <c r="R8" s="218">
        <v>4.57</v>
      </c>
      <c r="S8" s="218">
        <v>4.54</v>
      </c>
      <c r="T8" s="218">
        <v>4.57</v>
      </c>
      <c r="U8" s="218">
        <v>4.5479237381960278</v>
      </c>
      <c r="V8" s="218">
        <v>4.5627400727747043</v>
      </c>
      <c r="X8" s="152"/>
      <c r="Y8" s="152"/>
      <c r="Z8" s="152"/>
    </row>
    <row r="9" spans="1:26" ht="15" customHeight="1">
      <c r="A9" s="77"/>
      <c r="B9" s="21" t="s">
        <v>20</v>
      </c>
      <c r="C9" s="218">
        <v>2.91</v>
      </c>
      <c r="D9" s="218">
        <v>2.95</v>
      </c>
      <c r="E9" s="218">
        <v>3.22</v>
      </c>
      <c r="F9" s="218">
        <v>3.3</v>
      </c>
      <c r="G9" s="218">
        <v>3.46</v>
      </c>
      <c r="H9" s="218">
        <v>3.27</v>
      </c>
      <c r="I9" s="218">
        <v>3.49</v>
      </c>
      <c r="J9" s="218">
        <v>3.52</v>
      </c>
      <c r="K9" s="218">
        <v>3.68</v>
      </c>
      <c r="L9" s="218">
        <v>3.73</v>
      </c>
      <c r="M9" s="218">
        <v>3.93</v>
      </c>
      <c r="N9" s="218">
        <v>4.53</v>
      </c>
      <c r="O9" s="218">
        <v>4.7699999999999996</v>
      </c>
      <c r="P9" s="218">
        <v>4.88</v>
      </c>
      <c r="Q9" s="218">
        <v>4.8499999999999996</v>
      </c>
      <c r="R9" s="218">
        <v>4.84</v>
      </c>
      <c r="S9" s="218">
        <v>4.82</v>
      </c>
      <c r="T9" s="218">
        <v>4.8600000000000003</v>
      </c>
      <c r="U9" s="218">
        <v>4.8649688487215483</v>
      </c>
      <c r="V9" s="218">
        <v>4.8688816568798199</v>
      </c>
      <c r="X9" s="152"/>
      <c r="Y9" s="152"/>
      <c r="Z9" s="152"/>
    </row>
    <row r="10" spans="1:26" ht="15" customHeight="1">
      <c r="A10" s="77"/>
      <c r="B10" s="21" t="s">
        <v>21</v>
      </c>
      <c r="C10" s="218">
        <v>3.7</v>
      </c>
      <c r="D10" s="218">
        <v>3.49</v>
      </c>
      <c r="E10" s="218">
        <v>3.73</v>
      </c>
      <c r="F10" s="218">
        <v>3.77</v>
      </c>
      <c r="G10" s="218">
        <v>3.69</v>
      </c>
      <c r="H10" s="218">
        <v>3.47</v>
      </c>
      <c r="I10" s="218">
        <v>3.46</v>
      </c>
      <c r="J10" s="218">
        <v>3.55</v>
      </c>
      <c r="K10" s="218">
        <v>3.74</v>
      </c>
      <c r="L10" s="218">
        <v>3.9</v>
      </c>
      <c r="M10" s="218">
        <v>3.94</v>
      </c>
      <c r="N10" s="218">
        <v>4.66</v>
      </c>
      <c r="O10" s="218">
        <v>4.83</v>
      </c>
      <c r="P10" s="218">
        <v>4.63</v>
      </c>
      <c r="Q10" s="218">
        <v>4.5999999999999996</v>
      </c>
      <c r="R10" s="218">
        <v>4.66</v>
      </c>
      <c r="S10" s="218">
        <v>4.7</v>
      </c>
      <c r="T10" s="218">
        <v>4.76</v>
      </c>
      <c r="U10" s="218">
        <v>4.7386933943232483</v>
      </c>
      <c r="V10" s="218">
        <v>4.7833437542343002</v>
      </c>
      <c r="X10" s="152"/>
      <c r="Y10" s="152"/>
      <c r="Z10" s="152"/>
    </row>
    <row r="11" spans="1:26" ht="15" customHeight="1">
      <c r="A11" s="77"/>
      <c r="B11" s="21" t="s">
        <v>22</v>
      </c>
      <c r="C11" s="218">
        <v>3.1</v>
      </c>
      <c r="D11" s="218">
        <v>2.95</v>
      </c>
      <c r="E11" s="218">
        <v>3.23</v>
      </c>
      <c r="F11" s="218">
        <v>3.56</v>
      </c>
      <c r="G11" s="218">
        <v>3.68</v>
      </c>
      <c r="H11" s="218">
        <v>3.16</v>
      </c>
      <c r="I11" s="218">
        <v>3.16</v>
      </c>
      <c r="J11" s="218">
        <v>3.67</v>
      </c>
      <c r="K11" s="218">
        <v>5.1100000000000003</v>
      </c>
      <c r="L11" s="218">
        <v>5.1100000000000003</v>
      </c>
      <c r="M11" s="218">
        <v>5.59</v>
      </c>
      <c r="N11" s="218">
        <v>5.42</v>
      </c>
      <c r="O11" s="218">
        <v>5.43</v>
      </c>
      <c r="P11" s="218">
        <v>5.62</v>
      </c>
      <c r="Q11" s="218">
        <v>5.72</v>
      </c>
      <c r="R11" s="218">
        <v>5.49</v>
      </c>
      <c r="S11" s="218">
        <v>5.49</v>
      </c>
      <c r="T11" s="218">
        <v>5.58</v>
      </c>
      <c r="U11" s="218">
        <v>5.6237700975586193</v>
      </c>
      <c r="V11" s="218">
        <v>5.6726034225577724</v>
      </c>
      <c r="X11" s="152"/>
      <c r="Y11" s="152"/>
      <c r="Z11" s="152"/>
    </row>
    <row r="12" spans="1:26" ht="15" customHeight="1">
      <c r="A12" s="77"/>
      <c r="B12" s="21" t="s">
        <v>23</v>
      </c>
      <c r="C12" s="218">
        <v>3.64</v>
      </c>
      <c r="D12" s="218">
        <v>3.59</v>
      </c>
      <c r="E12" s="218">
        <v>3.33</v>
      </c>
      <c r="F12" s="218">
        <v>3.58</v>
      </c>
      <c r="G12" s="218">
        <v>3.84</v>
      </c>
      <c r="H12" s="218">
        <v>3.21</v>
      </c>
      <c r="I12" s="218">
        <v>3.46</v>
      </c>
      <c r="J12" s="218">
        <v>3.51</v>
      </c>
      <c r="K12" s="218">
        <v>3.55</v>
      </c>
      <c r="L12" s="218">
        <v>4.3099999999999996</v>
      </c>
      <c r="M12" s="218">
        <v>3.91</v>
      </c>
      <c r="N12" s="218">
        <v>3.99</v>
      </c>
      <c r="O12" s="218">
        <v>4.25</v>
      </c>
      <c r="P12" s="218">
        <v>4.42</v>
      </c>
      <c r="Q12" s="218">
        <v>4.45</v>
      </c>
      <c r="R12" s="218">
        <v>4.4400000000000004</v>
      </c>
      <c r="S12" s="218">
        <v>4.3899999999999997</v>
      </c>
      <c r="T12" s="218">
        <v>4.38</v>
      </c>
      <c r="U12" s="218">
        <v>4.3640434162275685</v>
      </c>
      <c r="V12" s="218">
        <v>4.3608967785585779</v>
      </c>
      <c r="X12" s="152"/>
      <c r="Y12" s="152"/>
      <c r="Z12" s="152"/>
    </row>
    <row r="13" spans="1:26" ht="15" customHeight="1">
      <c r="A13" s="77"/>
      <c r="B13" s="21" t="s">
        <v>27</v>
      </c>
      <c r="C13" s="218">
        <v>3.34</v>
      </c>
      <c r="D13" s="218">
        <v>3.39</v>
      </c>
      <c r="E13" s="218">
        <v>3.66</v>
      </c>
      <c r="F13" s="218">
        <v>3.77</v>
      </c>
      <c r="G13" s="218">
        <v>3.81</v>
      </c>
      <c r="H13" s="218">
        <v>3.55</v>
      </c>
      <c r="I13" s="218">
        <v>3.25</v>
      </c>
      <c r="J13" s="218">
        <v>3.18</v>
      </c>
      <c r="K13" s="218">
        <v>3.34</v>
      </c>
      <c r="L13" s="218">
        <v>3.92</v>
      </c>
      <c r="M13" s="218">
        <v>4.09</v>
      </c>
      <c r="N13" s="218">
        <v>4.46</v>
      </c>
      <c r="O13" s="218">
        <v>4.55</v>
      </c>
      <c r="P13" s="218">
        <v>4.68</v>
      </c>
      <c r="Q13" s="218">
        <v>4.71</v>
      </c>
      <c r="R13" s="218">
        <v>4.67</v>
      </c>
      <c r="S13" s="218">
        <v>4.6100000000000003</v>
      </c>
      <c r="T13" s="218">
        <v>4.58</v>
      </c>
      <c r="U13" s="218">
        <v>4.5154914653843026</v>
      </c>
      <c r="V13" s="218">
        <v>4.5678253621639717</v>
      </c>
      <c r="X13" s="152"/>
      <c r="Y13" s="152"/>
      <c r="Z13" s="152"/>
    </row>
    <row r="14" spans="1:26" ht="15" customHeight="1">
      <c r="A14" s="77"/>
      <c r="B14" s="21" t="s">
        <v>28</v>
      </c>
      <c r="C14" s="218">
        <v>3.49</v>
      </c>
      <c r="D14" s="218">
        <v>3.33</v>
      </c>
      <c r="E14" s="218">
        <v>3.15</v>
      </c>
      <c r="F14" s="218">
        <v>3.78</v>
      </c>
      <c r="G14" s="218">
        <v>4.01</v>
      </c>
      <c r="H14" s="218">
        <v>3.13</v>
      </c>
      <c r="I14" s="218">
        <v>3.96</v>
      </c>
      <c r="J14" s="218">
        <v>3.65</v>
      </c>
      <c r="K14" s="218">
        <v>3.97</v>
      </c>
      <c r="L14" s="218">
        <v>4.0199999999999996</v>
      </c>
      <c r="M14" s="218">
        <v>4.18</v>
      </c>
      <c r="N14" s="218">
        <v>4.46</v>
      </c>
      <c r="O14" s="218">
        <v>4.2300000000000004</v>
      </c>
      <c r="P14" s="218">
        <v>4.3</v>
      </c>
      <c r="Q14" s="218">
        <v>4.54</v>
      </c>
      <c r="R14" s="218">
        <v>4.47</v>
      </c>
      <c r="S14" s="218">
        <v>4.45</v>
      </c>
      <c r="T14" s="218">
        <v>4.4400000000000004</v>
      </c>
      <c r="U14" s="218">
        <v>4.4183496165066183</v>
      </c>
      <c r="V14" s="218">
        <v>4.4552672706074103</v>
      </c>
      <c r="X14" s="152"/>
      <c r="Y14" s="152"/>
      <c r="Z14" s="152"/>
    </row>
    <row r="15" spans="1:26" ht="15" customHeight="1">
      <c r="A15" s="77"/>
      <c r="B15" s="21" t="s">
        <v>29</v>
      </c>
      <c r="C15" s="218">
        <v>3.05</v>
      </c>
      <c r="D15" s="218">
        <v>3.14</v>
      </c>
      <c r="E15" s="218">
        <v>3.24</v>
      </c>
      <c r="F15" s="218">
        <v>3.88</v>
      </c>
      <c r="G15" s="218">
        <v>4.07</v>
      </c>
      <c r="H15" s="218">
        <v>3.34</v>
      </c>
      <c r="I15" s="218">
        <v>3.42</v>
      </c>
      <c r="J15" s="218">
        <v>3.54</v>
      </c>
      <c r="K15" s="218">
        <v>3.64</v>
      </c>
      <c r="L15" s="218">
        <v>3.82</v>
      </c>
      <c r="M15" s="218">
        <v>4.37</v>
      </c>
      <c r="N15" s="218">
        <v>5.2</v>
      </c>
      <c r="O15" s="218">
        <v>5.32</v>
      </c>
      <c r="P15" s="218">
        <v>5.12</v>
      </c>
      <c r="Q15" s="218">
        <v>5.26</v>
      </c>
      <c r="R15" s="218">
        <v>5.35</v>
      </c>
      <c r="S15" s="218">
        <v>5.5</v>
      </c>
      <c r="T15" s="218">
        <v>5.62</v>
      </c>
      <c r="U15" s="218">
        <v>5.6537996854810073</v>
      </c>
      <c r="V15" s="218">
        <v>5.6530740242537769</v>
      </c>
      <c r="X15" s="152"/>
      <c r="Y15" s="152"/>
      <c r="Z15" s="152"/>
    </row>
    <row r="16" spans="1:26" ht="15" customHeight="1">
      <c r="A16" s="77"/>
      <c r="B16" s="21" t="s">
        <v>30</v>
      </c>
      <c r="C16" s="218">
        <v>2.37</v>
      </c>
      <c r="D16" s="218">
        <v>2.5499999999999998</v>
      </c>
      <c r="E16" s="218">
        <v>2.98</v>
      </c>
      <c r="F16" s="218">
        <v>3.12</v>
      </c>
      <c r="G16" s="218">
        <v>3.68</v>
      </c>
      <c r="H16" s="218">
        <v>3.79</v>
      </c>
      <c r="I16" s="218">
        <v>3.96</v>
      </c>
      <c r="J16" s="218">
        <v>4.49</v>
      </c>
      <c r="K16" s="218">
        <v>3.62</v>
      </c>
      <c r="L16" s="218">
        <v>4.62</v>
      </c>
      <c r="M16" s="218">
        <v>4.37</v>
      </c>
      <c r="N16" s="218">
        <v>4.76</v>
      </c>
      <c r="O16" s="218">
        <v>5.08</v>
      </c>
      <c r="P16" s="218">
        <v>5.22</v>
      </c>
      <c r="Q16" s="218">
        <v>5.15</v>
      </c>
      <c r="R16" s="218">
        <v>5.19</v>
      </c>
      <c r="S16" s="218">
        <v>5.22</v>
      </c>
      <c r="T16" s="218">
        <v>5.23</v>
      </c>
      <c r="U16" s="218">
        <v>5.2051810347070235</v>
      </c>
      <c r="V16" s="218">
        <v>5.2430336273016476</v>
      </c>
      <c r="X16" s="152"/>
      <c r="Y16" s="152"/>
      <c r="Z16" s="152"/>
    </row>
    <row r="17" spans="1:26" ht="15" customHeight="1">
      <c r="A17" s="77"/>
      <c r="B17" s="21" t="s">
        <v>31</v>
      </c>
      <c r="C17" s="218">
        <v>2.89</v>
      </c>
      <c r="D17" s="218">
        <v>2.9</v>
      </c>
      <c r="E17" s="218">
        <v>2.99</v>
      </c>
      <c r="F17" s="218">
        <v>3.07</v>
      </c>
      <c r="G17" s="218">
        <v>3.78</v>
      </c>
      <c r="H17" s="218">
        <v>3.88</v>
      </c>
      <c r="I17" s="218">
        <v>4.09</v>
      </c>
      <c r="J17" s="218">
        <v>4.2300000000000004</v>
      </c>
      <c r="K17" s="218">
        <v>5.12</v>
      </c>
      <c r="L17" s="218">
        <v>4.5999999999999996</v>
      </c>
      <c r="M17" s="218">
        <v>4.8499999999999996</v>
      </c>
      <c r="N17" s="218">
        <v>5.08</v>
      </c>
      <c r="O17" s="218">
        <v>4.78</v>
      </c>
      <c r="P17" s="218">
        <v>4.88</v>
      </c>
      <c r="Q17" s="218">
        <v>4.9400000000000004</v>
      </c>
      <c r="R17" s="218">
        <v>4.9400000000000004</v>
      </c>
      <c r="S17" s="218">
        <v>4.9400000000000004</v>
      </c>
      <c r="T17" s="218">
        <v>4.9000000000000004</v>
      </c>
      <c r="U17" s="218">
        <v>4.8675026736921865</v>
      </c>
      <c r="V17" s="218">
        <v>4.8685212829626545</v>
      </c>
      <c r="X17" s="152"/>
      <c r="Y17" s="152"/>
      <c r="Z17" s="152"/>
    </row>
    <row r="18" spans="1:26" ht="15" customHeight="1">
      <c r="A18" s="77"/>
      <c r="B18" s="21" t="s">
        <v>32</v>
      </c>
      <c r="C18" s="218">
        <v>2.19</v>
      </c>
      <c r="D18" s="218">
        <v>2.5</v>
      </c>
      <c r="E18" s="218">
        <v>2.81</v>
      </c>
      <c r="F18" s="218">
        <v>3.14</v>
      </c>
      <c r="G18" s="218">
        <v>3.7</v>
      </c>
      <c r="H18" s="218">
        <v>3.5</v>
      </c>
      <c r="I18" s="218">
        <v>3.59</v>
      </c>
      <c r="J18" s="218">
        <v>4.08</v>
      </c>
      <c r="K18" s="218">
        <v>4.25</v>
      </c>
      <c r="L18" s="218">
        <v>4.18</v>
      </c>
      <c r="M18" s="218">
        <v>4.12</v>
      </c>
      <c r="N18" s="218">
        <v>3.98</v>
      </c>
      <c r="O18" s="218">
        <v>4.0199999999999996</v>
      </c>
      <c r="P18" s="218">
        <v>4.12</v>
      </c>
      <c r="Q18" s="218">
        <v>4.03</v>
      </c>
      <c r="R18" s="218">
        <v>4.0199999999999996</v>
      </c>
      <c r="S18" s="218">
        <v>4.01</v>
      </c>
      <c r="T18" s="218">
        <v>4.0199999999999996</v>
      </c>
      <c r="U18" s="218">
        <v>4.0128792576113339</v>
      </c>
      <c r="V18" s="218">
        <v>4.0431615345867575</v>
      </c>
      <c r="X18" s="152"/>
      <c r="Y18" s="152"/>
      <c r="Z18" s="152"/>
    </row>
    <row r="19" spans="1:26" ht="15" customHeight="1">
      <c r="A19" s="77"/>
      <c r="B19" s="21" t="s">
        <v>33</v>
      </c>
      <c r="C19" s="218">
        <v>3.13</v>
      </c>
      <c r="D19" s="218">
        <v>3.1</v>
      </c>
      <c r="E19" s="218">
        <v>3.07</v>
      </c>
      <c r="F19" s="218">
        <v>3.35</v>
      </c>
      <c r="G19" s="218">
        <v>3.74</v>
      </c>
      <c r="H19" s="218">
        <v>4.03</v>
      </c>
      <c r="I19" s="218">
        <v>3.86</v>
      </c>
      <c r="J19" s="218">
        <v>4.4400000000000004</v>
      </c>
      <c r="K19" s="218">
        <v>4.3600000000000003</v>
      </c>
      <c r="L19" s="218">
        <v>4.3499999999999996</v>
      </c>
      <c r="M19" s="218">
        <v>4.7</v>
      </c>
      <c r="N19" s="218">
        <v>4.99</v>
      </c>
      <c r="O19" s="218">
        <v>4.82</v>
      </c>
      <c r="P19" s="218">
        <v>4.9800000000000004</v>
      </c>
      <c r="Q19" s="218">
        <v>4.95</v>
      </c>
      <c r="R19" s="218">
        <v>4.92</v>
      </c>
      <c r="S19" s="218">
        <v>4.79</v>
      </c>
      <c r="T19" s="218">
        <v>4.7300000000000004</v>
      </c>
      <c r="U19" s="218">
        <v>4.7150914093396725</v>
      </c>
      <c r="V19" s="218">
        <v>4.7574046392700788</v>
      </c>
      <c r="X19" s="152"/>
      <c r="Y19" s="152"/>
      <c r="Z19" s="152"/>
    </row>
    <row r="20" spans="1:26" ht="15" customHeight="1">
      <c r="A20" s="77"/>
      <c r="B20" s="21" t="s">
        <v>34</v>
      </c>
      <c r="C20" s="218">
        <v>3.43</v>
      </c>
      <c r="D20" s="218">
        <v>2.76</v>
      </c>
      <c r="E20" s="218">
        <v>3.04</v>
      </c>
      <c r="F20" s="218">
        <v>3.66</v>
      </c>
      <c r="G20" s="218">
        <v>3.62</v>
      </c>
      <c r="H20" s="218">
        <v>3.55</v>
      </c>
      <c r="I20" s="218">
        <v>3.75</v>
      </c>
      <c r="J20" s="218">
        <v>3.89</v>
      </c>
      <c r="K20" s="218">
        <v>4.1399999999999997</v>
      </c>
      <c r="L20" s="218">
        <v>4.13</v>
      </c>
      <c r="M20" s="218">
        <v>4.3099999999999996</v>
      </c>
      <c r="N20" s="218">
        <v>4.5599999999999996</v>
      </c>
      <c r="O20" s="218">
        <v>4.46</v>
      </c>
      <c r="P20" s="218">
        <v>4.5</v>
      </c>
      <c r="Q20" s="218">
        <v>4.4400000000000004</v>
      </c>
      <c r="R20" s="218">
        <v>4.3499999999999996</v>
      </c>
      <c r="S20" s="218">
        <v>4.21</v>
      </c>
      <c r="T20" s="218">
        <v>4.16</v>
      </c>
      <c r="U20" s="218">
        <v>4.1143147677656238</v>
      </c>
      <c r="V20" s="218">
        <v>4.1237938083671626</v>
      </c>
      <c r="X20" s="152"/>
      <c r="Y20" s="152"/>
      <c r="Z20" s="152"/>
    </row>
    <row r="21" spans="1:26" ht="15" customHeight="1">
      <c r="A21" s="77"/>
      <c r="B21" s="21" t="s">
        <v>35</v>
      </c>
      <c r="C21" s="218">
        <v>2.23</v>
      </c>
      <c r="D21" s="218">
        <v>2.2200000000000002</v>
      </c>
      <c r="E21" s="218">
        <v>2.36</v>
      </c>
      <c r="F21" s="218">
        <v>2.75</v>
      </c>
      <c r="G21" s="218">
        <v>3.06</v>
      </c>
      <c r="H21" s="218">
        <v>2.7</v>
      </c>
      <c r="I21" s="218">
        <v>3.25</v>
      </c>
      <c r="J21" s="218">
        <v>3.78</v>
      </c>
      <c r="K21" s="218">
        <v>4.2300000000000004</v>
      </c>
      <c r="L21" s="218">
        <v>4.18</v>
      </c>
      <c r="M21" s="218">
        <v>4.6399999999999997</v>
      </c>
      <c r="N21" s="218">
        <v>4.6900000000000004</v>
      </c>
      <c r="O21" s="218">
        <v>4.54</v>
      </c>
      <c r="P21" s="218">
        <v>4.71</v>
      </c>
      <c r="Q21" s="218">
        <v>4.8</v>
      </c>
      <c r="R21" s="218">
        <v>4.78</v>
      </c>
      <c r="S21" s="218">
        <v>4.75</v>
      </c>
      <c r="T21" s="218">
        <v>4.75</v>
      </c>
      <c r="U21" s="218">
        <v>4.7555874908888427</v>
      </c>
      <c r="V21" s="218">
        <v>4.7623052437908191</v>
      </c>
      <c r="X21" s="152"/>
      <c r="Y21" s="152"/>
      <c r="Z21" s="152"/>
    </row>
    <row r="22" spans="1:26" ht="15" customHeight="1">
      <c r="A22" s="77"/>
      <c r="B22" s="21" t="s">
        <v>36</v>
      </c>
      <c r="C22" s="218">
        <v>3.1</v>
      </c>
      <c r="D22" s="218">
        <v>3.4</v>
      </c>
      <c r="E22" s="218">
        <v>3.05</v>
      </c>
      <c r="F22" s="218">
        <v>3.06</v>
      </c>
      <c r="G22" s="218">
        <v>3.03</v>
      </c>
      <c r="H22" s="218">
        <v>3.07</v>
      </c>
      <c r="I22" s="218">
        <v>3.07</v>
      </c>
      <c r="J22" s="218">
        <v>3.39</v>
      </c>
      <c r="K22" s="218">
        <v>3.54</v>
      </c>
      <c r="L22" s="218">
        <v>3.68</v>
      </c>
      <c r="M22" s="218">
        <v>3.94</v>
      </c>
      <c r="N22" s="218">
        <v>4.16</v>
      </c>
      <c r="O22" s="218">
        <v>4.1500000000000004</v>
      </c>
      <c r="P22" s="218">
        <v>4.29</v>
      </c>
      <c r="Q22" s="218">
        <v>4.34</v>
      </c>
      <c r="R22" s="218">
        <v>4.29</v>
      </c>
      <c r="S22" s="218">
        <v>4.22</v>
      </c>
      <c r="T22" s="218">
        <v>4.21</v>
      </c>
      <c r="U22" s="218">
        <v>4.2060665552402883</v>
      </c>
      <c r="V22" s="218">
        <v>4.2432458406741125</v>
      </c>
      <c r="X22" s="152"/>
      <c r="Y22" s="152"/>
      <c r="Z22" s="152"/>
    </row>
    <row r="23" spans="1:26" ht="15" customHeight="1">
      <c r="A23" s="77"/>
      <c r="B23" s="21" t="s">
        <v>37</v>
      </c>
      <c r="C23" s="218">
        <v>3.31</v>
      </c>
      <c r="D23" s="218">
        <v>3.23</v>
      </c>
      <c r="E23" s="218">
        <v>3.14</v>
      </c>
      <c r="F23" s="218">
        <v>3.36</v>
      </c>
      <c r="G23" s="218">
        <v>3.39</v>
      </c>
      <c r="H23" s="218">
        <v>3.11</v>
      </c>
      <c r="I23" s="218">
        <v>3.18</v>
      </c>
      <c r="J23" s="218">
        <v>3.54</v>
      </c>
      <c r="K23" s="218">
        <v>3.63</v>
      </c>
      <c r="L23" s="218">
        <v>4.03</v>
      </c>
      <c r="M23" s="218">
        <v>4.17</v>
      </c>
      <c r="N23" s="218">
        <v>4.45</v>
      </c>
      <c r="O23" s="218">
        <v>4.33</v>
      </c>
      <c r="P23" s="218">
        <v>4.32</v>
      </c>
      <c r="Q23" s="218">
        <v>4.51</v>
      </c>
      <c r="R23" s="218">
        <v>4.5599999999999996</v>
      </c>
      <c r="S23" s="218">
        <v>4.5599999999999996</v>
      </c>
      <c r="T23" s="218">
        <v>4.53</v>
      </c>
      <c r="U23" s="218">
        <v>4.5251713610619317</v>
      </c>
      <c r="V23" s="218">
        <v>4.6182917081941097</v>
      </c>
      <c r="X23" s="152"/>
      <c r="Y23" s="152"/>
      <c r="Z23" s="152"/>
    </row>
    <row r="24" spans="1:26" ht="15" customHeight="1">
      <c r="A24" s="77"/>
      <c r="B24" s="21" t="s">
        <v>38</v>
      </c>
      <c r="C24" s="218">
        <v>2.77</v>
      </c>
      <c r="D24" s="218">
        <v>2.77</v>
      </c>
      <c r="E24" s="218">
        <v>2.77</v>
      </c>
      <c r="F24" s="218">
        <v>2.97</v>
      </c>
      <c r="G24" s="218">
        <v>3.47</v>
      </c>
      <c r="H24" s="218">
        <v>3.65</v>
      </c>
      <c r="I24" s="218">
        <v>3.63</v>
      </c>
      <c r="J24" s="218">
        <v>3.92</v>
      </c>
      <c r="K24" s="218">
        <v>4.03</v>
      </c>
      <c r="L24" s="218">
        <v>3.9</v>
      </c>
      <c r="M24" s="218">
        <v>4.04</v>
      </c>
      <c r="N24" s="218">
        <v>4.16</v>
      </c>
      <c r="O24" s="218">
        <v>4.29</v>
      </c>
      <c r="P24" s="218">
        <v>4.3</v>
      </c>
      <c r="Q24" s="218">
        <v>4.3499999999999996</v>
      </c>
      <c r="R24" s="218">
        <v>4.3099999999999996</v>
      </c>
      <c r="S24" s="218">
        <v>4.16</v>
      </c>
      <c r="T24" s="218">
        <v>4.1100000000000003</v>
      </c>
      <c r="U24" s="218">
        <v>4.0872172613381315</v>
      </c>
      <c r="V24" s="218">
        <v>4.1131624841087797</v>
      </c>
      <c r="X24" s="152"/>
      <c r="Y24" s="152"/>
      <c r="Z24" s="152"/>
    </row>
    <row r="25" spans="1:26" ht="15" customHeight="1">
      <c r="A25" s="77"/>
      <c r="B25" s="21" t="s">
        <v>39</v>
      </c>
      <c r="C25" s="218">
        <v>2.67</v>
      </c>
      <c r="D25" s="218">
        <v>2.72</v>
      </c>
      <c r="E25" s="218">
        <v>2.74</v>
      </c>
      <c r="F25" s="218">
        <v>2.73</v>
      </c>
      <c r="G25" s="218">
        <v>2.87</v>
      </c>
      <c r="H25" s="218">
        <v>3.55</v>
      </c>
      <c r="I25" s="218">
        <v>3.77</v>
      </c>
      <c r="J25" s="218">
        <v>3.83</v>
      </c>
      <c r="K25" s="218">
        <v>3.76</v>
      </c>
      <c r="L25" s="218">
        <v>3.75</v>
      </c>
      <c r="M25" s="218">
        <v>3.72</v>
      </c>
      <c r="N25" s="218">
        <v>3.82</v>
      </c>
      <c r="O25" s="218">
        <v>3.91</v>
      </c>
      <c r="P25" s="218">
        <v>3.97</v>
      </c>
      <c r="Q25" s="218">
        <v>3.93</v>
      </c>
      <c r="R25" s="218">
        <v>3.78</v>
      </c>
      <c r="S25" s="218">
        <v>3.62</v>
      </c>
      <c r="T25" s="218">
        <v>3.54</v>
      </c>
      <c r="U25" s="218">
        <v>3.5567646120633238</v>
      </c>
      <c r="V25" s="218">
        <v>3.5519446140383479</v>
      </c>
      <c r="X25" s="152"/>
      <c r="Y25" s="152"/>
      <c r="Z25" s="152"/>
    </row>
    <row r="26" spans="1:26" ht="15" customHeight="1">
      <c r="A26" s="77"/>
      <c r="B26" s="21" t="s">
        <v>42</v>
      </c>
      <c r="C26" s="218">
        <v>2.84</v>
      </c>
      <c r="D26" s="218">
        <v>2.71</v>
      </c>
      <c r="E26" s="218">
        <v>3.1</v>
      </c>
      <c r="F26" s="218">
        <v>3.72</v>
      </c>
      <c r="G26" s="218">
        <v>3.84</v>
      </c>
      <c r="H26" s="218">
        <v>3.51</v>
      </c>
      <c r="I26" s="218">
        <v>4.1100000000000003</v>
      </c>
      <c r="J26" s="218">
        <v>4.29</v>
      </c>
      <c r="K26" s="218">
        <v>4.55</v>
      </c>
      <c r="L26" s="218">
        <v>4.0999999999999996</v>
      </c>
      <c r="M26" s="218">
        <v>3.99</v>
      </c>
      <c r="N26" s="218">
        <v>4.99</v>
      </c>
      <c r="O26" s="218">
        <v>4.95</v>
      </c>
      <c r="P26" s="218">
        <v>4.95</v>
      </c>
      <c r="Q26" s="218">
        <v>4.9800000000000004</v>
      </c>
      <c r="R26" s="218">
        <v>4.92</v>
      </c>
      <c r="S26" s="218">
        <v>4.96</v>
      </c>
      <c r="T26" s="218">
        <v>4.9400000000000004</v>
      </c>
      <c r="U26" s="218">
        <v>4.9355166547767659</v>
      </c>
      <c r="V26" s="218">
        <v>4.9341609414066774</v>
      </c>
      <c r="X26" s="152"/>
      <c r="Y26" s="152"/>
      <c r="Z26" s="152"/>
    </row>
    <row r="27" spans="1:26" ht="15" customHeight="1">
      <c r="A27" s="77"/>
      <c r="B27" s="21" t="s">
        <v>43</v>
      </c>
      <c r="C27" s="218" t="s">
        <v>73</v>
      </c>
      <c r="D27" s="218" t="s">
        <v>73</v>
      </c>
      <c r="E27" s="218" t="s">
        <v>73</v>
      </c>
      <c r="F27" s="218" t="s">
        <v>73</v>
      </c>
      <c r="G27" s="218" t="s">
        <v>73</v>
      </c>
      <c r="H27" s="218" t="s">
        <v>73</v>
      </c>
      <c r="I27" s="218" t="s">
        <v>73</v>
      </c>
      <c r="J27" s="218" t="s">
        <v>73</v>
      </c>
      <c r="K27" s="218" t="s">
        <v>73</v>
      </c>
      <c r="L27" s="218" t="s">
        <v>73</v>
      </c>
      <c r="M27" s="218" t="s">
        <v>73</v>
      </c>
      <c r="N27" s="218" t="s">
        <v>73</v>
      </c>
      <c r="O27" s="218" t="s">
        <v>73</v>
      </c>
      <c r="P27" s="218" t="s">
        <v>73</v>
      </c>
      <c r="Q27" s="218" t="s">
        <v>73</v>
      </c>
      <c r="R27" s="218" t="s">
        <v>73</v>
      </c>
      <c r="S27" s="218" t="s">
        <v>73</v>
      </c>
      <c r="T27" s="218" t="s">
        <v>73</v>
      </c>
      <c r="U27" s="218" t="s">
        <v>73</v>
      </c>
      <c r="V27" s="218" t="s">
        <v>73</v>
      </c>
    </row>
    <row r="28" spans="1:26" ht="15" customHeight="1">
      <c r="A28" s="77"/>
      <c r="B28" s="76" t="s">
        <v>44</v>
      </c>
      <c r="C28" s="218" t="s">
        <v>73</v>
      </c>
      <c r="D28" s="218" t="s">
        <v>73</v>
      </c>
      <c r="E28" s="218" t="s">
        <v>73</v>
      </c>
      <c r="F28" s="218" t="s">
        <v>73</v>
      </c>
      <c r="G28" s="218" t="s">
        <v>73</v>
      </c>
      <c r="H28" s="218" t="s">
        <v>73</v>
      </c>
      <c r="I28" s="218" t="s">
        <v>73</v>
      </c>
      <c r="J28" s="218" t="s">
        <v>73</v>
      </c>
      <c r="K28" s="218" t="s">
        <v>73</v>
      </c>
      <c r="L28" s="218" t="s">
        <v>73</v>
      </c>
      <c r="M28" s="218" t="s">
        <v>73</v>
      </c>
      <c r="N28" s="218" t="s">
        <v>73</v>
      </c>
      <c r="O28" s="218" t="s">
        <v>73</v>
      </c>
      <c r="P28" s="218" t="s">
        <v>73</v>
      </c>
      <c r="Q28" s="218" t="s">
        <v>73</v>
      </c>
      <c r="R28" s="218" t="s">
        <v>73</v>
      </c>
      <c r="S28" s="218" t="s">
        <v>73</v>
      </c>
      <c r="T28" s="218" t="s">
        <v>73</v>
      </c>
      <c r="U28" s="218" t="s">
        <v>73</v>
      </c>
      <c r="V28" s="218" t="s">
        <v>73</v>
      </c>
    </row>
    <row r="29" spans="1:26" ht="15" customHeight="1">
      <c r="A29" s="77"/>
      <c r="B29" s="21" t="s">
        <v>45</v>
      </c>
      <c r="C29" s="218" t="s">
        <v>73</v>
      </c>
      <c r="D29" s="218" t="s">
        <v>73</v>
      </c>
      <c r="E29" s="218" t="s">
        <v>73</v>
      </c>
      <c r="F29" s="218" t="s">
        <v>73</v>
      </c>
      <c r="G29" s="218" t="s">
        <v>73</v>
      </c>
      <c r="H29" s="218" t="s">
        <v>73</v>
      </c>
      <c r="I29" s="218" t="s">
        <v>73</v>
      </c>
      <c r="J29" s="218" t="s">
        <v>73</v>
      </c>
      <c r="K29" s="218" t="s">
        <v>73</v>
      </c>
      <c r="L29" s="218" t="s">
        <v>73</v>
      </c>
      <c r="M29" s="218" t="s">
        <v>73</v>
      </c>
      <c r="N29" s="218" t="s">
        <v>73</v>
      </c>
      <c r="O29" s="218" t="s">
        <v>73</v>
      </c>
      <c r="P29" s="218" t="s">
        <v>73</v>
      </c>
      <c r="Q29" s="218" t="s">
        <v>73</v>
      </c>
      <c r="R29" s="218">
        <v>4.9400000000000004</v>
      </c>
      <c r="S29" s="218">
        <v>4.91</v>
      </c>
      <c r="T29" s="218">
        <v>4.84</v>
      </c>
      <c r="U29" s="218">
        <v>4.7945656082631976</v>
      </c>
      <c r="V29" s="218">
        <v>4.7840385634859066</v>
      </c>
      <c r="X29" s="152"/>
      <c r="Y29" s="152"/>
      <c r="Z29" s="152"/>
    </row>
    <row r="30" spans="1:26" ht="15" customHeight="1">
      <c r="A30" s="77"/>
      <c r="B30" s="21" t="s">
        <v>46</v>
      </c>
      <c r="C30" s="218" t="s">
        <v>73</v>
      </c>
      <c r="D30" s="218" t="s">
        <v>73</v>
      </c>
      <c r="E30" s="218" t="s">
        <v>73</v>
      </c>
      <c r="F30" s="218" t="s">
        <v>73</v>
      </c>
      <c r="G30" s="218" t="s">
        <v>73</v>
      </c>
      <c r="H30" s="218" t="s">
        <v>73</v>
      </c>
      <c r="I30" s="218" t="s">
        <v>73</v>
      </c>
      <c r="J30" s="218" t="s">
        <v>73</v>
      </c>
      <c r="K30" s="218" t="s">
        <v>73</v>
      </c>
      <c r="L30" s="218" t="s">
        <v>73</v>
      </c>
      <c r="M30" s="218" t="s">
        <v>73</v>
      </c>
      <c r="N30" s="218" t="s">
        <v>73</v>
      </c>
      <c r="O30" s="218" t="s">
        <v>73</v>
      </c>
      <c r="P30" s="218" t="s">
        <v>73</v>
      </c>
      <c r="Q30" s="218" t="s">
        <v>73</v>
      </c>
      <c r="R30" s="218" t="s">
        <v>73</v>
      </c>
      <c r="S30" s="218" t="s">
        <v>73</v>
      </c>
      <c r="T30" s="218" t="s">
        <v>73</v>
      </c>
      <c r="U30" s="218" t="s">
        <v>73</v>
      </c>
      <c r="V30" s="218" t="s">
        <v>73</v>
      </c>
    </row>
    <row r="31" spans="1:26" ht="15" customHeight="1" thickBot="1">
      <c r="A31" s="82"/>
      <c r="B31" s="434" t="s">
        <v>47</v>
      </c>
      <c r="C31" s="433" t="s">
        <v>73</v>
      </c>
      <c r="D31" s="433" t="s">
        <v>73</v>
      </c>
      <c r="E31" s="433" t="s">
        <v>73</v>
      </c>
      <c r="F31" s="433" t="s">
        <v>73</v>
      </c>
      <c r="G31" s="433" t="s">
        <v>73</v>
      </c>
      <c r="H31" s="433" t="s">
        <v>73</v>
      </c>
      <c r="I31" s="433" t="s">
        <v>73</v>
      </c>
      <c r="J31" s="433" t="s">
        <v>73</v>
      </c>
      <c r="K31" s="433" t="s">
        <v>73</v>
      </c>
      <c r="L31" s="433" t="s">
        <v>73</v>
      </c>
      <c r="M31" s="433" t="s">
        <v>73</v>
      </c>
      <c r="N31" s="433" t="s">
        <v>73</v>
      </c>
      <c r="O31" s="433" t="s">
        <v>73</v>
      </c>
      <c r="P31" s="433" t="s">
        <v>73</v>
      </c>
      <c r="Q31" s="433" t="s">
        <v>73</v>
      </c>
      <c r="R31" s="433" t="s">
        <v>73</v>
      </c>
      <c r="S31" s="433" t="s">
        <v>73</v>
      </c>
      <c r="T31" s="433" t="s">
        <v>73</v>
      </c>
      <c r="U31" s="433" t="s">
        <v>73</v>
      </c>
      <c r="V31" s="433" t="s">
        <v>73</v>
      </c>
    </row>
    <row r="32" spans="1:26" ht="11" customHeight="1">
      <c r="A32" s="529" t="s">
        <v>330</v>
      </c>
      <c r="B32" s="527"/>
      <c r="C32" s="528"/>
      <c r="D32" s="528"/>
      <c r="E32" s="528"/>
      <c r="F32" s="528"/>
      <c r="G32" s="528"/>
      <c r="H32" s="836" t="s">
        <v>346</v>
      </c>
      <c r="I32" s="469"/>
      <c r="J32" s="198"/>
      <c r="K32" s="198"/>
      <c r="L32" s="198"/>
      <c r="M32" s="198"/>
      <c r="N32" s="198"/>
      <c r="O32" s="209"/>
      <c r="P32" s="209"/>
      <c r="Q32" s="209"/>
      <c r="R32" s="209"/>
      <c r="S32" s="209"/>
      <c r="T32" s="209"/>
      <c r="U32" s="209"/>
      <c r="V32" s="209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9"/>
      <c r="Q33" s="209"/>
      <c r="R33" s="209"/>
      <c r="S33" s="209"/>
      <c r="T33" s="209"/>
      <c r="U33" s="209"/>
      <c r="V33" s="209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9"/>
      <c r="Q34" s="209"/>
      <c r="R34" s="209"/>
      <c r="S34" s="209"/>
      <c r="T34" s="209"/>
      <c r="U34" s="209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  <c r="P35" s="152"/>
      <c r="Q35" s="152"/>
      <c r="R35" s="152"/>
      <c r="S35" s="152"/>
      <c r="T35" s="152"/>
      <c r="U35" s="152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  <c r="P36" s="152"/>
      <c r="Q36" s="152"/>
      <c r="R36" s="152"/>
      <c r="S36" s="152"/>
      <c r="T36" s="152"/>
      <c r="U36" s="15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6">
    <tabColor theme="9" tint="0.59999389629810485"/>
  </sheetPr>
  <dimension ref="A2:V62"/>
  <sheetViews>
    <sheetView showGridLines="0" zoomScaleNormal="100" workbookViewId="0">
      <selection activeCell="U3" sqref="U3"/>
    </sheetView>
  </sheetViews>
  <sheetFormatPr baseColWidth="10" defaultColWidth="7" defaultRowHeight="13.25" customHeight="1"/>
  <cols>
    <col min="1" max="1" width="0.3984375" style="76" customWidth="1"/>
    <col min="2" max="2" width="9.59765625" style="76" customWidth="1"/>
    <col min="3" max="4" width="8" style="76" hidden="1" customWidth="1"/>
    <col min="5" max="23" width="6.796875" style="76" customWidth="1"/>
    <col min="24" max="16384" width="7" style="76"/>
  </cols>
  <sheetData>
    <row r="2" spans="1:22" ht="17.25" customHeight="1">
      <c r="A2" s="210" t="s">
        <v>492</v>
      </c>
      <c r="B2" s="211"/>
    </row>
    <row r="3" spans="1:22" ht="13.25" customHeight="1">
      <c r="A3" s="212" t="s">
        <v>211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2" ht="18" customHeight="1">
      <c r="A6" s="1020" t="s">
        <v>93</v>
      </c>
      <c r="B6" s="1020"/>
      <c r="C6" s="629">
        <f t="shared" ref="C6:M6" si="0">(C8+C9+C10+C11+C12+C13+C14+C15+C16+C17+C18+C19+C20+C21+C22+C23+C24+C25+C26+C27+C28+C29+C30+C31)</f>
        <v>14813786</v>
      </c>
      <c r="D6" s="629">
        <f t="shared" si="0"/>
        <v>14675255</v>
      </c>
      <c r="E6" s="630">
        <f t="shared" si="0"/>
        <v>14580166</v>
      </c>
      <c r="F6" s="630">
        <f t="shared" si="0"/>
        <v>14509628</v>
      </c>
      <c r="G6" s="630">
        <f t="shared" si="0"/>
        <v>14137690</v>
      </c>
      <c r="H6" s="630">
        <f t="shared" si="0"/>
        <v>14159719</v>
      </c>
      <c r="I6" s="630">
        <f t="shared" si="0"/>
        <v>14050173</v>
      </c>
      <c r="J6" s="630">
        <f t="shared" si="0"/>
        <v>12184143</v>
      </c>
      <c r="K6" s="630">
        <f t="shared" si="0"/>
        <v>11830977</v>
      </c>
      <c r="L6" s="630">
        <f t="shared" si="0"/>
        <v>11652272</v>
      </c>
      <c r="M6" s="630">
        <f t="shared" si="0"/>
        <v>11982580</v>
      </c>
      <c r="N6" s="630">
        <f t="shared" ref="N6:V6" si="1">(N8+N9+N10+N11+N12+N13+N14+N15+N16+N17+N18+N19+N20+N21+N22+N23+N24+N25+N26+N27+N28+N29+N30+N31)</f>
        <v>11450659</v>
      </c>
      <c r="O6" s="630">
        <f t="shared" si="1"/>
        <v>11338424</v>
      </c>
      <c r="P6" s="630">
        <f t="shared" si="1"/>
        <v>11330908</v>
      </c>
      <c r="Q6" s="630">
        <f t="shared" si="1"/>
        <v>11371639</v>
      </c>
      <c r="R6" s="630">
        <f t="shared" si="1"/>
        <v>11071699</v>
      </c>
      <c r="S6" s="630">
        <f t="shared" ref="S6:U6" si="2">(S8+S9+S10+S11+S12+S13+S14+S15+S16+S17+S18+S19+S20+S21+S22+S23+S24+S25+S26+S27+S28+S29+S30+S31)</f>
        <v>10942309</v>
      </c>
      <c r="T6" s="630">
        <f t="shared" si="2"/>
        <v>11201726</v>
      </c>
      <c r="U6" s="630">
        <f t="shared" si="2"/>
        <v>11238432</v>
      </c>
      <c r="V6" s="630">
        <f t="shared" si="1"/>
        <v>11278083</v>
      </c>
    </row>
    <row r="7" spans="1:22" ht="3" customHeight="1">
      <c r="A7" s="77"/>
      <c r="B7" s="78"/>
      <c r="C7" s="203"/>
      <c r="D7" s="203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</row>
    <row r="8" spans="1:22" ht="15" customHeight="1">
      <c r="A8" s="838"/>
      <c r="B8" s="839" t="s">
        <v>19</v>
      </c>
      <c r="C8" s="202">
        <v>10010</v>
      </c>
      <c r="D8" s="202">
        <v>8700</v>
      </c>
      <c r="E8" s="87">
        <v>8750</v>
      </c>
      <c r="F8" s="87">
        <v>7352</v>
      </c>
      <c r="G8" s="87">
        <v>7460</v>
      </c>
      <c r="H8" s="87">
        <v>8230</v>
      </c>
      <c r="I8" s="87">
        <v>9430</v>
      </c>
      <c r="J8" s="87">
        <v>8950</v>
      </c>
      <c r="K8" s="87">
        <v>8700</v>
      </c>
      <c r="L8" s="87">
        <v>7410</v>
      </c>
      <c r="M8" s="473">
        <v>8468</v>
      </c>
      <c r="N8" s="473">
        <v>6290</v>
      </c>
      <c r="O8" s="473">
        <v>7580</v>
      </c>
      <c r="P8" s="473">
        <v>7450</v>
      </c>
      <c r="Q8" s="473">
        <v>7515</v>
      </c>
      <c r="R8" s="473">
        <v>10210</v>
      </c>
      <c r="S8" s="473">
        <v>9063</v>
      </c>
      <c r="T8" s="473">
        <v>9637</v>
      </c>
      <c r="U8" s="473">
        <v>11437</v>
      </c>
      <c r="V8" s="473">
        <v>9937</v>
      </c>
    </row>
    <row r="9" spans="1:22" ht="15" customHeight="1">
      <c r="A9" s="838"/>
      <c r="B9" s="839" t="s">
        <v>20</v>
      </c>
      <c r="C9" s="202">
        <v>278876</v>
      </c>
      <c r="D9" s="202">
        <v>275000</v>
      </c>
      <c r="E9" s="87">
        <v>263896</v>
      </c>
      <c r="F9" s="87">
        <v>248203</v>
      </c>
      <c r="G9" s="87">
        <v>256830</v>
      </c>
      <c r="H9" s="87">
        <v>338970</v>
      </c>
      <c r="I9" s="87">
        <v>338702</v>
      </c>
      <c r="J9" s="87">
        <v>344798</v>
      </c>
      <c r="K9" s="87">
        <v>313119</v>
      </c>
      <c r="L9" s="87">
        <v>292109</v>
      </c>
      <c r="M9" s="473">
        <v>309339</v>
      </c>
      <c r="N9" s="473">
        <v>302540</v>
      </c>
      <c r="O9" s="473">
        <v>341213</v>
      </c>
      <c r="P9" s="473">
        <v>293119</v>
      </c>
      <c r="Q9" s="473">
        <v>274350</v>
      </c>
      <c r="R9" s="473">
        <v>243119</v>
      </c>
      <c r="S9" s="473">
        <v>266289</v>
      </c>
      <c r="T9" s="473">
        <v>254704</v>
      </c>
      <c r="U9" s="473">
        <v>243119</v>
      </c>
      <c r="V9" s="473">
        <v>243119</v>
      </c>
    </row>
    <row r="10" spans="1:22" ht="15" customHeight="1">
      <c r="A10" s="838"/>
      <c r="B10" s="839" t="s">
        <v>21</v>
      </c>
      <c r="C10" s="202">
        <v>72000</v>
      </c>
      <c r="D10" s="202">
        <v>70100</v>
      </c>
      <c r="E10" s="87">
        <v>77846</v>
      </c>
      <c r="F10" s="87">
        <v>95249</v>
      </c>
      <c r="G10" s="87">
        <v>93100</v>
      </c>
      <c r="H10" s="87">
        <v>87659</v>
      </c>
      <c r="I10" s="87">
        <v>86180</v>
      </c>
      <c r="J10" s="87">
        <v>77386</v>
      </c>
      <c r="K10" s="87">
        <v>85246</v>
      </c>
      <c r="L10" s="87">
        <v>84377</v>
      </c>
      <c r="M10" s="87">
        <v>84240</v>
      </c>
      <c r="N10" s="87">
        <v>82685</v>
      </c>
      <c r="O10" s="87">
        <v>68810</v>
      </c>
      <c r="P10" s="87">
        <v>67840</v>
      </c>
      <c r="Q10" s="87">
        <v>68325</v>
      </c>
      <c r="R10" s="87">
        <v>72859</v>
      </c>
      <c r="S10" s="87">
        <v>73368</v>
      </c>
      <c r="T10" s="87">
        <v>74798</v>
      </c>
      <c r="U10" s="87">
        <v>71310</v>
      </c>
      <c r="V10" s="87">
        <v>73114</v>
      </c>
    </row>
    <row r="11" spans="1:22" ht="15" customHeight="1">
      <c r="A11" s="838"/>
      <c r="B11" s="839" t="s">
        <v>22</v>
      </c>
      <c r="C11" s="202">
        <v>402413</v>
      </c>
      <c r="D11" s="202">
        <v>420429</v>
      </c>
      <c r="E11" s="87">
        <v>413495</v>
      </c>
      <c r="F11" s="87">
        <v>412886</v>
      </c>
      <c r="G11" s="87">
        <v>412338</v>
      </c>
      <c r="H11" s="87">
        <v>412672</v>
      </c>
      <c r="I11" s="87">
        <v>412407</v>
      </c>
      <c r="J11" s="87">
        <v>402621</v>
      </c>
      <c r="K11" s="87">
        <v>356517</v>
      </c>
      <c r="L11" s="87">
        <v>365201</v>
      </c>
      <c r="M11" s="473">
        <v>356682</v>
      </c>
      <c r="N11" s="473">
        <v>357814</v>
      </c>
      <c r="O11" s="473">
        <v>356486</v>
      </c>
      <c r="P11" s="473">
        <v>333412</v>
      </c>
      <c r="Q11" s="473">
        <v>360982</v>
      </c>
      <c r="R11" s="473">
        <v>360882</v>
      </c>
      <c r="S11" s="473">
        <v>36171</v>
      </c>
      <c r="T11" s="473">
        <v>361175</v>
      </c>
      <c r="U11" s="473">
        <v>369947</v>
      </c>
      <c r="V11" s="473">
        <v>368772</v>
      </c>
    </row>
    <row r="12" spans="1:22" ht="15" customHeight="1">
      <c r="A12" s="838"/>
      <c r="B12" s="839" t="s">
        <v>23</v>
      </c>
      <c r="C12" s="202">
        <v>375069</v>
      </c>
      <c r="D12" s="202">
        <v>391715</v>
      </c>
      <c r="E12" s="87">
        <v>426561</v>
      </c>
      <c r="F12" s="87">
        <v>434653</v>
      </c>
      <c r="G12" s="87">
        <v>441100</v>
      </c>
      <c r="H12" s="87">
        <v>413819</v>
      </c>
      <c r="I12" s="87">
        <v>434278</v>
      </c>
      <c r="J12" s="87">
        <v>421175</v>
      </c>
      <c r="K12" s="87">
        <v>417560</v>
      </c>
      <c r="L12" s="87">
        <v>411297</v>
      </c>
      <c r="M12" s="473">
        <v>409942</v>
      </c>
      <c r="N12" s="473">
        <v>465641</v>
      </c>
      <c r="O12" s="473">
        <v>455567</v>
      </c>
      <c r="P12" s="473">
        <v>484116</v>
      </c>
      <c r="Q12" s="473">
        <v>480072</v>
      </c>
      <c r="R12" s="473">
        <v>484440</v>
      </c>
      <c r="S12" s="473">
        <v>484087</v>
      </c>
      <c r="T12" s="473">
        <v>469462</v>
      </c>
      <c r="U12" s="473">
        <v>483579</v>
      </c>
      <c r="V12" s="473">
        <v>483612</v>
      </c>
    </row>
    <row r="13" spans="1:22" ht="15" customHeight="1">
      <c r="A13" s="838"/>
      <c r="B13" s="839" t="s">
        <v>27</v>
      </c>
      <c r="C13" s="202">
        <v>37993</v>
      </c>
      <c r="D13" s="202">
        <v>38000</v>
      </c>
      <c r="E13" s="87">
        <v>39571</v>
      </c>
      <c r="F13" s="87">
        <v>39215</v>
      </c>
      <c r="G13" s="87">
        <v>40120</v>
      </c>
      <c r="H13" s="87">
        <v>41072</v>
      </c>
      <c r="I13" s="87">
        <v>42510</v>
      </c>
      <c r="J13" s="87">
        <v>31131</v>
      </c>
      <c r="K13" s="87">
        <v>40939</v>
      </c>
      <c r="L13" s="87">
        <v>40606</v>
      </c>
      <c r="M13" s="87">
        <v>38822</v>
      </c>
      <c r="N13" s="87">
        <v>29054</v>
      </c>
      <c r="O13" s="87">
        <v>21744</v>
      </c>
      <c r="P13" s="87">
        <v>24350</v>
      </c>
      <c r="Q13" s="87">
        <v>23047</v>
      </c>
      <c r="R13" s="87">
        <v>27519</v>
      </c>
      <c r="S13" s="87">
        <v>27990</v>
      </c>
      <c r="T13" s="87">
        <v>28229</v>
      </c>
      <c r="U13" s="87">
        <v>28499</v>
      </c>
      <c r="V13" s="87">
        <v>28823</v>
      </c>
    </row>
    <row r="14" spans="1:22" ht="15" customHeight="1">
      <c r="A14" s="838"/>
      <c r="B14" s="839" t="s">
        <v>28</v>
      </c>
      <c r="C14" s="202">
        <v>847298</v>
      </c>
      <c r="D14" s="202">
        <v>807840</v>
      </c>
      <c r="E14" s="87">
        <v>793399</v>
      </c>
      <c r="F14" s="87">
        <v>814814</v>
      </c>
      <c r="G14" s="87">
        <v>806982</v>
      </c>
      <c r="H14" s="87">
        <v>814067</v>
      </c>
      <c r="I14" s="87">
        <v>808502</v>
      </c>
      <c r="J14" s="87">
        <v>650284</v>
      </c>
      <c r="K14" s="87">
        <v>640242</v>
      </c>
      <c r="L14" s="87">
        <v>602944</v>
      </c>
      <c r="M14" s="473">
        <v>694111</v>
      </c>
      <c r="N14" s="473">
        <v>672817</v>
      </c>
      <c r="O14" s="473">
        <v>672175</v>
      </c>
      <c r="P14" s="473">
        <v>671482</v>
      </c>
      <c r="Q14" s="473">
        <v>671829</v>
      </c>
      <c r="R14" s="473">
        <v>670125</v>
      </c>
      <c r="S14" s="473">
        <v>672384</v>
      </c>
      <c r="T14" s="473">
        <v>671255</v>
      </c>
      <c r="U14" s="473">
        <v>671820</v>
      </c>
      <c r="V14" s="473">
        <v>671255</v>
      </c>
    </row>
    <row r="15" spans="1:22" ht="15" customHeight="1">
      <c r="A15" s="838"/>
      <c r="B15" s="839" t="s">
        <v>29</v>
      </c>
      <c r="C15" s="202">
        <v>352067</v>
      </c>
      <c r="D15" s="202">
        <v>340000</v>
      </c>
      <c r="E15" s="87">
        <v>324238</v>
      </c>
      <c r="F15" s="87">
        <v>310789</v>
      </c>
      <c r="G15" s="87">
        <v>309200</v>
      </c>
      <c r="H15" s="87">
        <v>312259</v>
      </c>
      <c r="I15" s="87">
        <v>330004</v>
      </c>
      <c r="J15" s="87">
        <v>321131</v>
      </c>
      <c r="K15" s="87">
        <v>319450</v>
      </c>
      <c r="L15" s="87">
        <v>327436</v>
      </c>
      <c r="M15" s="473">
        <v>342802</v>
      </c>
      <c r="N15" s="473">
        <v>319535</v>
      </c>
      <c r="O15" s="473">
        <v>305462</v>
      </c>
      <c r="P15" s="473">
        <v>326462</v>
      </c>
      <c r="Q15" s="473">
        <v>315962</v>
      </c>
      <c r="R15" s="473">
        <v>312547</v>
      </c>
      <c r="S15" s="473">
        <v>294505</v>
      </c>
      <c r="T15" s="473">
        <v>303526</v>
      </c>
      <c r="U15" s="473">
        <v>321147</v>
      </c>
      <c r="V15" s="473">
        <v>320363</v>
      </c>
    </row>
    <row r="16" spans="1:22" ht="15" customHeight="1">
      <c r="A16" s="838"/>
      <c r="B16" s="839" t="s">
        <v>30</v>
      </c>
      <c r="C16" s="202">
        <v>20606</v>
      </c>
      <c r="D16" s="202">
        <v>21051</v>
      </c>
      <c r="E16" s="87">
        <v>21815</v>
      </c>
      <c r="F16" s="87">
        <v>23124</v>
      </c>
      <c r="G16" s="87">
        <v>22680</v>
      </c>
      <c r="H16" s="87">
        <v>21855</v>
      </c>
      <c r="I16" s="87">
        <v>23226</v>
      </c>
      <c r="J16" s="87">
        <v>27078</v>
      </c>
      <c r="K16" s="87">
        <v>28397</v>
      </c>
      <c r="L16" s="87">
        <v>25990</v>
      </c>
      <c r="M16" s="87">
        <v>26132</v>
      </c>
      <c r="N16" s="87">
        <v>28131</v>
      </c>
      <c r="O16" s="87">
        <v>29996</v>
      </c>
      <c r="P16" s="87">
        <v>27535</v>
      </c>
      <c r="Q16" s="87">
        <v>26695</v>
      </c>
      <c r="R16" s="87">
        <v>26771</v>
      </c>
      <c r="S16" s="87">
        <v>26813</v>
      </c>
      <c r="T16" s="87">
        <v>28666</v>
      </c>
      <c r="U16" s="87">
        <v>30121</v>
      </c>
      <c r="V16" s="87">
        <v>29991</v>
      </c>
    </row>
    <row r="17" spans="1:22" ht="15" customHeight="1">
      <c r="A17" s="838"/>
      <c r="B17" s="839" t="s">
        <v>31</v>
      </c>
      <c r="C17" s="202">
        <v>1147657</v>
      </c>
      <c r="D17" s="202">
        <v>1170866</v>
      </c>
      <c r="E17" s="87">
        <v>1054504</v>
      </c>
      <c r="F17" s="87">
        <v>1021725</v>
      </c>
      <c r="G17" s="87">
        <v>998000</v>
      </c>
      <c r="H17" s="87">
        <v>987550</v>
      </c>
      <c r="I17" s="87">
        <v>839260</v>
      </c>
      <c r="J17" s="87">
        <v>702282</v>
      </c>
      <c r="K17" s="87">
        <v>760617</v>
      </c>
      <c r="L17" s="87">
        <v>761384</v>
      </c>
      <c r="M17" s="473">
        <v>759953</v>
      </c>
      <c r="N17" s="473">
        <v>634318</v>
      </c>
      <c r="O17" s="473">
        <v>529453</v>
      </c>
      <c r="P17" s="473">
        <v>530212</v>
      </c>
      <c r="Q17" s="473">
        <v>529832</v>
      </c>
      <c r="R17" s="473">
        <v>526457</v>
      </c>
      <c r="S17" s="473">
        <v>527633</v>
      </c>
      <c r="T17" s="473">
        <v>527045</v>
      </c>
      <c r="U17" s="473">
        <v>527339</v>
      </c>
      <c r="V17" s="473">
        <v>527045</v>
      </c>
    </row>
    <row r="18" spans="1:22" ht="15" customHeight="1">
      <c r="A18" s="838"/>
      <c r="B18" s="839" t="s">
        <v>32</v>
      </c>
      <c r="C18" s="202">
        <v>947800</v>
      </c>
      <c r="D18" s="202">
        <v>934944</v>
      </c>
      <c r="E18" s="87">
        <v>950105</v>
      </c>
      <c r="F18" s="87">
        <v>955224</v>
      </c>
      <c r="G18" s="87">
        <v>957700</v>
      </c>
      <c r="H18" s="87">
        <v>964060</v>
      </c>
      <c r="I18" s="87">
        <v>969245</v>
      </c>
      <c r="J18" s="87">
        <v>726314</v>
      </c>
      <c r="K18" s="87">
        <v>662425</v>
      </c>
      <c r="L18" s="87">
        <v>669260</v>
      </c>
      <c r="M18" s="473">
        <v>675939</v>
      </c>
      <c r="N18" s="473">
        <v>682688</v>
      </c>
      <c r="O18" s="473">
        <v>698536</v>
      </c>
      <c r="P18" s="473">
        <v>685310</v>
      </c>
      <c r="Q18" s="473">
        <v>691923</v>
      </c>
      <c r="R18" s="473">
        <v>680129</v>
      </c>
      <c r="S18" s="473">
        <v>684682</v>
      </c>
      <c r="T18" s="473">
        <v>682406</v>
      </c>
      <c r="U18" s="473">
        <v>683544</v>
      </c>
      <c r="V18" s="473">
        <v>682406</v>
      </c>
    </row>
    <row r="19" spans="1:22" ht="15" customHeight="1">
      <c r="A19" s="838"/>
      <c r="B19" s="839" t="s">
        <v>33</v>
      </c>
      <c r="C19" s="202">
        <v>1214210</v>
      </c>
      <c r="D19" s="202">
        <v>1216000</v>
      </c>
      <c r="E19" s="87">
        <v>1214210</v>
      </c>
      <c r="F19" s="87">
        <v>1151903</v>
      </c>
      <c r="G19" s="87">
        <v>1160000</v>
      </c>
      <c r="H19" s="87">
        <v>1080265</v>
      </c>
      <c r="I19" s="87">
        <v>1020168</v>
      </c>
      <c r="J19" s="87">
        <v>1304933</v>
      </c>
      <c r="K19" s="87">
        <v>1358604</v>
      </c>
      <c r="L19" s="87">
        <v>1345874</v>
      </c>
      <c r="M19" s="473">
        <v>1416083</v>
      </c>
      <c r="N19" s="473">
        <v>1234318</v>
      </c>
      <c r="O19" s="473">
        <v>1478438</v>
      </c>
      <c r="P19" s="473">
        <v>1554849</v>
      </c>
      <c r="Q19" s="473">
        <v>1614094</v>
      </c>
      <c r="R19" s="473">
        <v>1547309</v>
      </c>
      <c r="S19" s="473">
        <v>1611208</v>
      </c>
      <c r="T19" s="473">
        <v>1579259</v>
      </c>
      <c r="U19" s="473">
        <v>1652072</v>
      </c>
      <c r="V19" s="473">
        <v>1751173</v>
      </c>
    </row>
    <row r="20" spans="1:22" ht="15" customHeight="1">
      <c r="A20" s="838"/>
      <c r="B20" s="839" t="s">
        <v>34</v>
      </c>
      <c r="C20" s="202">
        <v>993165</v>
      </c>
      <c r="D20" s="202">
        <v>976712</v>
      </c>
      <c r="E20" s="87">
        <v>975777</v>
      </c>
      <c r="F20" s="87">
        <v>971559</v>
      </c>
      <c r="G20" s="87">
        <v>968714</v>
      </c>
      <c r="H20" s="87">
        <v>977185</v>
      </c>
      <c r="I20" s="87">
        <v>984244</v>
      </c>
      <c r="J20" s="87">
        <v>770715</v>
      </c>
      <c r="K20" s="87">
        <v>698498</v>
      </c>
      <c r="L20" s="87">
        <v>685380</v>
      </c>
      <c r="M20" s="473">
        <v>708224</v>
      </c>
      <c r="N20" s="473">
        <v>704935</v>
      </c>
      <c r="O20" s="473">
        <v>620737</v>
      </c>
      <c r="P20" s="473">
        <v>630410</v>
      </c>
      <c r="Q20" s="473">
        <v>625574</v>
      </c>
      <c r="R20" s="473">
        <v>622124</v>
      </c>
      <c r="S20" s="473">
        <v>623587</v>
      </c>
      <c r="T20" s="473">
        <v>622856</v>
      </c>
      <c r="U20" s="473">
        <v>623222</v>
      </c>
      <c r="V20" s="473">
        <v>622856</v>
      </c>
    </row>
    <row r="21" spans="1:22" ht="15" customHeight="1">
      <c r="A21" s="838"/>
      <c r="B21" s="839" t="s">
        <v>35</v>
      </c>
      <c r="C21" s="202">
        <v>286680</v>
      </c>
      <c r="D21" s="202">
        <v>269022</v>
      </c>
      <c r="E21" s="87">
        <v>266519</v>
      </c>
      <c r="F21" s="87">
        <v>263499</v>
      </c>
      <c r="G21" s="87">
        <v>253541</v>
      </c>
      <c r="H21" s="87">
        <v>249945</v>
      </c>
      <c r="I21" s="87">
        <v>207954</v>
      </c>
      <c r="J21" s="87">
        <v>220707</v>
      </c>
      <c r="K21" s="87">
        <v>223009</v>
      </c>
      <c r="L21" s="87">
        <v>222508</v>
      </c>
      <c r="M21" s="473">
        <v>221114</v>
      </c>
      <c r="N21" s="473">
        <v>209159</v>
      </c>
      <c r="O21" s="473">
        <v>187138</v>
      </c>
      <c r="P21" s="473">
        <v>188490</v>
      </c>
      <c r="Q21" s="473">
        <v>188221</v>
      </c>
      <c r="R21" s="473">
        <v>188120</v>
      </c>
      <c r="S21" s="473">
        <v>217639</v>
      </c>
      <c r="T21" s="473">
        <v>202792</v>
      </c>
      <c r="U21" s="473">
        <v>204621</v>
      </c>
      <c r="V21" s="473">
        <v>200495</v>
      </c>
    </row>
    <row r="22" spans="1:22" ht="15" customHeight="1">
      <c r="A22" s="838"/>
      <c r="B22" s="839" t="s">
        <v>36</v>
      </c>
      <c r="C22" s="202">
        <v>48614</v>
      </c>
      <c r="D22" s="202">
        <v>67273</v>
      </c>
      <c r="E22" s="87">
        <v>80662</v>
      </c>
      <c r="F22" s="87">
        <v>78146</v>
      </c>
      <c r="G22" s="87">
        <v>79120</v>
      </c>
      <c r="H22" s="87">
        <v>78763</v>
      </c>
      <c r="I22" s="87">
        <v>72046</v>
      </c>
      <c r="J22" s="87">
        <v>70405</v>
      </c>
      <c r="K22" s="87">
        <v>71410</v>
      </c>
      <c r="L22" s="87">
        <v>44276</v>
      </c>
      <c r="M22" s="473">
        <v>44999</v>
      </c>
      <c r="N22" s="473">
        <v>47249</v>
      </c>
      <c r="O22" s="473">
        <v>49611</v>
      </c>
      <c r="P22" s="473">
        <v>48970</v>
      </c>
      <c r="Q22" s="473">
        <v>49291</v>
      </c>
      <c r="R22" s="473">
        <v>47899</v>
      </c>
      <c r="S22" s="473">
        <v>48127</v>
      </c>
      <c r="T22" s="473">
        <v>48013</v>
      </c>
      <c r="U22" s="473">
        <v>48070</v>
      </c>
      <c r="V22" s="473">
        <v>48013</v>
      </c>
    </row>
    <row r="23" spans="1:22" ht="15" customHeight="1">
      <c r="A23" s="838"/>
      <c r="B23" s="839" t="s">
        <v>37</v>
      </c>
      <c r="C23" s="202">
        <v>42345</v>
      </c>
      <c r="D23" s="202">
        <v>41480</v>
      </c>
      <c r="E23" s="87">
        <v>41334</v>
      </c>
      <c r="F23" s="87">
        <v>40944</v>
      </c>
      <c r="G23" s="87">
        <v>39815</v>
      </c>
      <c r="H23" s="87">
        <v>39981</v>
      </c>
      <c r="I23" s="87">
        <v>39095</v>
      </c>
      <c r="J23" s="87">
        <v>38786</v>
      </c>
      <c r="K23" s="87">
        <v>31595</v>
      </c>
      <c r="L23" s="87">
        <v>35978</v>
      </c>
      <c r="M23" s="473">
        <v>36096</v>
      </c>
      <c r="N23" s="473">
        <v>37901</v>
      </c>
      <c r="O23" s="473">
        <v>36005</v>
      </c>
      <c r="P23" s="473">
        <v>36005</v>
      </c>
      <c r="Q23" s="473">
        <v>36005</v>
      </c>
      <c r="R23" s="473">
        <v>35782</v>
      </c>
      <c r="S23" s="473">
        <v>35897</v>
      </c>
      <c r="T23" s="473">
        <v>35840</v>
      </c>
      <c r="U23" s="473">
        <v>35869</v>
      </c>
      <c r="V23" s="473">
        <v>35840</v>
      </c>
    </row>
    <row r="24" spans="1:22" ht="15" customHeight="1">
      <c r="A24" s="838"/>
      <c r="B24" s="839" t="s">
        <v>38</v>
      </c>
      <c r="C24" s="202">
        <v>905080</v>
      </c>
      <c r="D24" s="202">
        <v>820966</v>
      </c>
      <c r="E24" s="87">
        <v>846254</v>
      </c>
      <c r="F24" s="87">
        <v>849515</v>
      </c>
      <c r="G24" s="87">
        <v>839240</v>
      </c>
      <c r="H24" s="87">
        <v>870713</v>
      </c>
      <c r="I24" s="87">
        <v>931253</v>
      </c>
      <c r="J24" s="87">
        <v>967114</v>
      </c>
      <c r="K24" s="87">
        <v>951671</v>
      </c>
      <c r="L24" s="87">
        <v>937646</v>
      </c>
      <c r="M24" s="473">
        <v>822428</v>
      </c>
      <c r="N24" s="473">
        <v>798698</v>
      </c>
      <c r="O24" s="473">
        <v>611215</v>
      </c>
      <c r="P24" s="473">
        <v>616828</v>
      </c>
      <c r="Q24" s="473">
        <v>617461</v>
      </c>
      <c r="R24" s="473">
        <v>602326</v>
      </c>
      <c r="S24" s="473">
        <v>609447</v>
      </c>
      <c r="T24" s="473">
        <v>647200</v>
      </c>
      <c r="U24" s="473">
        <v>635108</v>
      </c>
      <c r="V24" s="473">
        <v>605887</v>
      </c>
    </row>
    <row r="25" spans="1:22" ht="15" customHeight="1">
      <c r="A25" s="838"/>
      <c r="B25" s="839" t="s">
        <v>39</v>
      </c>
      <c r="C25" s="202">
        <v>467210</v>
      </c>
      <c r="D25" s="202">
        <v>504320</v>
      </c>
      <c r="E25" s="87">
        <v>518531</v>
      </c>
      <c r="F25" s="87">
        <v>515394</v>
      </c>
      <c r="G25" s="87">
        <v>512560</v>
      </c>
      <c r="H25" s="87">
        <v>503603</v>
      </c>
      <c r="I25" s="87">
        <v>504434</v>
      </c>
      <c r="J25" s="87">
        <v>481850</v>
      </c>
      <c r="K25" s="87">
        <v>497860</v>
      </c>
      <c r="L25" s="87">
        <v>470307</v>
      </c>
      <c r="M25" s="473">
        <v>468530</v>
      </c>
      <c r="N25" s="473">
        <v>461957</v>
      </c>
      <c r="O25" s="473">
        <v>455479</v>
      </c>
      <c r="P25" s="473">
        <v>457330</v>
      </c>
      <c r="Q25" s="473">
        <v>456405</v>
      </c>
      <c r="R25" s="473">
        <v>454242</v>
      </c>
      <c r="S25" s="473">
        <v>454797</v>
      </c>
      <c r="T25" s="473">
        <v>454520</v>
      </c>
      <c r="U25" s="473">
        <v>454659</v>
      </c>
      <c r="V25" s="473">
        <v>454520</v>
      </c>
    </row>
    <row r="26" spans="1:22" ht="15" customHeight="1">
      <c r="A26" s="838"/>
      <c r="B26" s="839" t="s">
        <v>42</v>
      </c>
      <c r="C26" s="202">
        <v>2388882</v>
      </c>
      <c r="D26" s="202">
        <v>2385000</v>
      </c>
      <c r="E26" s="87">
        <v>2300000</v>
      </c>
      <c r="F26" s="87">
        <v>2295231</v>
      </c>
      <c r="G26" s="87">
        <v>1923603</v>
      </c>
      <c r="H26" s="87">
        <v>1928174</v>
      </c>
      <c r="I26" s="87">
        <v>1937742</v>
      </c>
      <c r="J26" s="87">
        <v>1563618</v>
      </c>
      <c r="K26" s="87">
        <v>1306368</v>
      </c>
      <c r="L26" s="87">
        <v>1303959</v>
      </c>
      <c r="M26" s="473">
        <v>1420079</v>
      </c>
      <c r="N26" s="473">
        <v>1419506</v>
      </c>
      <c r="O26" s="473">
        <v>1422140</v>
      </c>
      <c r="P26" s="473">
        <v>1428736</v>
      </c>
      <c r="Q26" s="473">
        <v>1443471</v>
      </c>
      <c r="R26" s="473">
        <v>1425497</v>
      </c>
      <c r="S26" s="473">
        <v>1417593</v>
      </c>
      <c r="T26" s="473">
        <v>1394173</v>
      </c>
      <c r="U26" s="473">
        <v>1381440</v>
      </c>
      <c r="V26" s="473">
        <v>1392545</v>
      </c>
    </row>
    <row r="27" spans="1:22" ht="15" customHeight="1">
      <c r="A27" s="838"/>
      <c r="B27" s="839" t="s">
        <v>43</v>
      </c>
      <c r="C27" s="202">
        <v>3932070</v>
      </c>
      <c r="D27" s="202">
        <v>3870220</v>
      </c>
      <c r="E27" s="87">
        <v>3917920</v>
      </c>
      <c r="F27" s="87">
        <v>3931520</v>
      </c>
      <c r="G27" s="87">
        <v>3966940</v>
      </c>
      <c r="H27" s="87">
        <v>3979420</v>
      </c>
      <c r="I27" s="87">
        <v>4006330</v>
      </c>
      <c r="J27" s="87">
        <v>3011220</v>
      </c>
      <c r="K27" s="87">
        <v>3018210</v>
      </c>
      <c r="L27" s="87">
        <v>2978720</v>
      </c>
      <c r="M27" s="473">
        <v>3099180</v>
      </c>
      <c r="N27" s="473">
        <v>2919060</v>
      </c>
      <c r="O27" s="473">
        <v>2950630</v>
      </c>
      <c r="P27" s="473">
        <v>2876615</v>
      </c>
      <c r="Q27" s="473">
        <v>2852165</v>
      </c>
      <c r="R27" s="473">
        <v>2699105</v>
      </c>
      <c r="S27" s="473">
        <v>2787942</v>
      </c>
      <c r="T27" s="473">
        <v>2772245</v>
      </c>
      <c r="U27" s="473">
        <v>2727605</v>
      </c>
      <c r="V27" s="473">
        <v>2695590</v>
      </c>
    </row>
    <row r="28" spans="1:22" ht="15" customHeight="1">
      <c r="A28" s="838"/>
      <c r="B28" s="76" t="s">
        <v>44</v>
      </c>
      <c r="C28" s="202">
        <v>19468</v>
      </c>
      <c r="D28" s="202">
        <v>24235</v>
      </c>
      <c r="E28" s="87">
        <v>20491</v>
      </c>
      <c r="F28" s="87">
        <v>23788</v>
      </c>
      <c r="G28" s="87">
        <v>22450</v>
      </c>
      <c r="H28" s="87">
        <v>22086</v>
      </c>
      <c r="I28" s="87">
        <v>24294</v>
      </c>
      <c r="J28" s="87">
        <v>13190</v>
      </c>
      <c r="K28" s="87">
        <v>10450</v>
      </c>
      <c r="L28" s="87">
        <v>10711</v>
      </c>
      <c r="M28" s="473">
        <v>9950</v>
      </c>
      <c r="N28" s="473">
        <v>5422</v>
      </c>
      <c r="O28" s="473">
        <v>7521</v>
      </c>
      <c r="P28" s="473">
        <v>11017</v>
      </c>
      <c r="Q28" s="473">
        <v>9269</v>
      </c>
      <c r="R28" s="473">
        <v>9080</v>
      </c>
      <c r="S28" s="473">
        <v>9188</v>
      </c>
      <c r="T28" s="473">
        <v>9134</v>
      </c>
      <c r="U28" s="473">
        <v>9161</v>
      </c>
      <c r="V28" s="473">
        <v>9134</v>
      </c>
    </row>
    <row r="29" spans="1:22" ht="15" customHeight="1">
      <c r="A29" s="838"/>
      <c r="B29" s="839" t="s">
        <v>45</v>
      </c>
      <c r="C29" s="202">
        <v>3881</v>
      </c>
      <c r="D29" s="202">
        <v>3881</v>
      </c>
      <c r="E29" s="87">
        <v>3724</v>
      </c>
      <c r="F29" s="87">
        <v>6305</v>
      </c>
      <c r="G29" s="87">
        <v>6630</v>
      </c>
      <c r="H29" s="87">
        <v>7199</v>
      </c>
      <c r="I29" s="87">
        <v>8199</v>
      </c>
      <c r="J29" s="87">
        <v>7985</v>
      </c>
      <c r="K29" s="87">
        <v>9745</v>
      </c>
      <c r="L29" s="87">
        <v>9310</v>
      </c>
      <c r="M29" s="473">
        <v>11610</v>
      </c>
      <c r="N29" s="473">
        <v>12191</v>
      </c>
      <c r="O29" s="473">
        <v>12800</v>
      </c>
      <c r="P29" s="473">
        <v>11970</v>
      </c>
      <c r="Q29" s="473">
        <v>11303</v>
      </c>
      <c r="R29" s="473">
        <v>11309</v>
      </c>
      <c r="S29" s="473">
        <v>10791</v>
      </c>
      <c r="T29" s="473">
        <v>11112</v>
      </c>
      <c r="U29" s="473">
        <v>11255</v>
      </c>
      <c r="V29" s="473">
        <v>11274</v>
      </c>
    </row>
    <row r="30" spans="1:22" ht="15" customHeight="1">
      <c r="A30" s="838"/>
      <c r="B30" s="839" t="s">
        <v>46</v>
      </c>
      <c r="C30" s="202">
        <v>14280</v>
      </c>
      <c r="D30" s="202">
        <v>11600</v>
      </c>
      <c r="E30" s="87">
        <v>14319</v>
      </c>
      <c r="F30" s="87">
        <v>12005</v>
      </c>
      <c r="G30" s="87">
        <v>12500</v>
      </c>
      <c r="H30" s="87">
        <v>12941</v>
      </c>
      <c r="I30" s="87">
        <v>12920</v>
      </c>
      <c r="J30" s="87">
        <v>11980</v>
      </c>
      <c r="K30" s="87">
        <v>11580</v>
      </c>
      <c r="L30" s="87">
        <v>10847</v>
      </c>
      <c r="M30" s="473">
        <v>9187</v>
      </c>
      <c r="N30" s="473">
        <v>9646</v>
      </c>
      <c r="O30" s="473">
        <v>10129</v>
      </c>
      <c r="P30" s="473">
        <v>9970</v>
      </c>
      <c r="Q30" s="473">
        <v>9561</v>
      </c>
      <c r="R30" s="473">
        <v>8561</v>
      </c>
      <c r="S30" s="473">
        <v>8439</v>
      </c>
      <c r="T30" s="473">
        <v>8531</v>
      </c>
      <c r="U30" s="473">
        <v>8628</v>
      </c>
      <c r="V30" s="473">
        <v>8195</v>
      </c>
    </row>
    <row r="31" spans="1:22" ht="15" customHeight="1" thickBot="1">
      <c r="A31" s="840"/>
      <c r="B31" s="841" t="s">
        <v>47</v>
      </c>
      <c r="C31" s="438">
        <v>6112</v>
      </c>
      <c r="D31" s="438">
        <v>5901</v>
      </c>
      <c r="E31" s="474">
        <v>6245</v>
      </c>
      <c r="F31" s="474">
        <v>6585</v>
      </c>
      <c r="G31" s="474">
        <v>7067</v>
      </c>
      <c r="H31" s="474">
        <v>7231</v>
      </c>
      <c r="I31" s="474">
        <v>7750</v>
      </c>
      <c r="J31" s="474">
        <v>8490</v>
      </c>
      <c r="K31" s="474">
        <v>8765</v>
      </c>
      <c r="L31" s="474">
        <v>8742</v>
      </c>
      <c r="M31" s="475">
        <v>8670</v>
      </c>
      <c r="N31" s="475">
        <v>9104</v>
      </c>
      <c r="O31" s="475">
        <v>9559</v>
      </c>
      <c r="P31" s="475">
        <v>8430</v>
      </c>
      <c r="Q31" s="475">
        <v>8287</v>
      </c>
      <c r="R31" s="475">
        <v>5287</v>
      </c>
      <c r="S31" s="475">
        <v>4669</v>
      </c>
      <c r="T31" s="475">
        <v>5148</v>
      </c>
      <c r="U31" s="475">
        <v>4860</v>
      </c>
      <c r="V31" s="475">
        <v>4124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  <c r="Q35" s="78"/>
      <c r="R35" s="78"/>
      <c r="S35" s="78"/>
      <c r="T35" s="78"/>
      <c r="U35" s="78"/>
      <c r="V35" s="78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  <c r="Q36" s="78"/>
      <c r="R36" s="78"/>
      <c r="S36" s="78"/>
      <c r="T36" s="78"/>
      <c r="U36" s="78"/>
      <c r="V36" s="78"/>
    </row>
    <row r="37" spans="1:22" ht="13.25" customHeight="1">
      <c r="Q37" s="78"/>
      <c r="R37" s="78"/>
      <c r="S37" s="78"/>
      <c r="T37" s="78"/>
      <c r="U37" s="78"/>
      <c r="V37" s="78"/>
    </row>
    <row r="38" spans="1:22" ht="13.25" customHeight="1">
      <c r="Q38" s="78"/>
      <c r="R38" s="78"/>
      <c r="S38" s="78"/>
      <c r="T38" s="78"/>
      <c r="U38" s="78"/>
    </row>
    <row r="39" spans="1:22" ht="13.25" customHeight="1">
      <c r="Q39" s="78"/>
      <c r="R39" s="78"/>
      <c r="S39" s="78"/>
      <c r="T39" s="78"/>
      <c r="U39" s="78"/>
    </row>
    <row r="40" spans="1:22" ht="13.25" customHeight="1">
      <c r="Q40" s="78"/>
      <c r="R40" s="78"/>
      <c r="S40" s="78"/>
      <c r="T40" s="78"/>
      <c r="U40" s="78"/>
    </row>
    <row r="41" spans="1:22" ht="13.25" customHeight="1">
      <c r="Q41" s="78"/>
      <c r="R41" s="78"/>
      <c r="S41" s="78"/>
      <c r="T41" s="78"/>
      <c r="U41" s="78"/>
    </row>
    <row r="42" spans="1:22" ht="13.25" customHeight="1">
      <c r="Q42" s="78"/>
      <c r="R42" s="78"/>
      <c r="S42" s="78"/>
      <c r="T42" s="78"/>
      <c r="U42" s="78"/>
    </row>
    <row r="43" spans="1:22" ht="13.25" customHeight="1">
      <c r="Q43" s="78"/>
      <c r="R43" s="78"/>
      <c r="S43" s="78"/>
      <c r="T43" s="78"/>
      <c r="U43" s="78"/>
    </row>
    <row r="44" spans="1:22" ht="13.25" customHeight="1">
      <c r="R44" s="78"/>
      <c r="S44" s="78"/>
      <c r="T44" s="78"/>
      <c r="U44" s="78"/>
    </row>
    <row r="45" spans="1:22" ht="13.25" customHeight="1">
      <c r="R45" s="78"/>
      <c r="S45" s="78"/>
      <c r="T45" s="78"/>
      <c r="U45" s="78"/>
    </row>
    <row r="46" spans="1:22" ht="13.25" customHeight="1">
      <c r="R46" s="78"/>
      <c r="S46" s="78"/>
      <c r="T46" s="78"/>
      <c r="U46" s="78"/>
    </row>
    <row r="47" spans="1:22" ht="13.25" customHeight="1">
      <c r="R47" s="78"/>
      <c r="S47" s="78"/>
      <c r="T47" s="78"/>
      <c r="U47" s="78"/>
    </row>
    <row r="48" spans="1:22" ht="13.25" customHeight="1">
      <c r="R48" s="78"/>
      <c r="S48" s="78"/>
      <c r="T48" s="78"/>
      <c r="U48" s="78"/>
    </row>
    <row r="49" spans="18:21" ht="13.25" customHeight="1">
      <c r="R49" s="78"/>
      <c r="S49" s="78"/>
      <c r="T49" s="78"/>
      <c r="U49" s="78"/>
    </row>
    <row r="50" spans="18:21" ht="13.25" customHeight="1">
      <c r="R50" s="78"/>
      <c r="S50" s="78"/>
      <c r="T50" s="78"/>
      <c r="U50" s="78"/>
    </row>
    <row r="51" spans="18:21" ht="13.25" customHeight="1">
      <c r="R51" s="78"/>
      <c r="S51" s="78"/>
      <c r="T51" s="78"/>
      <c r="U51" s="78"/>
    </row>
    <row r="52" spans="18:21" ht="13.25" customHeight="1">
      <c r="R52" s="78"/>
      <c r="S52" s="78"/>
      <c r="T52" s="78"/>
      <c r="U52" s="78"/>
    </row>
    <row r="53" spans="18:21" ht="13.25" customHeight="1">
      <c r="R53" s="78"/>
      <c r="S53" s="78"/>
      <c r="T53" s="78"/>
      <c r="U53" s="78"/>
    </row>
    <row r="54" spans="18:21" ht="13.25" customHeight="1">
      <c r="R54" s="78"/>
      <c r="S54" s="78"/>
      <c r="T54" s="78"/>
      <c r="U54" s="78"/>
    </row>
    <row r="55" spans="18:21" ht="13.25" customHeight="1">
      <c r="R55" s="78"/>
      <c r="S55" s="78"/>
      <c r="T55" s="78"/>
      <c r="U55" s="78"/>
    </row>
    <row r="56" spans="18:21" ht="13.25" customHeight="1">
      <c r="R56" s="78"/>
      <c r="S56" s="78"/>
      <c r="T56" s="78"/>
      <c r="U56" s="78"/>
    </row>
    <row r="57" spans="18:21" ht="13.25" customHeight="1">
      <c r="R57" s="78"/>
      <c r="S57" s="78"/>
      <c r="T57" s="78"/>
      <c r="U57" s="78"/>
    </row>
    <row r="58" spans="18:21" ht="13.25" customHeight="1">
      <c r="R58" s="78"/>
      <c r="S58" s="78"/>
      <c r="T58" s="78"/>
      <c r="U58" s="78"/>
    </row>
    <row r="59" spans="18:21" ht="13.25" customHeight="1">
      <c r="R59" s="78"/>
      <c r="S59" s="78"/>
      <c r="T59" s="78"/>
      <c r="U59" s="78"/>
    </row>
    <row r="60" spans="18:21" ht="13.25" customHeight="1">
      <c r="R60" s="78"/>
      <c r="S60" s="78"/>
      <c r="T60" s="78"/>
      <c r="U60" s="78"/>
    </row>
    <row r="61" spans="18:21" ht="13.25" customHeight="1">
      <c r="R61" s="78"/>
      <c r="S61" s="78"/>
      <c r="T61" s="78"/>
      <c r="U61" s="78"/>
    </row>
    <row r="62" spans="18:21" ht="13.25" customHeight="1">
      <c r="R62" s="78"/>
      <c r="S62" s="78"/>
      <c r="T62" s="78"/>
      <c r="U62" s="7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7">
    <tabColor theme="9" tint="0.59999389629810485"/>
  </sheetPr>
  <dimension ref="A2:W36"/>
  <sheetViews>
    <sheetView showGridLines="0" zoomScaleNormal="100" workbookViewId="0">
      <selection activeCell="L41" sqref="L41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796875" style="76" customWidth="1"/>
    <col min="24" max="16384" width="7" style="76"/>
  </cols>
  <sheetData>
    <row r="2" spans="1:23" ht="15.75" customHeight="1">
      <c r="A2" s="210" t="s">
        <v>493</v>
      </c>
      <c r="B2" s="211"/>
    </row>
    <row r="3" spans="1:23" ht="13.25" customHeight="1">
      <c r="A3" s="212" t="s">
        <v>211</v>
      </c>
      <c r="B3" s="212"/>
    </row>
    <row r="4" spans="1:23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</row>
    <row r="5" spans="1:23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490</v>
      </c>
      <c r="V5" s="735" t="s">
        <v>485</v>
      </c>
    </row>
    <row r="6" spans="1:23" ht="18" customHeight="1">
      <c r="A6" s="1020" t="s">
        <v>93</v>
      </c>
      <c r="B6" s="1020"/>
      <c r="C6" s="629">
        <f t="shared" ref="C6:N6" si="0">(C8+C9+C10+C11+C12+C13+C14+C15+C16+C17+C18+C19+C20+C21+C22+C23+C24+C25+C26+C27+C28+C29+C30+C31)</f>
        <v>2685627</v>
      </c>
      <c r="D6" s="629">
        <f t="shared" si="0"/>
        <v>2692776</v>
      </c>
      <c r="E6" s="630">
        <f t="shared" si="0"/>
        <v>2681208</v>
      </c>
      <c r="F6" s="630">
        <f t="shared" si="0"/>
        <v>2678241</v>
      </c>
      <c r="G6" s="630">
        <f t="shared" si="0"/>
        <v>2753681</v>
      </c>
      <c r="H6" s="630">
        <f t="shared" si="0"/>
        <v>2788507</v>
      </c>
      <c r="I6" s="630">
        <f t="shared" si="0"/>
        <v>2844229</v>
      </c>
      <c r="J6" s="630">
        <f t="shared" si="0"/>
        <v>2910166</v>
      </c>
      <c r="K6" s="630">
        <f t="shared" si="0"/>
        <v>2832371</v>
      </c>
      <c r="L6" s="630">
        <f t="shared" si="0"/>
        <v>2788554</v>
      </c>
      <c r="M6" s="630">
        <f t="shared" si="0"/>
        <v>2698887</v>
      </c>
      <c r="N6" s="630">
        <f t="shared" si="0"/>
        <v>2745951</v>
      </c>
      <c r="O6" s="630">
        <f t="shared" ref="O6:V6" si="1">(O8+O9+O10+O11+O12+O13+O14+O15+O16+O17+O18+O19+O20+O21+O22+O23+O24+O25+O26+O27+O28+O29+O30+O31)</f>
        <v>2699282</v>
      </c>
      <c r="P6" s="630">
        <f t="shared" si="1"/>
        <v>2687624</v>
      </c>
      <c r="Q6" s="630">
        <f t="shared" si="1"/>
        <v>2682837</v>
      </c>
      <c r="R6" s="630">
        <f t="shared" si="1"/>
        <v>2544650</v>
      </c>
      <c r="S6" s="630">
        <f t="shared" si="1"/>
        <v>2576571</v>
      </c>
      <c r="T6" s="630">
        <f t="shared" ref="T6:U6" si="2">(T8+T9+T10+T11+T12+T13+T14+T15+T16+T17+T18+T19+T20+T21+T22+T23+T24+T25+T26+T27+T28+T29+T30+T31)</f>
        <v>2592724</v>
      </c>
      <c r="U6" s="630">
        <f t="shared" si="2"/>
        <v>2594570</v>
      </c>
      <c r="V6" s="630">
        <f t="shared" si="1"/>
        <v>2588737</v>
      </c>
    </row>
    <row r="7" spans="1:23" ht="3" customHeight="1">
      <c r="A7" s="77"/>
      <c r="B7" s="78"/>
      <c r="C7" s="203"/>
      <c r="D7" s="203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</row>
    <row r="8" spans="1:23" ht="15" customHeight="1">
      <c r="A8" s="77"/>
      <c r="B8" s="21" t="s">
        <v>19</v>
      </c>
      <c r="C8" s="202">
        <v>2703</v>
      </c>
      <c r="D8" s="202">
        <v>3076</v>
      </c>
      <c r="E8" s="87">
        <v>3433</v>
      </c>
      <c r="F8" s="87">
        <v>4421</v>
      </c>
      <c r="G8" s="87">
        <v>6291</v>
      </c>
      <c r="H8" s="87">
        <v>6996</v>
      </c>
      <c r="I8" s="87">
        <v>7361</v>
      </c>
      <c r="J8" s="87">
        <v>7432</v>
      </c>
      <c r="K8" s="87">
        <v>7725</v>
      </c>
      <c r="L8" s="87">
        <v>8875</v>
      </c>
      <c r="M8" s="473">
        <v>7991</v>
      </c>
      <c r="N8" s="473">
        <v>1879</v>
      </c>
      <c r="O8" s="473">
        <v>3096</v>
      </c>
      <c r="P8" s="473">
        <v>2975</v>
      </c>
      <c r="Q8" s="473">
        <v>2941</v>
      </c>
      <c r="R8" s="473">
        <v>2585</v>
      </c>
      <c r="S8" s="473">
        <v>2324</v>
      </c>
      <c r="T8" s="473">
        <v>2156</v>
      </c>
      <c r="U8" s="473">
        <v>3168</v>
      </c>
      <c r="V8" s="473">
        <v>2978</v>
      </c>
    </row>
    <row r="9" spans="1:23" ht="15" customHeight="1">
      <c r="A9" s="77"/>
      <c r="B9" s="21" t="s">
        <v>20</v>
      </c>
      <c r="C9" s="202">
        <v>52122</v>
      </c>
      <c r="D9" s="202">
        <v>43913</v>
      </c>
      <c r="E9" s="87">
        <v>44550</v>
      </c>
      <c r="F9" s="87">
        <v>46959</v>
      </c>
      <c r="G9" s="87">
        <v>54726</v>
      </c>
      <c r="H9" s="87">
        <v>65733</v>
      </c>
      <c r="I9" s="87">
        <v>79684</v>
      </c>
      <c r="J9" s="87">
        <v>95356</v>
      </c>
      <c r="K9" s="87">
        <v>72692</v>
      </c>
      <c r="L9" s="87">
        <v>72390</v>
      </c>
      <c r="M9" s="473">
        <v>85817</v>
      </c>
      <c r="N9" s="473">
        <v>99029</v>
      </c>
      <c r="O9" s="473">
        <v>115853</v>
      </c>
      <c r="P9" s="473">
        <v>129317</v>
      </c>
      <c r="Q9" s="473">
        <v>120555</v>
      </c>
      <c r="R9" s="473">
        <v>115546</v>
      </c>
      <c r="S9" s="473">
        <v>110536</v>
      </c>
      <c r="T9" s="473">
        <v>112641</v>
      </c>
      <c r="U9" s="473">
        <v>110567</v>
      </c>
      <c r="V9" s="473">
        <v>114971</v>
      </c>
      <c r="W9" s="84"/>
    </row>
    <row r="10" spans="1:23" ht="15" customHeight="1">
      <c r="A10" s="77"/>
      <c r="B10" s="21" t="s">
        <v>21</v>
      </c>
      <c r="C10" s="202">
        <v>26905</v>
      </c>
      <c r="D10" s="202">
        <v>29137</v>
      </c>
      <c r="E10" s="87">
        <v>31065</v>
      </c>
      <c r="F10" s="87">
        <v>25846</v>
      </c>
      <c r="G10" s="87">
        <v>35149</v>
      </c>
      <c r="H10" s="87">
        <v>32645</v>
      </c>
      <c r="I10" s="87">
        <v>36796</v>
      </c>
      <c r="J10" s="87">
        <v>35311</v>
      </c>
      <c r="K10" s="87">
        <v>35422</v>
      </c>
      <c r="L10" s="87">
        <v>35542</v>
      </c>
      <c r="M10" s="87">
        <v>35260</v>
      </c>
      <c r="N10" s="87">
        <v>32775</v>
      </c>
      <c r="O10" s="87">
        <v>28880</v>
      </c>
      <c r="P10" s="87">
        <v>30784</v>
      </c>
      <c r="Q10" s="87">
        <v>31831</v>
      </c>
      <c r="R10" s="87">
        <v>29878</v>
      </c>
      <c r="S10" s="87">
        <v>27955</v>
      </c>
      <c r="T10" s="87">
        <v>26248</v>
      </c>
      <c r="U10" s="87">
        <v>24140</v>
      </c>
      <c r="V10" s="87">
        <v>24880</v>
      </c>
      <c r="W10" s="84"/>
    </row>
    <row r="11" spans="1:23" ht="15" customHeight="1">
      <c r="A11" s="77"/>
      <c r="B11" s="21" t="s">
        <v>22</v>
      </c>
      <c r="C11" s="202">
        <v>137393</v>
      </c>
      <c r="D11" s="202">
        <v>141565</v>
      </c>
      <c r="E11" s="87">
        <v>152225</v>
      </c>
      <c r="F11" s="87">
        <v>154640</v>
      </c>
      <c r="G11" s="87">
        <v>158275</v>
      </c>
      <c r="H11" s="87">
        <v>161162</v>
      </c>
      <c r="I11" s="87">
        <v>162672</v>
      </c>
      <c r="J11" s="87">
        <v>162879</v>
      </c>
      <c r="K11" s="87">
        <v>170126</v>
      </c>
      <c r="L11" s="87">
        <v>176679</v>
      </c>
      <c r="M11" s="473">
        <v>181041</v>
      </c>
      <c r="N11" s="473">
        <v>183692</v>
      </c>
      <c r="O11" s="473">
        <v>184042</v>
      </c>
      <c r="P11" s="473">
        <v>185193</v>
      </c>
      <c r="Q11" s="473">
        <v>188941</v>
      </c>
      <c r="R11" s="473">
        <v>192047</v>
      </c>
      <c r="S11" s="473">
        <v>196709</v>
      </c>
      <c r="T11" s="473">
        <v>210806</v>
      </c>
      <c r="U11" s="473">
        <v>215320</v>
      </c>
      <c r="V11" s="473">
        <v>221021</v>
      </c>
      <c r="W11" s="84"/>
    </row>
    <row r="12" spans="1:23" ht="15" customHeight="1">
      <c r="A12" s="77"/>
      <c r="B12" s="21" t="s">
        <v>23</v>
      </c>
      <c r="C12" s="202">
        <v>108972</v>
      </c>
      <c r="D12" s="202">
        <v>113573</v>
      </c>
      <c r="E12" s="87">
        <v>121021</v>
      </c>
      <c r="F12" s="87">
        <v>112691</v>
      </c>
      <c r="G12" s="87">
        <v>117786</v>
      </c>
      <c r="H12" s="87">
        <v>125077</v>
      </c>
      <c r="I12" s="87">
        <v>124019</v>
      </c>
      <c r="J12" s="87">
        <v>119968</v>
      </c>
      <c r="K12" s="87">
        <v>135140</v>
      </c>
      <c r="L12" s="87">
        <v>135958</v>
      </c>
      <c r="M12" s="473">
        <v>125572</v>
      </c>
      <c r="N12" s="473">
        <v>114756</v>
      </c>
      <c r="O12" s="473">
        <v>102957</v>
      </c>
      <c r="P12" s="473">
        <v>100940</v>
      </c>
      <c r="Q12" s="473">
        <v>99840</v>
      </c>
      <c r="R12" s="473">
        <v>79719</v>
      </c>
      <c r="S12" s="473">
        <v>83113</v>
      </c>
      <c r="T12" s="473">
        <v>84819</v>
      </c>
      <c r="U12" s="473">
        <v>78516</v>
      </c>
      <c r="V12" s="473">
        <v>74335</v>
      </c>
      <c r="W12" s="84"/>
    </row>
    <row r="13" spans="1:23" ht="15" customHeight="1">
      <c r="A13" s="77"/>
      <c r="B13" s="21" t="s">
        <v>27</v>
      </c>
      <c r="C13" s="202">
        <v>5246</v>
      </c>
      <c r="D13" s="202">
        <v>5085</v>
      </c>
      <c r="E13" s="87">
        <v>4657</v>
      </c>
      <c r="F13" s="87">
        <v>4766</v>
      </c>
      <c r="G13" s="87">
        <v>5695</v>
      </c>
      <c r="H13" s="87">
        <v>6359</v>
      </c>
      <c r="I13" s="87">
        <v>5956</v>
      </c>
      <c r="J13" s="87">
        <v>5867</v>
      </c>
      <c r="K13" s="87">
        <v>5781</v>
      </c>
      <c r="L13" s="87">
        <v>5379</v>
      </c>
      <c r="M13" s="87">
        <v>4964</v>
      </c>
      <c r="N13" s="87">
        <v>3787</v>
      </c>
      <c r="O13" s="87">
        <v>3305</v>
      </c>
      <c r="P13" s="87">
        <v>3378</v>
      </c>
      <c r="Q13" s="87">
        <v>3532</v>
      </c>
      <c r="R13" s="87">
        <v>2948</v>
      </c>
      <c r="S13" s="87">
        <v>3190</v>
      </c>
      <c r="T13" s="87">
        <v>3395</v>
      </c>
      <c r="U13" s="87">
        <v>3480</v>
      </c>
      <c r="V13" s="87">
        <v>3752</v>
      </c>
      <c r="W13" s="84"/>
    </row>
    <row r="14" spans="1:23" ht="15" customHeight="1">
      <c r="A14" s="77"/>
      <c r="B14" s="21" t="s">
        <v>28</v>
      </c>
      <c r="C14" s="202">
        <v>90154</v>
      </c>
      <c r="D14" s="202">
        <v>94659</v>
      </c>
      <c r="E14" s="87">
        <v>94586</v>
      </c>
      <c r="F14" s="87">
        <v>100636</v>
      </c>
      <c r="G14" s="87">
        <v>110962</v>
      </c>
      <c r="H14" s="87">
        <v>111240</v>
      </c>
      <c r="I14" s="87">
        <v>114956</v>
      </c>
      <c r="J14" s="87">
        <v>116068</v>
      </c>
      <c r="K14" s="87">
        <v>118809</v>
      </c>
      <c r="L14" s="87">
        <v>119287</v>
      </c>
      <c r="M14" s="473">
        <v>123464</v>
      </c>
      <c r="N14" s="473">
        <v>131065</v>
      </c>
      <c r="O14" s="473">
        <v>132419</v>
      </c>
      <c r="P14" s="473">
        <v>132674</v>
      </c>
      <c r="Q14" s="473">
        <v>132633</v>
      </c>
      <c r="R14" s="473">
        <v>132083</v>
      </c>
      <c r="S14" s="473">
        <v>131663</v>
      </c>
      <c r="T14" s="473">
        <v>132582</v>
      </c>
      <c r="U14" s="473">
        <v>134036</v>
      </c>
      <c r="V14" s="473">
        <v>135246</v>
      </c>
      <c r="W14" s="84"/>
    </row>
    <row r="15" spans="1:23" ht="15" customHeight="1">
      <c r="A15" s="77"/>
      <c r="B15" s="21" t="s">
        <v>29</v>
      </c>
      <c r="C15" s="202">
        <v>87092</v>
      </c>
      <c r="D15" s="202">
        <v>95279</v>
      </c>
      <c r="E15" s="87">
        <v>94118</v>
      </c>
      <c r="F15" s="87">
        <v>94240</v>
      </c>
      <c r="G15" s="87">
        <v>97188</v>
      </c>
      <c r="H15" s="87">
        <v>101604</v>
      </c>
      <c r="I15" s="87">
        <v>101333</v>
      </c>
      <c r="J15" s="87">
        <v>105155</v>
      </c>
      <c r="K15" s="87">
        <v>103765</v>
      </c>
      <c r="L15" s="87">
        <v>104922</v>
      </c>
      <c r="M15" s="473">
        <v>90814</v>
      </c>
      <c r="N15" s="473">
        <v>85474</v>
      </c>
      <c r="O15" s="473">
        <v>80867</v>
      </c>
      <c r="P15" s="473">
        <v>67076</v>
      </c>
      <c r="Q15" s="473">
        <v>64093</v>
      </c>
      <c r="R15" s="473">
        <v>57495</v>
      </c>
      <c r="S15" s="473">
        <v>57729</v>
      </c>
      <c r="T15" s="473">
        <v>54211</v>
      </c>
      <c r="U15" s="473">
        <v>56794</v>
      </c>
      <c r="V15" s="473">
        <v>63970</v>
      </c>
      <c r="W15" s="84"/>
    </row>
    <row r="16" spans="1:23" ht="15" customHeight="1">
      <c r="A16" s="77"/>
      <c r="B16" s="21" t="s">
        <v>30</v>
      </c>
      <c r="C16" s="202">
        <v>5864</v>
      </c>
      <c r="D16" s="202">
        <v>6126</v>
      </c>
      <c r="E16" s="87">
        <v>6424</v>
      </c>
      <c r="F16" s="87">
        <v>6911</v>
      </c>
      <c r="G16" s="87">
        <v>7141</v>
      </c>
      <c r="H16" s="87">
        <v>7031</v>
      </c>
      <c r="I16" s="87">
        <v>7376</v>
      </c>
      <c r="J16" s="87">
        <v>6206</v>
      </c>
      <c r="K16" s="87">
        <v>6540</v>
      </c>
      <c r="L16" s="87">
        <v>8272</v>
      </c>
      <c r="M16" s="87">
        <v>7686</v>
      </c>
      <c r="N16" s="87">
        <v>6486</v>
      </c>
      <c r="O16" s="87">
        <v>5024</v>
      </c>
      <c r="P16" s="87">
        <v>5913</v>
      </c>
      <c r="Q16" s="87">
        <v>9044</v>
      </c>
      <c r="R16" s="87">
        <v>10985</v>
      </c>
      <c r="S16" s="87">
        <v>13489</v>
      </c>
      <c r="T16" s="87">
        <v>13345</v>
      </c>
      <c r="U16" s="87">
        <v>12129</v>
      </c>
      <c r="V16" s="87">
        <v>12625</v>
      </c>
      <c r="W16" s="84"/>
    </row>
    <row r="17" spans="1:23" ht="15" customHeight="1">
      <c r="A17" s="77"/>
      <c r="B17" s="21" t="s">
        <v>31</v>
      </c>
      <c r="C17" s="202">
        <v>194639</v>
      </c>
      <c r="D17" s="202">
        <v>179809</v>
      </c>
      <c r="E17" s="87">
        <v>162884</v>
      </c>
      <c r="F17" s="87">
        <v>159205</v>
      </c>
      <c r="G17" s="87">
        <v>160629</v>
      </c>
      <c r="H17" s="87">
        <v>158801</v>
      </c>
      <c r="I17" s="87">
        <v>152512</v>
      </c>
      <c r="J17" s="87">
        <v>151092</v>
      </c>
      <c r="K17" s="87">
        <v>152415</v>
      </c>
      <c r="L17" s="87">
        <v>148519</v>
      </c>
      <c r="M17" s="473">
        <v>156605</v>
      </c>
      <c r="N17" s="473">
        <v>160596</v>
      </c>
      <c r="O17" s="473">
        <v>163418</v>
      </c>
      <c r="P17" s="473">
        <v>165231</v>
      </c>
      <c r="Q17" s="473">
        <v>157449</v>
      </c>
      <c r="R17" s="473">
        <v>154904</v>
      </c>
      <c r="S17" s="473">
        <v>154407</v>
      </c>
      <c r="T17" s="473">
        <v>158066</v>
      </c>
      <c r="U17" s="473">
        <v>161862</v>
      </c>
      <c r="V17" s="473">
        <v>174789</v>
      </c>
      <c r="W17" s="84"/>
    </row>
    <row r="18" spans="1:23" ht="15" customHeight="1">
      <c r="A18" s="77"/>
      <c r="B18" s="21" t="s">
        <v>32</v>
      </c>
      <c r="C18" s="202">
        <v>135889</v>
      </c>
      <c r="D18" s="202">
        <v>136366</v>
      </c>
      <c r="E18" s="87">
        <v>150422</v>
      </c>
      <c r="F18" s="87">
        <v>177084</v>
      </c>
      <c r="G18" s="87">
        <v>170768</v>
      </c>
      <c r="H18" s="87">
        <v>157791</v>
      </c>
      <c r="I18" s="87">
        <v>165574</v>
      </c>
      <c r="J18" s="87">
        <v>149715</v>
      </c>
      <c r="K18" s="87">
        <v>150456</v>
      </c>
      <c r="L18" s="87">
        <v>125549</v>
      </c>
      <c r="M18" s="473">
        <v>117367</v>
      </c>
      <c r="N18" s="473">
        <v>97275</v>
      </c>
      <c r="O18" s="473">
        <v>99700</v>
      </c>
      <c r="P18" s="473">
        <v>104294</v>
      </c>
      <c r="Q18" s="473">
        <v>107119</v>
      </c>
      <c r="R18" s="473">
        <v>108235</v>
      </c>
      <c r="S18" s="473">
        <v>110795</v>
      </c>
      <c r="T18" s="473">
        <v>112599</v>
      </c>
      <c r="U18" s="473">
        <v>112278</v>
      </c>
      <c r="V18" s="473">
        <v>116592</v>
      </c>
      <c r="W18" s="84"/>
    </row>
    <row r="19" spans="1:23" ht="15" customHeight="1">
      <c r="A19" s="77"/>
      <c r="B19" s="21" t="s">
        <v>33</v>
      </c>
      <c r="C19" s="202">
        <v>210220</v>
      </c>
      <c r="D19" s="202">
        <v>204520</v>
      </c>
      <c r="E19" s="87">
        <v>207310</v>
      </c>
      <c r="F19" s="87">
        <v>177719</v>
      </c>
      <c r="G19" s="87">
        <v>188486</v>
      </c>
      <c r="H19" s="87">
        <v>197568</v>
      </c>
      <c r="I19" s="87">
        <v>207597</v>
      </c>
      <c r="J19" s="87">
        <v>216734</v>
      </c>
      <c r="K19" s="87">
        <v>232178</v>
      </c>
      <c r="L19" s="87">
        <v>242652</v>
      </c>
      <c r="M19" s="473">
        <v>274679</v>
      </c>
      <c r="N19" s="473">
        <v>281037</v>
      </c>
      <c r="O19" s="473">
        <v>304545</v>
      </c>
      <c r="P19" s="473">
        <v>314170</v>
      </c>
      <c r="Q19" s="473">
        <v>303867</v>
      </c>
      <c r="R19" s="473">
        <v>265903</v>
      </c>
      <c r="S19" s="473">
        <v>288554</v>
      </c>
      <c r="T19" s="473">
        <v>300729</v>
      </c>
      <c r="U19" s="473">
        <v>304399</v>
      </c>
      <c r="V19" s="473">
        <v>303797</v>
      </c>
      <c r="W19" s="84"/>
    </row>
    <row r="20" spans="1:23" ht="15" customHeight="1">
      <c r="A20" s="77"/>
      <c r="B20" s="21" t="s">
        <v>34</v>
      </c>
      <c r="C20" s="202">
        <v>145361</v>
      </c>
      <c r="D20" s="202">
        <v>131576</v>
      </c>
      <c r="E20" s="87">
        <v>134375</v>
      </c>
      <c r="F20" s="87">
        <v>117133</v>
      </c>
      <c r="G20" s="87">
        <v>121865</v>
      </c>
      <c r="H20" s="87">
        <v>119367</v>
      </c>
      <c r="I20" s="87">
        <v>123465</v>
      </c>
      <c r="J20" s="87">
        <v>136625</v>
      </c>
      <c r="K20" s="87">
        <v>133883</v>
      </c>
      <c r="L20" s="87">
        <v>139099</v>
      </c>
      <c r="M20" s="473">
        <v>133377</v>
      </c>
      <c r="N20" s="473">
        <v>129345</v>
      </c>
      <c r="O20" s="473">
        <v>126716</v>
      </c>
      <c r="P20" s="473">
        <v>112783</v>
      </c>
      <c r="Q20" s="473">
        <v>110863</v>
      </c>
      <c r="R20" s="473">
        <v>100704</v>
      </c>
      <c r="S20" s="473">
        <v>99893</v>
      </c>
      <c r="T20" s="473">
        <v>104760</v>
      </c>
      <c r="U20" s="473">
        <v>97297</v>
      </c>
      <c r="V20" s="473">
        <v>97429</v>
      </c>
      <c r="W20" s="84"/>
    </row>
    <row r="21" spans="1:23" ht="15" customHeight="1">
      <c r="A21" s="77"/>
      <c r="B21" s="21" t="s">
        <v>35</v>
      </c>
      <c r="C21" s="202">
        <v>98628</v>
      </c>
      <c r="D21" s="202">
        <v>98657</v>
      </c>
      <c r="E21" s="87">
        <v>87288</v>
      </c>
      <c r="F21" s="87">
        <v>87998</v>
      </c>
      <c r="G21" s="87">
        <v>84121</v>
      </c>
      <c r="H21" s="87">
        <v>70784</v>
      </c>
      <c r="I21" s="87">
        <v>69378</v>
      </c>
      <c r="J21" s="87">
        <v>94165</v>
      </c>
      <c r="K21" s="87">
        <v>132076</v>
      </c>
      <c r="L21" s="87">
        <v>134098</v>
      </c>
      <c r="M21" s="473">
        <v>134336</v>
      </c>
      <c r="N21" s="473">
        <v>179619</v>
      </c>
      <c r="O21" s="473">
        <v>136584</v>
      </c>
      <c r="P21" s="473">
        <v>141922</v>
      </c>
      <c r="Q21" s="473">
        <v>146807</v>
      </c>
      <c r="R21" s="473">
        <v>141481</v>
      </c>
      <c r="S21" s="473">
        <v>140569</v>
      </c>
      <c r="T21" s="473">
        <v>136204</v>
      </c>
      <c r="U21" s="473">
        <v>128397</v>
      </c>
      <c r="V21" s="473">
        <v>105611</v>
      </c>
      <c r="W21" s="84"/>
    </row>
    <row r="22" spans="1:23" ht="15" customHeight="1">
      <c r="A22" s="77"/>
      <c r="B22" s="21" t="s">
        <v>36</v>
      </c>
      <c r="C22" s="202">
        <v>5129</v>
      </c>
      <c r="D22" s="202">
        <v>5205</v>
      </c>
      <c r="E22" s="87">
        <v>5495</v>
      </c>
      <c r="F22" s="87">
        <v>4936</v>
      </c>
      <c r="G22" s="87">
        <v>5692</v>
      </c>
      <c r="H22" s="87">
        <v>5872</v>
      </c>
      <c r="I22" s="87">
        <v>5718</v>
      </c>
      <c r="J22" s="87">
        <v>4999</v>
      </c>
      <c r="K22" s="87">
        <v>5308</v>
      </c>
      <c r="L22" s="87">
        <v>4587</v>
      </c>
      <c r="M22" s="473">
        <v>4454</v>
      </c>
      <c r="N22" s="473">
        <v>4386</v>
      </c>
      <c r="O22" s="473">
        <v>3991</v>
      </c>
      <c r="P22" s="473">
        <v>4148</v>
      </c>
      <c r="Q22" s="473">
        <v>4033</v>
      </c>
      <c r="R22" s="473">
        <v>3452</v>
      </c>
      <c r="S22" s="473">
        <v>3361</v>
      </c>
      <c r="T22" s="473">
        <v>3448</v>
      </c>
      <c r="U22" s="473">
        <v>3626</v>
      </c>
      <c r="V22" s="473">
        <v>3804</v>
      </c>
      <c r="W22" s="84"/>
    </row>
    <row r="23" spans="1:23" ht="15" customHeight="1">
      <c r="A23" s="77"/>
      <c r="B23" s="21" t="s">
        <v>37</v>
      </c>
      <c r="C23" s="202">
        <v>8911</v>
      </c>
      <c r="D23" s="202">
        <v>8412</v>
      </c>
      <c r="E23" s="87">
        <v>7677</v>
      </c>
      <c r="F23" s="87">
        <v>7798</v>
      </c>
      <c r="G23" s="87">
        <v>7963</v>
      </c>
      <c r="H23" s="87">
        <v>8137</v>
      </c>
      <c r="I23" s="87">
        <v>7986</v>
      </c>
      <c r="J23" s="87">
        <v>8584</v>
      </c>
      <c r="K23" s="87">
        <v>8141</v>
      </c>
      <c r="L23" s="87">
        <v>8469</v>
      </c>
      <c r="M23" s="473">
        <v>8092</v>
      </c>
      <c r="N23" s="473">
        <v>8197</v>
      </c>
      <c r="O23" s="473">
        <v>7851</v>
      </c>
      <c r="P23" s="473">
        <v>7828</v>
      </c>
      <c r="Q23" s="473">
        <v>8114</v>
      </c>
      <c r="R23" s="473">
        <v>8281</v>
      </c>
      <c r="S23" s="473">
        <v>8458</v>
      </c>
      <c r="T23" s="473">
        <v>8504</v>
      </c>
      <c r="U23" s="473">
        <v>8681</v>
      </c>
      <c r="V23" s="473">
        <v>8737</v>
      </c>
      <c r="W23" s="84"/>
    </row>
    <row r="24" spans="1:23" ht="15" customHeight="1">
      <c r="A24" s="77"/>
      <c r="B24" s="21" t="s">
        <v>38</v>
      </c>
      <c r="C24" s="202">
        <v>188080</v>
      </c>
      <c r="D24" s="202">
        <v>173675</v>
      </c>
      <c r="E24" s="87">
        <v>177252</v>
      </c>
      <c r="F24" s="87">
        <v>180217</v>
      </c>
      <c r="G24" s="87">
        <v>192488</v>
      </c>
      <c r="H24" s="87">
        <v>196061</v>
      </c>
      <c r="I24" s="87">
        <v>209488</v>
      </c>
      <c r="J24" s="87">
        <v>216569</v>
      </c>
      <c r="K24" s="87">
        <v>213668</v>
      </c>
      <c r="L24" s="87">
        <v>165224</v>
      </c>
      <c r="M24" s="473">
        <v>162365</v>
      </c>
      <c r="N24" s="473">
        <v>165740</v>
      </c>
      <c r="O24" s="473">
        <v>154484</v>
      </c>
      <c r="P24" s="473">
        <v>149330</v>
      </c>
      <c r="Q24" s="473">
        <v>166207</v>
      </c>
      <c r="R24" s="473">
        <v>136859</v>
      </c>
      <c r="S24" s="473">
        <v>146549</v>
      </c>
      <c r="T24" s="473">
        <v>141460</v>
      </c>
      <c r="U24" s="473">
        <v>142224</v>
      </c>
      <c r="V24" s="473">
        <v>142794</v>
      </c>
      <c r="W24" s="84"/>
    </row>
    <row r="25" spans="1:23" ht="15" customHeight="1">
      <c r="A25" s="77"/>
      <c r="B25" s="21" t="s">
        <v>39</v>
      </c>
      <c r="C25" s="202">
        <v>76818</v>
      </c>
      <c r="D25" s="202">
        <v>81657</v>
      </c>
      <c r="E25" s="87">
        <v>88108</v>
      </c>
      <c r="F25" s="87">
        <v>86666</v>
      </c>
      <c r="G25" s="87">
        <v>86954</v>
      </c>
      <c r="H25" s="87">
        <v>86284</v>
      </c>
      <c r="I25" s="87">
        <v>84609</v>
      </c>
      <c r="J25" s="87">
        <v>88170</v>
      </c>
      <c r="K25" s="87">
        <v>87761</v>
      </c>
      <c r="L25" s="87">
        <v>85926</v>
      </c>
      <c r="M25" s="473">
        <v>84222</v>
      </c>
      <c r="N25" s="473">
        <v>85706</v>
      </c>
      <c r="O25" s="473">
        <v>83655</v>
      </c>
      <c r="P25" s="473">
        <v>80659</v>
      </c>
      <c r="Q25" s="473">
        <v>79281</v>
      </c>
      <c r="R25" s="473">
        <v>78661</v>
      </c>
      <c r="S25" s="473">
        <v>76265</v>
      </c>
      <c r="T25" s="473">
        <v>70337</v>
      </c>
      <c r="U25" s="473">
        <v>69627</v>
      </c>
      <c r="V25" s="473">
        <v>68602</v>
      </c>
      <c r="W25" s="84"/>
    </row>
    <row r="26" spans="1:23" ht="15" customHeight="1">
      <c r="A26" s="77"/>
      <c r="B26" s="21" t="s">
        <v>42</v>
      </c>
      <c r="C26" s="202">
        <v>329611</v>
      </c>
      <c r="D26" s="202">
        <v>355771</v>
      </c>
      <c r="E26" s="87">
        <v>315599</v>
      </c>
      <c r="F26" s="87">
        <v>333291</v>
      </c>
      <c r="G26" s="87">
        <v>342856</v>
      </c>
      <c r="H26" s="87">
        <v>363183</v>
      </c>
      <c r="I26" s="87">
        <v>365174</v>
      </c>
      <c r="J26" s="87">
        <v>376490</v>
      </c>
      <c r="K26" s="87">
        <v>259599</v>
      </c>
      <c r="L26" s="87">
        <v>280553</v>
      </c>
      <c r="M26" s="473">
        <v>287369</v>
      </c>
      <c r="N26" s="473">
        <v>287657</v>
      </c>
      <c r="O26" s="473">
        <v>287451</v>
      </c>
      <c r="P26" s="473">
        <v>287811</v>
      </c>
      <c r="Q26" s="473">
        <v>302899</v>
      </c>
      <c r="R26" s="473">
        <v>295095</v>
      </c>
      <c r="S26" s="473">
        <v>302622</v>
      </c>
      <c r="T26" s="473">
        <v>304422</v>
      </c>
      <c r="U26" s="473">
        <v>309247</v>
      </c>
      <c r="V26" s="473">
        <v>312820</v>
      </c>
      <c r="W26" s="84"/>
    </row>
    <row r="27" spans="1:23" ht="15" customHeight="1">
      <c r="A27" s="77"/>
      <c r="B27" s="21" t="s">
        <v>43</v>
      </c>
      <c r="C27" s="202">
        <v>762880</v>
      </c>
      <c r="D27" s="202">
        <v>772630</v>
      </c>
      <c r="E27" s="87">
        <v>780630</v>
      </c>
      <c r="F27" s="87">
        <v>780710</v>
      </c>
      <c r="G27" s="87">
        <v>783080</v>
      </c>
      <c r="H27" s="87">
        <v>792590</v>
      </c>
      <c r="I27" s="87">
        <v>797255</v>
      </c>
      <c r="J27" s="87">
        <v>798940</v>
      </c>
      <c r="K27" s="87">
        <v>788380</v>
      </c>
      <c r="L27" s="87">
        <v>775528</v>
      </c>
      <c r="M27" s="473">
        <v>662963</v>
      </c>
      <c r="N27" s="473">
        <v>676872</v>
      </c>
      <c r="O27" s="473">
        <v>660964</v>
      </c>
      <c r="P27" s="473">
        <v>647020</v>
      </c>
      <c r="Q27" s="473">
        <v>629215</v>
      </c>
      <c r="R27" s="473">
        <v>614980</v>
      </c>
      <c r="S27" s="473">
        <v>607120</v>
      </c>
      <c r="T27" s="473">
        <v>600435</v>
      </c>
      <c r="U27" s="473">
        <v>607205</v>
      </c>
      <c r="V27" s="473">
        <v>588240</v>
      </c>
      <c r="W27" s="84"/>
    </row>
    <row r="28" spans="1:23" ht="15" customHeight="1">
      <c r="A28" s="77"/>
      <c r="B28" s="76" t="s">
        <v>44</v>
      </c>
      <c r="C28" s="202">
        <v>6945</v>
      </c>
      <c r="D28" s="202">
        <v>6551</v>
      </c>
      <c r="E28" s="87">
        <v>6058</v>
      </c>
      <c r="F28" s="87">
        <v>7288</v>
      </c>
      <c r="G28" s="87">
        <v>7899</v>
      </c>
      <c r="H28" s="87">
        <v>6847</v>
      </c>
      <c r="I28" s="87">
        <v>8312</v>
      </c>
      <c r="J28" s="87">
        <v>7387</v>
      </c>
      <c r="K28" s="87">
        <v>6065</v>
      </c>
      <c r="L28" s="87">
        <v>5153</v>
      </c>
      <c r="M28" s="473">
        <v>5127</v>
      </c>
      <c r="N28" s="473">
        <v>4985</v>
      </c>
      <c r="O28" s="473">
        <v>5439</v>
      </c>
      <c r="P28" s="473">
        <v>6120</v>
      </c>
      <c r="Q28" s="473">
        <v>6854</v>
      </c>
      <c r="R28" s="473">
        <v>6053</v>
      </c>
      <c r="S28" s="473">
        <v>5001</v>
      </c>
      <c r="T28" s="473">
        <v>5176</v>
      </c>
      <c r="U28" s="473">
        <v>5181</v>
      </c>
      <c r="V28" s="473">
        <v>5153</v>
      </c>
      <c r="W28" s="84"/>
    </row>
    <row r="29" spans="1:23" ht="15" customHeight="1">
      <c r="A29" s="77"/>
      <c r="B29" s="21" t="s">
        <v>45</v>
      </c>
      <c r="C29" s="202">
        <v>827</v>
      </c>
      <c r="D29" s="202">
        <v>814</v>
      </c>
      <c r="E29" s="87">
        <v>831</v>
      </c>
      <c r="F29" s="87">
        <v>957</v>
      </c>
      <c r="G29" s="87">
        <v>1286</v>
      </c>
      <c r="H29" s="87">
        <v>1501</v>
      </c>
      <c r="I29" s="87">
        <v>1758</v>
      </c>
      <c r="J29" s="87">
        <v>1929</v>
      </c>
      <c r="K29" s="87">
        <v>1982</v>
      </c>
      <c r="L29" s="87">
        <v>1992</v>
      </c>
      <c r="M29" s="473">
        <v>2056</v>
      </c>
      <c r="N29" s="473">
        <v>2130</v>
      </c>
      <c r="O29" s="473">
        <v>3115</v>
      </c>
      <c r="P29" s="473">
        <v>3361</v>
      </c>
      <c r="Q29" s="473">
        <v>2359</v>
      </c>
      <c r="R29" s="473">
        <v>2064</v>
      </c>
      <c r="S29" s="473">
        <v>2117</v>
      </c>
      <c r="T29" s="473">
        <v>2278</v>
      </c>
      <c r="U29" s="473">
        <v>2195</v>
      </c>
      <c r="V29" s="473">
        <v>2435</v>
      </c>
      <c r="W29" s="84"/>
    </row>
    <row r="30" spans="1:23" ht="15" customHeight="1">
      <c r="A30" s="77"/>
      <c r="B30" s="21" t="s">
        <v>46</v>
      </c>
      <c r="C30" s="202">
        <v>2907</v>
      </c>
      <c r="D30" s="202">
        <v>2661</v>
      </c>
      <c r="E30" s="87">
        <v>3054</v>
      </c>
      <c r="F30" s="87">
        <v>3262</v>
      </c>
      <c r="G30" s="87">
        <v>3384</v>
      </c>
      <c r="H30" s="87">
        <v>3035</v>
      </c>
      <c r="I30" s="87">
        <v>2262</v>
      </c>
      <c r="J30" s="87">
        <v>1813</v>
      </c>
      <c r="K30" s="87">
        <v>1540</v>
      </c>
      <c r="L30" s="87">
        <v>994</v>
      </c>
      <c r="M30" s="473">
        <v>748</v>
      </c>
      <c r="N30" s="473">
        <v>939</v>
      </c>
      <c r="O30" s="473">
        <v>2377</v>
      </c>
      <c r="P30" s="473">
        <v>2472</v>
      </c>
      <c r="Q30" s="473">
        <v>2288</v>
      </c>
      <c r="R30" s="473">
        <v>2649</v>
      </c>
      <c r="S30" s="473">
        <v>2476</v>
      </c>
      <c r="T30" s="473">
        <v>2493</v>
      </c>
      <c r="U30" s="473">
        <v>2564</v>
      </c>
      <c r="V30" s="473">
        <v>2700</v>
      </c>
      <c r="W30" s="84"/>
    </row>
    <row r="31" spans="1:23" ht="15" customHeight="1" thickBot="1">
      <c r="A31" s="82"/>
      <c r="B31" s="434" t="s">
        <v>47</v>
      </c>
      <c r="C31" s="438">
        <v>2331</v>
      </c>
      <c r="D31" s="438">
        <v>2059</v>
      </c>
      <c r="E31" s="474">
        <v>2146</v>
      </c>
      <c r="F31" s="474">
        <v>2867</v>
      </c>
      <c r="G31" s="474">
        <v>2997</v>
      </c>
      <c r="H31" s="474">
        <v>2839</v>
      </c>
      <c r="I31" s="474">
        <v>2988</v>
      </c>
      <c r="J31" s="474">
        <v>2712</v>
      </c>
      <c r="K31" s="474">
        <v>2919</v>
      </c>
      <c r="L31" s="474">
        <v>2907</v>
      </c>
      <c r="M31" s="475">
        <v>2518</v>
      </c>
      <c r="N31" s="475">
        <v>2524</v>
      </c>
      <c r="O31" s="475">
        <v>2549</v>
      </c>
      <c r="P31" s="475">
        <v>2225</v>
      </c>
      <c r="Q31" s="475">
        <v>2072</v>
      </c>
      <c r="R31" s="475">
        <v>2043</v>
      </c>
      <c r="S31" s="475">
        <v>1676</v>
      </c>
      <c r="T31" s="475">
        <v>1610</v>
      </c>
      <c r="U31" s="475">
        <v>1637</v>
      </c>
      <c r="V31" s="475">
        <v>1456</v>
      </c>
      <c r="W31" s="84"/>
    </row>
    <row r="32" spans="1:23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8">
    <tabColor theme="9" tint="0.59999389629810485"/>
  </sheetPr>
  <dimension ref="A2:Z37"/>
  <sheetViews>
    <sheetView showGridLines="0" zoomScaleNormal="100" workbookViewId="0">
      <selection activeCell="T15" sqref="T15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7.19921875" style="76" customWidth="1"/>
    <col min="23" max="23" width="7.796875" style="76" customWidth="1"/>
    <col min="24" max="16384" width="7" style="76"/>
  </cols>
  <sheetData>
    <row r="2" spans="1:26" ht="15.75" customHeight="1">
      <c r="A2" s="210" t="s">
        <v>494</v>
      </c>
      <c r="B2" s="211"/>
    </row>
    <row r="3" spans="1:26" ht="13.25" customHeight="1">
      <c r="A3" s="212" t="s">
        <v>210</v>
      </c>
      <c r="B3" s="212"/>
    </row>
    <row r="4" spans="1:26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</row>
    <row r="5" spans="1:26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6" ht="18" customHeight="1">
      <c r="A6" s="1020" t="s">
        <v>93</v>
      </c>
      <c r="B6" s="1020"/>
      <c r="C6" s="629">
        <f t="shared" ref="C6:N6" si="0">(C8+C9+C10+C11+C12+C13+C14+C15+C16+C17+C18+C19+C20+C21+C22+C23+C24+C25+C26+C27+C28+C29+C30+C31)</f>
        <v>33686</v>
      </c>
      <c r="D6" s="629">
        <f t="shared" si="0"/>
        <v>33903</v>
      </c>
      <c r="E6" s="629">
        <f t="shared" si="0"/>
        <v>33839</v>
      </c>
      <c r="F6" s="629">
        <f t="shared" si="0"/>
        <v>33349</v>
      </c>
      <c r="G6" s="629">
        <f t="shared" si="0"/>
        <v>33457</v>
      </c>
      <c r="H6" s="629">
        <f t="shared" si="0"/>
        <v>33672</v>
      </c>
      <c r="I6" s="629">
        <f t="shared" si="0"/>
        <v>34253</v>
      </c>
      <c r="J6" s="629">
        <f t="shared" si="0"/>
        <v>35304</v>
      </c>
      <c r="K6" s="629">
        <f t="shared" si="0"/>
        <v>34904</v>
      </c>
      <c r="L6" s="629">
        <f t="shared" si="0"/>
        <v>34421</v>
      </c>
      <c r="M6" s="629">
        <f t="shared" si="0"/>
        <v>33165</v>
      </c>
      <c r="N6" s="629">
        <f t="shared" si="0"/>
        <v>33953</v>
      </c>
      <c r="O6" s="629">
        <f t="shared" ref="O6:V6" si="1">(O8+O9+O10+O11+O12+O13+O14+O15+O16+O17+O18+O19+O20+O21+O22+O23+O24+O25+O26+O27+O28+O29+O30+O31)</f>
        <v>33456</v>
      </c>
      <c r="P6" s="629">
        <f t="shared" si="1"/>
        <v>33673</v>
      </c>
      <c r="Q6" s="629">
        <f t="shared" si="1"/>
        <v>33782</v>
      </c>
      <c r="R6" s="629">
        <f t="shared" si="1"/>
        <v>32310.980000000003</v>
      </c>
      <c r="S6" s="629">
        <f t="shared" si="1"/>
        <v>33259.23000000001</v>
      </c>
      <c r="T6" s="629">
        <f t="shared" ref="T6:U6" si="2">(T8+T9+T10+T11+T12+T13+T14+T15+T16+T17+T18+T19+T20+T21+T22+T23+T24+T25+T26+T27+T28+T29+T30+T31)</f>
        <v>33536.32</v>
      </c>
      <c r="U6" s="629">
        <f t="shared" si="2"/>
        <v>33690.399870369285</v>
      </c>
      <c r="V6" s="629">
        <f t="shared" si="1"/>
        <v>33625.352626535067</v>
      </c>
    </row>
    <row r="7" spans="1:26" ht="3" customHeight="1">
      <c r="A7" s="77"/>
      <c r="B7" s="78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2"/>
      <c r="P7" s="202"/>
      <c r="Q7" s="202"/>
      <c r="R7" s="202"/>
      <c r="S7" s="202"/>
      <c r="T7" s="202"/>
      <c r="U7" s="202"/>
      <c r="V7" s="202"/>
    </row>
    <row r="8" spans="1:26" ht="15" customHeight="1">
      <c r="A8" s="77"/>
      <c r="B8" s="21" t="s">
        <v>19</v>
      </c>
      <c r="C8" s="202">
        <v>37</v>
      </c>
      <c r="D8" s="202">
        <v>43</v>
      </c>
      <c r="E8" s="202">
        <v>49</v>
      </c>
      <c r="F8" s="202">
        <v>57</v>
      </c>
      <c r="G8" s="202">
        <v>79</v>
      </c>
      <c r="H8" s="202">
        <v>96</v>
      </c>
      <c r="I8" s="202">
        <v>101</v>
      </c>
      <c r="J8" s="202">
        <v>95</v>
      </c>
      <c r="K8" s="202">
        <v>98</v>
      </c>
      <c r="L8" s="202">
        <v>102</v>
      </c>
      <c r="M8" s="163">
        <v>96</v>
      </c>
      <c r="N8" s="163">
        <v>21</v>
      </c>
      <c r="O8" s="202">
        <v>37</v>
      </c>
      <c r="P8" s="202">
        <v>34</v>
      </c>
      <c r="Q8" s="202">
        <v>33</v>
      </c>
      <c r="R8" s="202">
        <v>29.79</v>
      </c>
      <c r="S8" s="202">
        <v>28.37</v>
      </c>
      <c r="T8" s="202">
        <v>27.47</v>
      </c>
      <c r="U8" s="202">
        <v>36.616</v>
      </c>
      <c r="V8" s="202">
        <v>35.305500000000002</v>
      </c>
      <c r="X8" s="562"/>
      <c r="Y8" s="562"/>
      <c r="Z8" s="562"/>
    </row>
    <row r="9" spans="1:26" ht="15" customHeight="1">
      <c r="A9" s="77"/>
      <c r="B9" s="21" t="s">
        <v>20</v>
      </c>
      <c r="C9" s="202">
        <v>717</v>
      </c>
      <c r="D9" s="202">
        <v>650</v>
      </c>
      <c r="E9" s="202">
        <v>641</v>
      </c>
      <c r="F9" s="202">
        <v>669</v>
      </c>
      <c r="G9" s="202">
        <v>716</v>
      </c>
      <c r="H9" s="202">
        <v>756</v>
      </c>
      <c r="I9" s="202">
        <v>900</v>
      </c>
      <c r="J9" s="202">
        <v>1309</v>
      </c>
      <c r="K9" s="202">
        <v>1257</v>
      </c>
      <c r="L9" s="202">
        <v>1092</v>
      </c>
      <c r="M9" s="163">
        <v>1222</v>
      </c>
      <c r="N9" s="163">
        <v>1205</v>
      </c>
      <c r="O9" s="202">
        <v>1360</v>
      </c>
      <c r="P9" s="202">
        <v>1478</v>
      </c>
      <c r="Q9" s="202">
        <v>1493</v>
      </c>
      <c r="R9" s="202">
        <v>1615.81</v>
      </c>
      <c r="S9" s="202">
        <v>1767.71</v>
      </c>
      <c r="T9" s="202">
        <v>1771.24</v>
      </c>
      <c r="U9" s="202">
        <v>1814.2130408935088</v>
      </c>
      <c r="V9" s="202">
        <v>1858.3685120546197</v>
      </c>
      <c r="W9" s="84"/>
      <c r="X9" s="562"/>
      <c r="Y9" s="562"/>
      <c r="Z9" s="562"/>
    </row>
    <row r="10" spans="1:26" ht="15" customHeight="1">
      <c r="A10" s="77"/>
      <c r="B10" s="21" t="s">
        <v>21</v>
      </c>
      <c r="C10" s="202">
        <v>390</v>
      </c>
      <c r="D10" s="202">
        <v>411</v>
      </c>
      <c r="E10" s="202">
        <v>464</v>
      </c>
      <c r="F10" s="202">
        <v>392</v>
      </c>
      <c r="G10" s="202">
        <v>439</v>
      </c>
      <c r="H10" s="202">
        <v>398</v>
      </c>
      <c r="I10" s="202">
        <v>454</v>
      </c>
      <c r="J10" s="202">
        <v>553</v>
      </c>
      <c r="K10" s="202">
        <v>583</v>
      </c>
      <c r="L10" s="202">
        <v>605</v>
      </c>
      <c r="M10" s="202">
        <v>577</v>
      </c>
      <c r="N10" s="202">
        <v>641</v>
      </c>
      <c r="O10" s="202">
        <v>539</v>
      </c>
      <c r="P10" s="202">
        <v>536</v>
      </c>
      <c r="Q10" s="202">
        <v>529</v>
      </c>
      <c r="R10" s="202">
        <v>476.24</v>
      </c>
      <c r="S10" s="202">
        <v>448.5</v>
      </c>
      <c r="T10" s="202">
        <v>428.85</v>
      </c>
      <c r="U10" s="202">
        <v>397.16404999999997</v>
      </c>
      <c r="V10" s="202">
        <v>383.87769999999995</v>
      </c>
      <c r="W10" s="84"/>
      <c r="X10" s="562"/>
      <c r="Y10" s="562"/>
      <c r="Z10" s="562"/>
    </row>
    <row r="11" spans="1:26" ht="15" customHeight="1">
      <c r="A11" s="77"/>
      <c r="B11" s="21" t="s">
        <v>22</v>
      </c>
      <c r="C11" s="202">
        <v>1793</v>
      </c>
      <c r="D11" s="202">
        <v>1846</v>
      </c>
      <c r="E11" s="202">
        <v>1994</v>
      </c>
      <c r="F11" s="202">
        <v>2023</v>
      </c>
      <c r="G11" s="202">
        <v>2075</v>
      </c>
      <c r="H11" s="202">
        <v>2111</v>
      </c>
      <c r="I11" s="202">
        <v>2132</v>
      </c>
      <c r="J11" s="202">
        <v>2135</v>
      </c>
      <c r="K11" s="202">
        <v>2231</v>
      </c>
      <c r="L11" s="202">
        <v>2316</v>
      </c>
      <c r="M11" s="163">
        <v>2370</v>
      </c>
      <c r="N11" s="163">
        <v>2406</v>
      </c>
      <c r="O11" s="202">
        <v>2422</v>
      </c>
      <c r="P11" s="202">
        <v>2453</v>
      </c>
      <c r="Q11" s="202">
        <v>2504</v>
      </c>
      <c r="R11" s="202">
        <v>2545.5300000000002</v>
      </c>
      <c r="S11" s="202">
        <v>2608.0300000000002</v>
      </c>
      <c r="T11" s="202">
        <v>2850.39</v>
      </c>
      <c r="U11" s="202">
        <v>2939.6688600000002</v>
      </c>
      <c r="V11" s="202">
        <v>3019.7650720000001</v>
      </c>
      <c r="W11" s="84"/>
      <c r="X11" s="562"/>
      <c r="Y11" s="562"/>
      <c r="Z11" s="562"/>
    </row>
    <row r="12" spans="1:26" ht="15" customHeight="1">
      <c r="A12" s="77"/>
      <c r="B12" s="21" t="s">
        <v>23</v>
      </c>
      <c r="C12" s="202">
        <v>1511</v>
      </c>
      <c r="D12" s="202">
        <v>1597</v>
      </c>
      <c r="E12" s="202">
        <v>1709</v>
      </c>
      <c r="F12" s="202">
        <v>1546</v>
      </c>
      <c r="G12" s="202">
        <v>1618</v>
      </c>
      <c r="H12" s="202">
        <v>1631</v>
      </c>
      <c r="I12" s="202">
        <v>1601</v>
      </c>
      <c r="J12" s="202">
        <v>1547</v>
      </c>
      <c r="K12" s="202">
        <v>1771</v>
      </c>
      <c r="L12" s="202">
        <v>1834</v>
      </c>
      <c r="M12" s="163">
        <v>1556</v>
      </c>
      <c r="N12" s="163">
        <v>1467</v>
      </c>
      <c r="O12" s="202">
        <v>1219</v>
      </c>
      <c r="P12" s="202">
        <v>1185</v>
      </c>
      <c r="Q12" s="202">
        <v>1211</v>
      </c>
      <c r="R12" s="202">
        <v>907.52</v>
      </c>
      <c r="S12" s="202">
        <v>953.62</v>
      </c>
      <c r="T12" s="202">
        <v>954.97</v>
      </c>
      <c r="U12" s="202">
        <v>913.42690999999991</v>
      </c>
      <c r="V12" s="202">
        <v>872.91439999999989</v>
      </c>
      <c r="W12" s="84"/>
      <c r="X12" s="562"/>
      <c r="Y12" s="562"/>
      <c r="Z12" s="562"/>
    </row>
    <row r="13" spans="1:26" ht="15" customHeight="1">
      <c r="A13" s="77"/>
      <c r="B13" s="21" t="s">
        <v>27</v>
      </c>
      <c r="C13" s="202">
        <v>69</v>
      </c>
      <c r="D13" s="202">
        <v>68</v>
      </c>
      <c r="E13" s="202">
        <v>60</v>
      </c>
      <c r="F13" s="202">
        <v>58</v>
      </c>
      <c r="G13" s="202">
        <v>72</v>
      </c>
      <c r="H13" s="202">
        <v>80</v>
      </c>
      <c r="I13" s="202">
        <v>78</v>
      </c>
      <c r="J13" s="202">
        <v>88</v>
      </c>
      <c r="K13" s="202">
        <v>87</v>
      </c>
      <c r="L13" s="202">
        <v>82</v>
      </c>
      <c r="M13" s="202">
        <v>76</v>
      </c>
      <c r="N13" s="202">
        <v>57</v>
      </c>
      <c r="O13" s="202">
        <v>51</v>
      </c>
      <c r="P13" s="202">
        <v>54</v>
      </c>
      <c r="Q13" s="202">
        <v>56</v>
      </c>
      <c r="R13" s="202">
        <v>46.85</v>
      </c>
      <c r="S13" s="202">
        <v>50.71</v>
      </c>
      <c r="T13" s="202">
        <v>53.85</v>
      </c>
      <c r="U13" s="202">
        <v>55.287100000000009</v>
      </c>
      <c r="V13" s="202">
        <v>60.121011999999993</v>
      </c>
      <c r="W13" s="84"/>
      <c r="X13" s="562"/>
      <c r="Y13" s="562"/>
      <c r="Z13" s="562"/>
    </row>
    <row r="14" spans="1:26" ht="15" customHeight="1">
      <c r="A14" s="77"/>
      <c r="B14" s="21" t="s">
        <v>28</v>
      </c>
      <c r="C14" s="202">
        <v>948</v>
      </c>
      <c r="D14" s="202">
        <v>986</v>
      </c>
      <c r="E14" s="202">
        <v>985</v>
      </c>
      <c r="F14" s="202">
        <v>1048</v>
      </c>
      <c r="G14" s="202">
        <v>1155</v>
      </c>
      <c r="H14" s="202">
        <v>1158</v>
      </c>
      <c r="I14" s="202">
        <v>1197</v>
      </c>
      <c r="J14" s="202">
        <v>1210</v>
      </c>
      <c r="K14" s="202">
        <v>1228</v>
      </c>
      <c r="L14" s="202">
        <v>1242</v>
      </c>
      <c r="M14" s="163">
        <v>1304</v>
      </c>
      <c r="N14" s="163">
        <v>1365</v>
      </c>
      <c r="O14" s="202">
        <v>1376</v>
      </c>
      <c r="P14" s="202">
        <v>1398</v>
      </c>
      <c r="Q14" s="202">
        <v>1403</v>
      </c>
      <c r="R14" s="202">
        <v>1275.29</v>
      </c>
      <c r="S14" s="202">
        <v>1421.53</v>
      </c>
      <c r="T14" s="202">
        <v>1428.87</v>
      </c>
      <c r="U14" s="202">
        <v>1436.8788028763058</v>
      </c>
      <c r="V14" s="202">
        <v>1476.8160342112003</v>
      </c>
      <c r="W14" s="84"/>
      <c r="X14" s="562"/>
      <c r="Y14" s="562"/>
      <c r="Z14" s="562"/>
    </row>
    <row r="15" spans="1:26" ht="15" customHeight="1">
      <c r="A15" s="77"/>
      <c r="B15" s="21" t="s">
        <v>29</v>
      </c>
      <c r="C15" s="202">
        <v>1149</v>
      </c>
      <c r="D15" s="202">
        <v>1244</v>
      </c>
      <c r="E15" s="202">
        <v>1230</v>
      </c>
      <c r="F15" s="202">
        <v>1220</v>
      </c>
      <c r="G15" s="202">
        <v>1287</v>
      </c>
      <c r="H15" s="202">
        <v>1321</v>
      </c>
      <c r="I15" s="202">
        <v>1355</v>
      </c>
      <c r="J15" s="202">
        <v>1371</v>
      </c>
      <c r="K15" s="202">
        <v>1327</v>
      </c>
      <c r="L15" s="202">
        <v>1308</v>
      </c>
      <c r="M15" s="163">
        <v>1110</v>
      </c>
      <c r="N15" s="163">
        <v>1036</v>
      </c>
      <c r="O15" s="202">
        <v>976</v>
      </c>
      <c r="P15" s="202">
        <v>821</v>
      </c>
      <c r="Q15" s="202">
        <v>793</v>
      </c>
      <c r="R15" s="202">
        <v>705.27</v>
      </c>
      <c r="S15" s="202">
        <v>707.65</v>
      </c>
      <c r="T15" s="202">
        <v>663.59</v>
      </c>
      <c r="U15" s="202">
        <v>713.9445199999999</v>
      </c>
      <c r="V15" s="202">
        <v>760.26465999999994</v>
      </c>
      <c r="W15" s="84"/>
      <c r="X15" s="562"/>
      <c r="Y15" s="562"/>
      <c r="Z15" s="562"/>
    </row>
    <row r="16" spans="1:26" ht="15" customHeight="1">
      <c r="A16" s="77"/>
      <c r="B16" s="21" t="s">
        <v>30</v>
      </c>
      <c r="C16" s="202">
        <v>69</v>
      </c>
      <c r="D16" s="202">
        <v>70</v>
      </c>
      <c r="E16" s="202">
        <v>73</v>
      </c>
      <c r="F16" s="202">
        <v>72</v>
      </c>
      <c r="G16" s="202">
        <v>73</v>
      </c>
      <c r="H16" s="202">
        <v>84</v>
      </c>
      <c r="I16" s="202">
        <v>89</v>
      </c>
      <c r="J16" s="202">
        <v>75</v>
      </c>
      <c r="K16" s="202">
        <v>80</v>
      </c>
      <c r="L16" s="202">
        <v>91</v>
      </c>
      <c r="M16" s="202">
        <v>90</v>
      </c>
      <c r="N16" s="202">
        <v>80</v>
      </c>
      <c r="O16" s="202">
        <v>61</v>
      </c>
      <c r="P16" s="202">
        <v>77</v>
      </c>
      <c r="Q16" s="202">
        <v>128</v>
      </c>
      <c r="R16" s="202">
        <v>130.75</v>
      </c>
      <c r="S16" s="202">
        <v>138.29</v>
      </c>
      <c r="T16" s="202">
        <v>143.54</v>
      </c>
      <c r="U16" s="202">
        <v>144.96375739999999</v>
      </c>
      <c r="V16" s="202">
        <v>140.98679999999999</v>
      </c>
      <c r="W16" s="84"/>
      <c r="X16" s="562"/>
      <c r="Y16" s="562"/>
      <c r="Z16" s="562"/>
    </row>
    <row r="17" spans="1:26" ht="15" customHeight="1">
      <c r="A17" s="77"/>
      <c r="B17" s="21" t="s">
        <v>31</v>
      </c>
      <c r="C17" s="202">
        <v>2504</v>
      </c>
      <c r="D17" s="202">
        <v>2336</v>
      </c>
      <c r="E17" s="202">
        <v>2095</v>
      </c>
      <c r="F17" s="202">
        <v>1928</v>
      </c>
      <c r="G17" s="202">
        <v>1810</v>
      </c>
      <c r="H17" s="202">
        <v>1707</v>
      </c>
      <c r="I17" s="202">
        <v>1466</v>
      </c>
      <c r="J17" s="202">
        <v>1454</v>
      </c>
      <c r="K17" s="202">
        <v>1528</v>
      </c>
      <c r="L17" s="202">
        <v>1478</v>
      </c>
      <c r="M17" s="163">
        <v>1629</v>
      </c>
      <c r="N17" s="163">
        <v>1693</v>
      </c>
      <c r="O17" s="202">
        <v>1751</v>
      </c>
      <c r="P17" s="202">
        <v>1871</v>
      </c>
      <c r="Q17" s="202">
        <v>1799</v>
      </c>
      <c r="R17" s="202">
        <v>1740.21</v>
      </c>
      <c r="S17" s="202">
        <v>1760.98</v>
      </c>
      <c r="T17" s="202">
        <v>1776.52</v>
      </c>
      <c r="U17" s="202">
        <v>1801.7155046520706</v>
      </c>
      <c r="V17" s="202">
        <v>1911.922421995175</v>
      </c>
      <c r="W17" s="84"/>
      <c r="X17" s="562"/>
      <c r="Y17" s="562"/>
      <c r="Z17" s="562"/>
    </row>
    <row r="18" spans="1:26" ht="15" customHeight="1">
      <c r="A18" s="77"/>
      <c r="B18" s="21" t="s">
        <v>32</v>
      </c>
      <c r="C18" s="202">
        <v>1744</v>
      </c>
      <c r="D18" s="202">
        <v>1784</v>
      </c>
      <c r="E18" s="202">
        <v>1887</v>
      </c>
      <c r="F18" s="202">
        <v>2262</v>
      </c>
      <c r="G18" s="202">
        <v>2064</v>
      </c>
      <c r="H18" s="202">
        <v>1859</v>
      </c>
      <c r="I18" s="202">
        <v>2101</v>
      </c>
      <c r="J18" s="202">
        <v>1897</v>
      </c>
      <c r="K18" s="202">
        <v>1901</v>
      </c>
      <c r="L18" s="202">
        <v>1693</v>
      </c>
      <c r="M18" s="163">
        <v>1560</v>
      </c>
      <c r="N18" s="163">
        <v>1307</v>
      </c>
      <c r="O18" s="202">
        <v>1381</v>
      </c>
      <c r="P18" s="202">
        <v>1319</v>
      </c>
      <c r="Q18" s="202">
        <v>1338</v>
      </c>
      <c r="R18" s="202">
        <v>1351.31</v>
      </c>
      <c r="S18" s="202">
        <v>1366.2</v>
      </c>
      <c r="T18" s="202">
        <v>1364.19</v>
      </c>
      <c r="U18" s="202">
        <v>1333.9349417423903</v>
      </c>
      <c r="V18" s="202">
        <v>1376.3280869488763</v>
      </c>
      <c r="W18" s="84"/>
      <c r="X18" s="562"/>
      <c r="Y18" s="562"/>
      <c r="Z18" s="562"/>
    </row>
    <row r="19" spans="1:26" ht="15" customHeight="1">
      <c r="A19" s="77"/>
      <c r="B19" s="21" t="s">
        <v>33</v>
      </c>
      <c r="C19" s="202">
        <v>2597</v>
      </c>
      <c r="D19" s="202">
        <v>2575</v>
      </c>
      <c r="E19" s="202">
        <v>2640</v>
      </c>
      <c r="F19" s="202">
        <v>2307</v>
      </c>
      <c r="G19" s="202">
        <v>2013</v>
      </c>
      <c r="H19" s="202">
        <v>2113</v>
      </c>
      <c r="I19" s="202">
        <v>2224</v>
      </c>
      <c r="J19" s="202">
        <v>2327</v>
      </c>
      <c r="K19" s="202">
        <v>2526</v>
      </c>
      <c r="L19" s="202">
        <v>2605</v>
      </c>
      <c r="M19" s="163">
        <v>2964</v>
      </c>
      <c r="N19" s="163">
        <v>2951</v>
      </c>
      <c r="O19" s="202">
        <v>3300</v>
      </c>
      <c r="P19" s="202">
        <v>3325</v>
      </c>
      <c r="Q19" s="202">
        <v>3285</v>
      </c>
      <c r="R19" s="202">
        <v>2856.1</v>
      </c>
      <c r="S19" s="202">
        <v>3204.15</v>
      </c>
      <c r="T19" s="202">
        <v>3400.46</v>
      </c>
      <c r="U19" s="202">
        <v>3508.6795999999995</v>
      </c>
      <c r="V19" s="202">
        <v>3548.9452000000001</v>
      </c>
      <c r="W19" s="84"/>
      <c r="X19" s="562"/>
      <c r="Y19" s="562"/>
      <c r="Z19" s="562"/>
    </row>
    <row r="20" spans="1:26" ht="15" customHeight="1">
      <c r="A20" s="77"/>
      <c r="B20" s="21" t="s">
        <v>34</v>
      </c>
      <c r="C20" s="202">
        <v>1471</v>
      </c>
      <c r="D20" s="202">
        <v>1329</v>
      </c>
      <c r="E20" s="202">
        <v>1357</v>
      </c>
      <c r="F20" s="202">
        <v>1181</v>
      </c>
      <c r="G20" s="202">
        <v>1223</v>
      </c>
      <c r="H20" s="202">
        <v>1225</v>
      </c>
      <c r="I20" s="202">
        <v>1322</v>
      </c>
      <c r="J20" s="202">
        <v>1433</v>
      </c>
      <c r="K20" s="202">
        <v>1510</v>
      </c>
      <c r="L20" s="202">
        <v>1663</v>
      </c>
      <c r="M20" s="163">
        <v>1660</v>
      </c>
      <c r="N20" s="163">
        <v>1536</v>
      </c>
      <c r="O20" s="202">
        <v>1601</v>
      </c>
      <c r="P20" s="202">
        <v>1395</v>
      </c>
      <c r="Q20" s="202">
        <v>1441</v>
      </c>
      <c r="R20" s="202">
        <v>1359.12</v>
      </c>
      <c r="S20" s="202">
        <v>1324.02</v>
      </c>
      <c r="T20" s="202">
        <v>1305.23</v>
      </c>
      <c r="U20" s="202">
        <v>1249.1697200000001</v>
      </c>
      <c r="V20" s="202">
        <v>1211.9880000000001</v>
      </c>
      <c r="W20" s="84"/>
      <c r="X20" s="562"/>
      <c r="Y20" s="562"/>
      <c r="Z20" s="562"/>
    </row>
    <row r="21" spans="1:26" ht="15" customHeight="1">
      <c r="A21" s="77"/>
      <c r="B21" s="21" t="s">
        <v>35</v>
      </c>
      <c r="C21" s="202">
        <v>1237</v>
      </c>
      <c r="D21" s="202">
        <v>1237</v>
      </c>
      <c r="E21" s="202">
        <v>1098</v>
      </c>
      <c r="F21" s="202">
        <v>1065</v>
      </c>
      <c r="G21" s="202">
        <v>992</v>
      </c>
      <c r="H21" s="202">
        <v>875</v>
      </c>
      <c r="I21" s="202">
        <v>892</v>
      </c>
      <c r="J21" s="202">
        <v>1049</v>
      </c>
      <c r="K21" s="202">
        <v>1455</v>
      </c>
      <c r="L21" s="202">
        <v>1533</v>
      </c>
      <c r="M21" s="163">
        <v>1590</v>
      </c>
      <c r="N21" s="163">
        <v>2635</v>
      </c>
      <c r="O21" s="202">
        <v>2024</v>
      </c>
      <c r="P21" s="202">
        <v>2094</v>
      </c>
      <c r="Q21" s="202">
        <v>2148</v>
      </c>
      <c r="R21" s="202">
        <v>2062.86</v>
      </c>
      <c r="S21" s="202">
        <v>2040.82</v>
      </c>
      <c r="T21" s="202">
        <v>1972.24</v>
      </c>
      <c r="U21" s="202">
        <v>1848.6866</v>
      </c>
      <c r="V21" s="202">
        <v>1520.5018999999998</v>
      </c>
      <c r="W21" s="84"/>
      <c r="X21" s="562"/>
      <c r="Y21" s="562"/>
      <c r="Z21" s="562"/>
    </row>
    <row r="22" spans="1:26" ht="15" customHeight="1">
      <c r="A22" s="77"/>
      <c r="B22" s="21" t="s">
        <v>36</v>
      </c>
      <c r="C22" s="202">
        <v>104</v>
      </c>
      <c r="D22" s="202">
        <v>107</v>
      </c>
      <c r="E22" s="202">
        <v>110</v>
      </c>
      <c r="F22" s="202">
        <v>102</v>
      </c>
      <c r="G22" s="202">
        <v>119</v>
      </c>
      <c r="H22" s="202">
        <v>122</v>
      </c>
      <c r="I22" s="202">
        <v>124</v>
      </c>
      <c r="J22" s="202">
        <v>105</v>
      </c>
      <c r="K22" s="202">
        <v>111</v>
      </c>
      <c r="L22" s="202">
        <v>100</v>
      </c>
      <c r="M22" s="163">
        <v>98</v>
      </c>
      <c r="N22" s="163">
        <v>95</v>
      </c>
      <c r="O22" s="202">
        <v>84</v>
      </c>
      <c r="P22" s="202">
        <v>87</v>
      </c>
      <c r="Q22" s="202">
        <v>82</v>
      </c>
      <c r="R22" s="202">
        <v>66.45</v>
      </c>
      <c r="S22" s="202">
        <v>71.2</v>
      </c>
      <c r="T22" s="202">
        <v>72.78</v>
      </c>
      <c r="U22" s="202">
        <v>77.152845624999998</v>
      </c>
      <c r="V22" s="202">
        <v>78.453800980799997</v>
      </c>
      <c r="W22" s="84"/>
      <c r="X22" s="562"/>
      <c r="Y22" s="562"/>
      <c r="Z22" s="562"/>
    </row>
    <row r="23" spans="1:26" ht="15" customHeight="1">
      <c r="A23" s="77"/>
      <c r="B23" s="21" t="s">
        <v>37</v>
      </c>
      <c r="C23" s="202">
        <v>174</v>
      </c>
      <c r="D23" s="202">
        <v>166</v>
      </c>
      <c r="E23" s="202">
        <v>152</v>
      </c>
      <c r="F23" s="202">
        <v>153</v>
      </c>
      <c r="G23" s="202">
        <v>152</v>
      </c>
      <c r="H23" s="202">
        <v>163</v>
      </c>
      <c r="I23" s="202">
        <v>142</v>
      </c>
      <c r="J23" s="202">
        <v>173</v>
      </c>
      <c r="K23" s="202">
        <v>176</v>
      </c>
      <c r="L23" s="202">
        <v>180</v>
      </c>
      <c r="M23" s="163">
        <v>178</v>
      </c>
      <c r="N23" s="163">
        <v>180</v>
      </c>
      <c r="O23" s="202">
        <v>182</v>
      </c>
      <c r="P23" s="202">
        <v>183</v>
      </c>
      <c r="Q23" s="202">
        <v>187</v>
      </c>
      <c r="R23" s="202">
        <v>192.62</v>
      </c>
      <c r="S23" s="202">
        <v>197.08</v>
      </c>
      <c r="T23" s="202">
        <v>199.63</v>
      </c>
      <c r="U23" s="202">
        <v>209.16481199999998</v>
      </c>
      <c r="V23" s="202">
        <v>215.67362</v>
      </c>
      <c r="W23" s="84"/>
      <c r="X23" s="562"/>
      <c r="Y23" s="562"/>
      <c r="Z23" s="562"/>
    </row>
    <row r="24" spans="1:26" ht="15" customHeight="1">
      <c r="A24" s="77"/>
      <c r="B24" s="21" t="s">
        <v>38</v>
      </c>
      <c r="C24" s="202">
        <v>2045</v>
      </c>
      <c r="D24" s="202">
        <v>1936</v>
      </c>
      <c r="E24" s="202">
        <v>2001</v>
      </c>
      <c r="F24" s="202">
        <v>1853</v>
      </c>
      <c r="G24" s="202">
        <v>2068</v>
      </c>
      <c r="H24" s="202">
        <v>2130</v>
      </c>
      <c r="I24" s="202">
        <v>2269</v>
      </c>
      <c r="J24" s="202">
        <v>2448</v>
      </c>
      <c r="K24" s="202">
        <v>2458</v>
      </c>
      <c r="L24" s="202">
        <v>1887</v>
      </c>
      <c r="M24" s="163">
        <v>1893</v>
      </c>
      <c r="N24" s="163">
        <v>1908</v>
      </c>
      <c r="O24" s="202">
        <v>1839</v>
      </c>
      <c r="P24" s="202">
        <v>1779</v>
      </c>
      <c r="Q24" s="202">
        <v>1958</v>
      </c>
      <c r="R24" s="202">
        <v>1607.29</v>
      </c>
      <c r="S24" s="202">
        <v>1736.36</v>
      </c>
      <c r="T24" s="202">
        <v>1703.98</v>
      </c>
      <c r="U24" s="202">
        <v>1752.0371999999998</v>
      </c>
      <c r="V24" s="202">
        <v>1739.8634999999999</v>
      </c>
      <c r="W24" s="84"/>
      <c r="X24" s="562"/>
      <c r="Y24" s="562"/>
      <c r="Z24" s="562"/>
    </row>
    <row r="25" spans="1:26" ht="15" customHeight="1">
      <c r="A25" s="77"/>
      <c r="B25" s="21" t="s">
        <v>39</v>
      </c>
      <c r="C25" s="202">
        <v>923</v>
      </c>
      <c r="D25" s="202">
        <v>939</v>
      </c>
      <c r="E25" s="202">
        <v>1053</v>
      </c>
      <c r="F25" s="202">
        <v>1000</v>
      </c>
      <c r="G25" s="202">
        <v>1001</v>
      </c>
      <c r="H25" s="202">
        <v>982</v>
      </c>
      <c r="I25" s="202">
        <v>909</v>
      </c>
      <c r="J25" s="202">
        <v>910</v>
      </c>
      <c r="K25" s="202">
        <v>936</v>
      </c>
      <c r="L25" s="202">
        <v>968</v>
      </c>
      <c r="M25" s="163">
        <v>955</v>
      </c>
      <c r="N25" s="163">
        <v>962</v>
      </c>
      <c r="O25" s="202">
        <v>960</v>
      </c>
      <c r="P25" s="202">
        <v>932</v>
      </c>
      <c r="Q25" s="202">
        <v>920</v>
      </c>
      <c r="R25" s="202">
        <v>887.11</v>
      </c>
      <c r="S25" s="202">
        <v>848.43</v>
      </c>
      <c r="T25" s="202">
        <v>822.77</v>
      </c>
      <c r="U25" s="202">
        <v>791.72108000000014</v>
      </c>
      <c r="V25" s="202">
        <v>762.57559999999989</v>
      </c>
      <c r="W25" s="84"/>
      <c r="X25" s="562"/>
      <c r="Y25" s="562"/>
      <c r="Z25" s="562"/>
    </row>
    <row r="26" spans="1:26" ht="15" customHeight="1">
      <c r="A26" s="77"/>
      <c r="B26" s="21" t="s">
        <v>42</v>
      </c>
      <c r="C26" s="202">
        <v>3756</v>
      </c>
      <c r="D26" s="202">
        <v>4105</v>
      </c>
      <c r="E26" s="202">
        <v>3616</v>
      </c>
      <c r="F26" s="202">
        <v>3766</v>
      </c>
      <c r="G26" s="202">
        <v>3762</v>
      </c>
      <c r="H26" s="202">
        <v>4018</v>
      </c>
      <c r="I26" s="202">
        <v>3929</v>
      </c>
      <c r="J26" s="202">
        <v>4070</v>
      </c>
      <c r="K26" s="202">
        <v>2865</v>
      </c>
      <c r="L26" s="202">
        <v>3109</v>
      </c>
      <c r="M26" s="163">
        <v>3222</v>
      </c>
      <c r="N26" s="163">
        <v>3235</v>
      </c>
      <c r="O26" s="202">
        <v>3232</v>
      </c>
      <c r="P26" s="202">
        <v>3710</v>
      </c>
      <c r="Q26" s="202">
        <v>3631</v>
      </c>
      <c r="R26" s="202">
        <v>3742.52</v>
      </c>
      <c r="S26" s="202">
        <v>3968.39</v>
      </c>
      <c r="T26" s="202">
        <v>4030.43</v>
      </c>
      <c r="U26" s="202">
        <v>4045.1340000000005</v>
      </c>
      <c r="V26" s="202">
        <v>4042.6616000000008</v>
      </c>
      <c r="W26" s="84"/>
      <c r="X26" s="562"/>
      <c r="Y26" s="562"/>
      <c r="Z26" s="562"/>
    </row>
    <row r="27" spans="1:26" ht="15" customHeight="1">
      <c r="A27" s="77"/>
      <c r="B27" s="21" t="s">
        <v>43</v>
      </c>
      <c r="C27" s="202">
        <v>10246</v>
      </c>
      <c r="D27" s="202">
        <v>10288</v>
      </c>
      <c r="E27" s="202">
        <v>10431</v>
      </c>
      <c r="F27" s="202">
        <v>10445</v>
      </c>
      <c r="G27" s="202">
        <v>10534</v>
      </c>
      <c r="H27" s="202">
        <v>10653</v>
      </c>
      <c r="I27" s="202">
        <v>10759</v>
      </c>
      <c r="J27" s="202">
        <v>10869</v>
      </c>
      <c r="K27" s="202">
        <v>10609</v>
      </c>
      <c r="L27" s="202">
        <v>10379</v>
      </c>
      <c r="M27" s="163">
        <v>8876</v>
      </c>
      <c r="N27" s="163">
        <v>9034</v>
      </c>
      <c r="O27" s="202">
        <v>8891</v>
      </c>
      <c r="P27" s="202">
        <v>8767</v>
      </c>
      <c r="Q27" s="202">
        <v>8679</v>
      </c>
      <c r="R27" s="202">
        <v>8557.7900000000009</v>
      </c>
      <c r="S27" s="202">
        <v>8469.86</v>
      </c>
      <c r="T27" s="202">
        <v>8420.4699999999993</v>
      </c>
      <c r="U27" s="202">
        <v>8477.4590000000007</v>
      </c>
      <c r="V27" s="202">
        <v>8455.1829999999991</v>
      </c>
      <c r="W27" s="84"/>
      <c r="X27" s="562"/>
      <c r="Y27" s="562"/>
      <c r="Z27" s="562"/>
    </row>
    <row r="28" spans="1:26" ht="15" customHeight="1">
      <c r="A28" s="77"/>
      <c r="B28" s="76" t="s">
        <v>44</v>
      </c>
      <c r="C28" s="202">
        <v>97</v>
      </c>
      <c r="D28" s="202">
        <v>92</v>
      </c>
      <c r="E28" s="202">
        <v>90</v>
      </c>
      <c r="F28" s="202">
        <v>98</v>
      </c>
      <c r="G28" s="202">
        <v>93</v>
      </c>
      <c r="H28" s="202">
        <v>85</v>
      </c>
      <c r="I28" s="202">
        <v>105</v>
      </c>
      <c r="J28" s="202">
        <v>91</v>
      </c>
      <c r="K28" s="202">
        <v>74</v>
      </c>
      <c r="L28" s="202">
        <v>63</v>
      </c>
      <c r="M28" s="163">
        <v>62</v>
      </c>
      <c r="N28" s="163">
        <v>57</v>
      </c>
      <c r="O28" s="202">
        <v>60</v>
      </c>
      <c r="P28" s="202">
        <v>67</v>
      </c>
      <c r="Q28" s="202">
        <v>71</v>
      </c>
      <c r="R28" s="202">
        <v>67.16</v>
      </c>
      <c r="S28" s="202">
        <v>60.58</v>
      </c>
      <c r="T28" s="202">
        <v>58.2</v>
      </c>
      <c r="U28" s="202">
        <v>57.274016180000004</v>
      </c>
      <c r="V28" s="202">
        <v>59.932706344404004</v>
      </c>
      <c r="W28" s="84"/>
      <c r="X28" s="562"/>
      <c r="Y28" s="562"/>
      <c r="Z28" s="562"/>
    </row>
    <row r="29" spans="1:26" ht="15" customHeight="1">
      <c r="A29" s="77"/>
      <c r="B29" s="21" t="s">
        <v>45</v>
      </c>
      <c r="C29" s="202">
        <v>12</v>
      </c>
      <c r="D29" s="202">
        <v>10</v>
      </c>
      <c r="E29" s="202">
        <v>12</v>
      </c>
      <c r="F29" s="202">
        <v>15</v>
      </c>
      <c r="G29" s="202">
        <v>19</v>
      </c>
      <c r="H29" s="202">
        <v>21</v>
      </c>
      <c r="I29" s="202">
        <v>24</v>
      </c>
      <c r="J29" s="202">
        <v>25</v>
      </c>
      <c r="K29" s="202">
        <v>27</v>
      </c>
      <c r="L29" s="202">
        <v>27</v>
      </c>
      <c r="M29" s="163">
        <v>26</v>
      </c>
      <c r="N29" s="163">
        <v>26</v>
      </c>
      <c r="O29" s="202">
        <v>36</v>
      </c>
      <c r="P29" s="202">
        <v>39</v>
      </c>
      <c r="Q29" s="202">
        <v>29</v>
      </c>
      <c r="R29" s="202">
        <v>26.69</v>
      </c>
      <c r="S29" s="202">
        <v>28.86</v>
      </c>
      <c r="T29" s="202">
        <v>28.65</v>
      </c>
      <c r="U29" s="202">
        <v>29.564800000000002</v>
      </c>
      <c r="V29" s="202">
        <v>36.062799999999996</v>
      </c>
      <c r="W29" s="84"/>
      <c r="X29" s="562"/>
      <c r="Y29" s="562"/>
      <c r="Z29" s="562"/>
    </row>
    <row r="30" spans="1:26" ht="15" customHeight="1">
      <c r="A30" s="77"/>
      <c r="B30" s="21" t="s">
        <v>46</v>
      </c>
      <c r="C30" s="202">
        <v>52</v>
      </c>
      <c r="D30" s="202">
        <v>48</v>
      </c>
      <c r="E30" s="202">
        <v>54</v>
      </c>
      <c r="F30" s="202">
        <v>38</v>
      </c>
      <c r="G30" s="202">
        <v>39</v>
      </c>
      <c r="H30" s="202">
        <v>34</v>
      </c>
      <c r="I30" s="202">
        <v>26</v>
      </c>
      <c r="J30" s="202">
        <v>20</v>
      </c>
      <c r="K30" s="202">
        <v>17</v>
      </c>
      <c r="L30" s="202">
        <v>12</v>
      </c>
      <c r="M30" s="163">
        <v>9</v>
      </c>
      <c r="N30" s="163">
        <v>11</v>
      </c>
      <c r="O30" s="202">
        <v>28</v>
      </c>
      <c r="P30" s="202">
        <v>30</v>
      </c>
      <c r="Q30" s="202">
        <v>28</v>
      </c>
      <c r="R30" s="202">
        <v>27.96</v>
      </c>
      <c r="S30" s="202">
        <v>29</v>
      </c>
      <c r="T30" s="202">
        <v>29.79</v>
      </c>
      <c r="U30" s="202">
        <v>30.117150000000002</v>
      </c>
      <c r="V30" s="202">
        <v>31.089700000000001</v>
      </c>
      <c r="W30" s="84"/>
      <c r="X30" s="562"/>
      <c r="Y30" s="562"/>
      <c r="Z30" s="562"/>
    </row>
    <row r="31" spans="1:26" ht="15" customHeight="1" thickBot="1">
      <c r="A31" s="82"/>
      <c r="B31" s="434" t="s">
        <v>47</v>
      </c>
      <c r="C31" s="438">
        <v>41</v>
      </c>
      <c r="D31" s="438">
        <v>36</v>
      </c>
      <c r="E31" s="438">
        <v>38</v>
      </c>
      <c r="F31" s="438">
        <v>51</v>
      </c>
      <c r="G31" s="438">
        <v>54</v>
      </c>
      <c r="H31" s="438">
        <v>50</v>
      </c>
      <c r="I31" s="438">
        <v>54</v>
      </c>
      <c r="J31" s="438">
        <v>50</v>
      </c>
      <c r="K31" s="438">
        <v>49</v>
      </c>
      <c r="L31" s="438">
        <v>52</v>
      </c>
      <c r="M31" s="441">
        <v>42</v>
      </c>
      <c r="N31" s="441">
        <v>45</v>
      </c>
      <c r="O31" s="438">
        <v>46</v>
      </c>
      <c r="P31" s="438">
        <v>39</v>
      </c>
      <c r="Q31" s="438">
        <v>36</v>
      </c>
      <c r="R31" s="438">
        <v>32.74</v>
      </c>
      <c r="S31" s="438">
        <v>28.89</v>
      </c>
      <c r="T31" s="438">
        <v>28.21</v>
      </c>
      <c r="U31" s="438">
        <v>26.425558999999996</v>
      </c>
      <c r="V31" s="438">
        <v>25.750999999999998</v>
      </c>
      <c r="W31" s="84"/>
      <c r="X31" s="562"/>
      <c r="Y31" s="562"/>
      <c r="Z31" s="562"/>
    </row>
    <row r="32" spans="1:26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208"/>
      <c r="P32" s="208"/>
      <c r="Q32" s="208"/>
      <c r="R32" s="208"/>
      <c r="S32" s="208"/>
      <c r="T32" s="208"/>
      <c r="U32" s="208"/>
      <c r="V32" s="20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8"/>
      <c r="Q33" s="208"/>
      <c r="R33" s="208"/>
      <c r="S33" s="208"/>
      <c r="T33" s="208"/>
      <c r="U33" s="208"/>
      <c r="V33" s="208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8"/>
      <c r="Q34" s="208"/>
      <c r="R34" s="208"/>
      <c r="S34" s="208"/>
      <c r="T34" s="208"/>
      <c r="U34" s="208"/>
      <c r="V34" s="208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  <c r="P35" s="84"/>
      <c r="Q35" s="84"/>
      <c r="R35" s="84"/>
      <c r="S35" s="84"/>
      <c r="T35" s="84"/>
      <c r="U35" s="84"/>
      <c r="V35" s="84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  <c r="P36" s="84"/>
      <c r="Q36" s="84"/>
      <c r="R36" s="84"/>
      <c r="S36" s="84"/>
      <c r="T36" s="84"/>
      <c r="U36" s="84"/>
      <c r="V36" s="84"/>
    </row>
    <row r="37" spans="1:22" ht="13.25" customHeight="1">
      <c r="P37" s="84"/>
      <c r="Q37" s="84"/>
      <c r="R37" s="84"/>
      <c r="S37" s="84"/>
      <c r="T37" s="84"/>
      <c r="U37" s="84"/>
      <c r="V37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9">
    <tabColor theme="9" tint="0.59999389629810485"/>
  </sheetPr>
  <dimension ref="A2:Z36"/>
  <sheetViews>
    <sheetView showGridLines="0" zoomScaleNormal="100" workbookViewId="0">
      <selection activeCell="V6" sqref="V6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796875" style="76" customWidth="1"/>
    <col min="24" max="16384" width="7" style="76"/>
  </cols>
  <sheetData>
    <row r="2" spans="1:26" ht="15.75" customHeight="1">
      <c r="A2" s="210" t="s">
        <v>495</v>
      </c>
      <c r="B2" s="211"/>
    </row>
    <row r="3" spans="1:26" ht="13.25" customHeight="1">
      <c r="A3" s="212" t="s">
        <v>342</v>
      </c>
      <c r="B3" s="212"/>
    </row>
    <row r="4" spans="1:26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6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397</v>
      </c>
      <c r="V5" s="735" t="s">
        <v>485</v>
      </c>
    </row>
    <row r="6" spans="1:26" ht="18" customHeight="1">
      <c r="A6" s="1020" t="s">
        <v>100</v>
      </c>
      <c r="B6" s="1020"/>
      <c r="C6" s="631">
        <v>3.31</v>
      </c>
      <c r="D6" s="631">
        <v>3.32</v>
      </c>
      <c r="E6" s="631">
        <v>3.49</v>
      </c>
      <c r="F6" s="631">
        <v>3.9</v>
      </c>
      <c r="G6" s="631">
        <v>4.13</v>
      </c>
      <c r="H6" s="631">
        <v>4.46</v>
      </c>
      <c r="I6" s="631">
        <v>4.5199999999999996</v>
      </c>
      <c r="J6" s="631">
        <v>4.9000000000000004</v>
      </c>
      <c r="K6" s="631">
        <v>5.04</v>
      </c>
      <c r="L6" s="631">
        <v>5.73</v>
      </c>
      <c r="M6" s="631">
        <v>5.79</v>
      </c>
      <c r="N6" s="631">
        <v>5.91</v>
      </c>
      <c r="O6" s="631">
        <v>5.6</v>
      </c>
      <c r="P6" s="631">
        <v>5.56</v>
      </c>
      <c r="Q6" s="631">
        <v>5.6</v>
      </c>
      <c r="R6" s="631">
        <v>5.43</v>
      </c>
      <c r="S6" s="631">
        <v>5.58</v>
      </c>
      <c r="T6" s="631">
        <v>5.61</v>
      </c>
      <c r="U6" s="631">
        <v>5.6428020331145419</v>
      </c>
      <c r="V6" s="631">
        <v>5.6617201274754603</v>
      </c>
    </row>
    <row r="7" spans="1:26" ht="3" customHeight="1">
      <c r="A7" s="77"/>
      <c r="B7" s="78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</row>
    <row r="8" spans="1:26" ht="15" customHeight="1">
      <c r="A8" s="77"/>
      <c r="B8" s="21" t="s">
        <v>19</v>
      </c>
      <c r="C8" s="218">
        <v>4.01</v>
      </c>
      <c r="D8" s="218">
        <v>3.68</v>
      </c>
      <c r="E8" s="218">
        <v>3.73</v>
      </c>
      <c r="F8" s="218">
        <v>3.76</v>
      </c>
      <c r="G8" s="218">
        <v>3.85</v>
      </c>
      <c r="H8" s="218">
        <v>3.55</v>
      </c>
      <c r="I8" s="218">
        <v>4.01</v>
      </c>
      <c r="J8" s="218">
        <v>4.01</v>
      </c>
      <c r="K8" s="218">
        <v>4.54</v>
      </c>
      <c r="L8" s="218">
        <v>4.51</v>
      </c>
      <c r="M8" s="218">
        <v>5.62</v>
      </c>
      <c r="N8" s="218">
        <v>5.5</v>
      </c>
      <c r="O8" s="218">
        <v>5.49</v>
      </c>
      <c r="P8" s="218">
        <v>5.56</v>
      </c>
      <c r="Q8" s="218">
        <v>5.5</v>
      </c>
      <c r="R8" s="218">
        <v>5.45</v>
      </c>
      <c r="S8" s="218">
        <v>5.74</v>
      </c>
      <c r="T8" s="218">
        <v>5.75</v>
      </c>
      <c r="U8" s="218">
        <v>5.7420187896001753</v>
      </c>
      <c r="V8" s="218">
        <v>5.7688140884564723</v>
      </c>
      <c r="X8" s="152"/>
      <c r="Y8" s="152"/>
      <c r="Z8" s="152"/>
    </row>
    <row r="9" spans="1:26" ht="15" customHeight="1">
      <c r="A9" s="77"/>
      <c r="B9" s="21" t="s">
        <v>20</v>
      </c>
      <c r="C9" s="218">
        <v>2.99</v>
      </c>
      <c r="D9" s="218">
        <v>3.07</v>
      </c>
      <c r="E9" s="218">
        <v>3.32</v>
      </c>
      <c r="F9" s="218">
        <v>3.87</v>
      </c>
      <c r="G9" s="218">
        <v>4.0999999999999996</v>
      </c>
      <c r="H9" s="218">
        <v>4.2300000000000004</v>
      </c>
      <c r="I9" s="218">
        <v>4.1399999999999997</v>
      </c>
      <c r="J9" s="218">
        <v>4.18</v>
      </c>
      <c r="K9" s="218">
        <v>4.25</v>
      </c>
      <c r="L9" s="218">
        <v>4.45</v>
      </c>
      <c r="M9" s="218">
        <v>5.39</v>
      </c>
      <c r="N9" s="218">
        <v>5.8</v>
      </c>
      <c r="O9" s="218">
        <v>5.68</v>
      </c>
      <c r="P9" s="218">
        <v>5.62</v>
      </c>
      <c r="Q9" s="218">
        <v>5.61</v>
      </c>
      <c r="R9" s="218">
        <v>5.54</v>
      </c>
      <c r="S9" s="218">
        <v>5.86</v>
      </c>
      <c r="T9" s="218">
        <v>5.92</v>
      </c>
      <c r="U9" s="218">
        <v>5.964813748018984</v>
      </c>
      <c r="V9" s="218">
        <v>5.9950137952663098</v>
      </c>
      <c r="X9" s="152"/>
      <c r="Y9" s="152"/>
      <c r="Z9" s="152"/>
    </row>
    <row r="10" spans="1:26" ht="15" customHeight="1">
      <c r="A10" s="77"/>
      <c r="B10" s="21" t="s">
        <v>21</v>
      </c>
      <c r="C10" s="218">
        <v>3.44</v>
      </c>
      <c r="D10" s="218">
        <v>3.27</v>
      </c>
      <c r="E10" s="218">
        <v>3.64</v>
      </c>
      <c r="F10" s="218">
        <v>3.83</v>
      </c>
      <c r="G10" s="218">
        <v>4.21</v>
      </c>
      <c r="H10" s="218">
        <v>4.17</v>
      </c>
      <c r="I10" s="218">
        <v>4.1500000000000004</v>
      </c>
      <c r="J10" s="218">
        <v>4.3499999999999996</v>
      </c>
      <c r="K10" s="218">
        <v>4.46</v>
      </c>
      <c r="L10" s="218">
        <v>4.8600000000000003</v>
      </c>
      <c r="M10" s="218">
        <v>5.31</v>
      </c>
      <c r="N10" s="218">
        <v>5.81</v>
      </c>
      <c r="O10" s="218">
        <v>5.78</v>
      </c>
      <c r="P10" s="218">
        <v>5.73</v>
      </c>
      <c r="Q10" s="218">
        <v>5.77</v>
      </c>
      <c r="R10" s="218">
        <v>5.75</v>
      </c>
      <c r="S10" s="218">
        <v>5.95</v>
      </c>
      <c r="T10" s="218">
        <v>5.95</v>
      </c>
      <c r="U10" s="218">
        <v>5.9713845327818555</v>
      </c>
      <c r="V10" s="218">
        <v>6.0157758366792358</v>
      </c>
      <c r="X10" s="152"/>
      <c r="Y10" s="152"/>
      <c r="Z10" s="152"/>
    </row>
    <row r="11" spans="1:26" ht="15" customHeight="1">
      <c r="A11" s="77"/>
      <c r="B11" s="21" t="s">
        <v>22</v>
      </c>
      <c r="C11" s="218">
        <v>3.36</v>
      </c>
      <c r="D11" s="218">
        <v>3.43</v>
      </c>
      <c r="E11" s="218">
        <v>3.65</v>
      </c>
      <c r="F11" s="218">
        <v>3.9</v>
      </c>
      <c r="G11" s="218">
        <v>3.72</v>
      </c>
      <c r="H11" s="218">
        <v>3.24</v>
      </c>
      <c r="I11" s="218">
        <v>4</v>
      </c>
      <c r="J11" s="218">
        <v>4.62</v>
      </c>
      <c r="K11" s="218">
        <v>4.91</v>
      </c>
      <c r="L11" s="218">
        <v>4.91</v>
      </c>
      <c r="M11" s="218">
        <v>5.05</v>
      </c>
      <c r="N11" s="218">
        <v>5.3</v>
      </c>
      <c r="O11" s="218">
        <v>5.55</v>
      </c>
      <c r="P11" s="218">
        <v>5.68</v>
      </c>
      <c r="Q11" s="218">
        <v>5.75</v>
      </c>
      <c r="R11" s="218">
        <v>5.65</v>
      </c>
      <c r="S11" s="218">
        <v>5.97</v>
      </c>
      <c r="T11" s="218">
        <v>5.93</v>
      </c>
      <c r="U11" s="218">
        <v>5.9729732802163298</v>
      </c>
      <c r="V11" s="218">
        <v>6.0072723877495067</v>
      </c>
      <c r="X11" s="152"/>
      <c r="Y11" s="152"/>
      <c r="Z11" s="152"/>
    </row>
    <row r="12" spans="1:26" ht="15" customHeight="1">
      <c r="A12" s="77"/>
      <c r="B12" s="21" t="s">
        <v>23</v>
      </c>
      <c r="C12" s="218">
        <v>3.9</v>
      </c>
      <c r="D12" s="218">
        <v>3.63</v>
      </c>
      <c r="E12" s="218">
        <v>3.53</v>
      </c>
      <c r="F12" s="218">
        <v>3.87</v>
      </c>
      <c r="G12" s="218">
        <v>3.96</v>
      </c>
      <c r="H12" s="218">
        <v>3.94</v>
      </c>
      <c r="I12" s="218">
        <v>4.08</v>
      </c>
      <c r="J12" s="218">
        <v>4.59</v>
      </c>
      <c r="K12" s="218">
        <v>4.6399999999999997</v>
      </c>
      <c r="L12" s="218">
        <v>4.9000000000000004</v>
      </c>
      <c r="M12" s="218">
        <v>4.9400000000000004</v>
      </c>
      <c r="N12" s="218">
        <v>4.9400000000000004</v>
      </c>
      <c r="O12" s="218">
        <v>4.8499999999999996</v>
      </c>
      <c r="P12" s="218">
        <v>4.8</v>
      </c>
      <c r="Q12" s="218">
        <v>4.76</v>
      </c>
      <c r="R12" s="218">
        <v>4.71</v>
      </c>
      <c r="S12" s="218">
        <v>4.84</v>
      </c>
      <c r="T12" s="218">
        <v>4.84</v>
      </c>
      <c r="U12" s="218">
        <v>4.834822651274858</v>
      </c>
      <c r="V12" s="218">
        <v>4.8719215722068521</v>
      </c>
      <c r="X12" s="152"/>
      <c r="Y12" s="152"/>
      <c r="Z12" s="152"/>
    </row>
    <row r="13" spans="1:26" ht="15" customHeight="1">
      <c r="A13" s="77"/>
      <c r="B13" s="21" t="s">
        <v>27</v>
      </c>
      <c r="C13" s="218">
        <v>3.87</v>
      </c>
      <c r="D13" s="218">
        <v>3.81</v>
      </c>
      <c r="E13" s="218">
        <v>3.75</v>
      </c>
      <c r="F13" s="218">
        <v>3.67</v>
      </c>
      <c r="G13" s="218">
        <v>3.98</v>
      </c>
      <c r="H13" s="218">
        <v>4.0599999999999996</v>
      </c>
      <c r="I13" s="218">
        <v>4.5999999999999996</v>
      </c>
      <c r="J13" s="218">
        <v>4.4000000000000004</v>
      </c>
      <c r="K13" s="218">
        <v>4.3600000000000003</v>
      </c>
      <c r="L13" s="218">
        <v>6.42</v>
      </c>
      <c r="M13" s="218">
        <v>5.4</v>
      </c>
      <c r="N13" s="218">
        <v>5.49</v>
      </c>
      <c r="O13" s="218">
        <v>5.47</v>
      </c>
      <c r="P13" s="218">
        <v>5.33</v>
      </c>
      <c r="Q13" s="218">
        <v>5.24</v>
      </c>
      <c r="R13" s="218">
        <v>5.23</v>
      </c>
      <c r="S13" s="218">
        <v>5.41</v>
      </c>
      <c r="T13" s="218">
        <v>5.43</v>
      </c>
      <c r="U13" s="218">
        <v>5.4669310906160753</v>
      </c>
      <c r="V13" s="218">
        <v>5.4966024818743904</v>
      </c>
      <c r="X13" s="152"/>
      <c r="Y13" s="152"/>
      <c r="Z13" s="152"/>
    </row>
    <row r="14" spans="1:26" ht="15" customHeight="1">
      <c r="A14" s="77"/>
      <c r="B14" s="21" t="s">
        <v>28</v>
      </c>
      <c r="C14" s="218">
        <v>3.32</v>
      </c>
      <c r="D14" s="218">
        <v>3.75</v>
      </c>
      <c r="E14" s="218">
        <v>4.03</v>
      </c>
      <c r="F14" s="218">
        <v>4.32</v>
      </c>
      <c r="G14" s="218">
        <v>4.1399999999999997</v>
      </c>
      <c r="H14" s="218">
        <v>3.66</v>
      </c>
      <c r="I14" s="218">
        <v>3.78</v>
      </c>
      <c r="J14" s="218">
        <v>4.66</v>
      </c>
      <c r="K14" s="218">
        <v>4.97</v>
      </c>
      <c r="L14" s="218">
        <v>4.71</v>
      </c>
      <c r="M14" s="218">
        <v>4.8099999999999996</v>
      </c>
      <c r="N14" s="218">
        <v>4.9400000000000004</v>
      </c>
      <c r="O14" s="218">
        <v>4.78</v>
      </c>
      <c r="P14" s="218">
        <v>4.83</v>
      </c>
      <c r="Q14" s="218">
        <v>4.7699999999999996</v>
      </c>
      <c r="R14" s="218">
        <v>4.92</v>
      </c>
      <c r="S14" s="218">
        <v>4.82</v>
      </c>
      <c r="T14" s="218">
        <v>4.83</v>
      </c>
      <c r="U14" s="218">
        <v>4.8798375898611539</v>
      </c>
      <c r="V14" s="218">
        <v>4.9087425859569498</v>
      </c>
      <c r="X14" s="152"/>
      <c r="Y14" s="152"/>
      <c r="Z14" s="152"/>
    </row>
    <row r="15" spans="1:26" ht="15" customHeight="1">
      <c r="A15" s="77"/>
      <c r="B15" s="21" t="s">
        <v>29</v>
      </c>
      <c r="C15" s="218">
        <v>3.43</v>
      </c>
      <c r="D15" s="218">
        <v>3.49</v>
      </c>
      <c r="E15" s="218">
        <v>3.4</v>
      </c>
      <c r="F15" s="218">
        <v>4.1100000000000003</v>
      </c>
      <c r="G15" s="218">
        <v>4.41</v>
      </c>
      <c r="H15" s="218">
        <v>3.8</v>
      </c>
      <c r="I15" s="218">
        <v>4.7300000000000004</v>
      </c>
      <c r="J15" s="218">
        <v>3.99</v>
      </c>
      <c r="K15" s="218">
        <v>4.32</v>
      </c>
      <c r="L15" s="218">
        <v>4.34</v>
      </c>
      <c r="M15" s="218">
        <v>4.88</v>
      </c>
      <c r="N15" s="218">
        <v>5.53</v>
      </c>
      <c r="O15" s="218">
        <v>5.76</v>
      </c>
      <c r="P15" s="218">
        <v>5.7</v>
      </c>
      <c r="Q15" s="218">
        <v>5.69</v>
      </c>
      <c r="R15" s="218">
        <v>5.5</v>
      </c>
      <c r="S15" s="218">
        <v>5.9</v>
      </c>
      <c r="T15" s="218">
        <v>6.01</v>
      </c>
      <c r="U15" s="218">
        <v>6.145882466228846</v>
      </c>
      <c r="V15" s="218">
        <v>6.171741079987271</v>
      </c>
      <c r="X15" s="152"/>
      <c r="Y15" s="152"/>
      <c r="Z15" s="152"/>
    </row>
    <row r="16" spans="1:26" ht="15" customHeight="1">
      <c r="A16" s="77"/>
      <c r="B16" s="21" t="s">
        <v>30</v>
      </c>
      <c r="C16" s="218">
        <v>2.44</v>
      </c>
      <c r="D16" s="218">
        <v>2.56</v>
      </c>
      <c r="E16" s="218">
        <v>2.93</v>
      </c>
      <c r="F16" s="218">
        <v>3.36</v>
      </c>
      <c r="G16" s="218">
        <v>4</v>
      </c>
      <c r="H16" s="218">
        <v>4.2699999999999996</v>
      </c>
      <c r="I16" s="218">
        <v>4.46</v>
      </c>
      <c r="J16" s="218">
        <v>4.79</v>
      </c>
      <c r="K16" s="218">
        <v>5.42</v>
      </c>
      <c r="L16" s="218">
        <v>5.7</v>
      </c>
      <c r="M16" s="218">
        <v>5.43</v>
      </c>
      <c r="N16" s="218">
        <v>4.96</v>
      </c>
      <c r="O16" s="218">
        <v>5.27</v>
      </c>
      <c r="P16" s="218">
        <v>5.2</v>
      </c>
      <c r="Q16" s="218">
        <v>5.3</v>
      </c>
      <c r="R16" s="218">
        <v>5.3</v>
      </c>
      <c r="S16" s="218">
        <v>5.54</v>
      </c>
      <c r="T16" s="218">
        <v>5.59</v>
      </c>
      <c r="U16" s="218">
        <v>5.6016871191792115</v>
      </c>
      <c r="V16" s="218">
        <v>5.6393362879361764</v>
      </c>
      <c r="X16" s="152"/>
      <c r="Y16" s="152"/>
      <c r="Z16" s="152"/>
    </row>
    <row r="17" spans="1:26" ht="15" customHeight="1">
      <c r="A17" s="77"/>
      <c r="B17" s="21" t="s">
        <v>31</v>
      </c>
      <c r="C17" s="218">
        <v>3.47</v>
      </c>
      <c r="D17" s="218">
        <v>3.49</v>
      </c>
      <c r="E17" s="218">
        <v>3.53</v>
      </c>
      <c r="F17" s="218">
        <v>3.64</v>
      </c>
      <c r="G17" s="218">
        <v>4.71</v>
      </c>
      <c r="H17" s="218">
        <v>3.81</v>
      </c>
      <c r="I17" s="218">
        <v>4.66</v>
      </c>
      <c r="J17" s="218">
        <v>4.5999999999999996</v>
      </c>
      <c r="K17" s="218">
        <v>4.59</v>
      </c>
      <c r="L17" s="218">
        <v>4.71</v>
      </c>
      <c r="M17" s="218">
        <v>5.59</v>
      </c>
      <c r="N17" s="218">
        <v>5.5</v>
      </c>
      <c r="O17" s="218">
        <v>5.45</v>
      </c>
      <c r="P17" s="218">
        <v>5.55</v>
      </c>
      <c r="Q17" s="218">
        <v>5.54</v>
      </c>
      <c r="R17" s="218">
        <v>5.48</v>
      </c>
      <c r="S17" s="218">
        <v>5.48</v>
      </c>
      <c r="T17" s="218">
        <v>5.49</v>
      </c>
      <c r="U17" s="218">
        <v>5.5186151806921515</v>
      </c>
      <c r="V17" s="218">
        <v>5.550614461331925</v>
      </c>
      <c r="X17" s="152"/>
      <c r="Y17" s="152"/>
      <c r="Z17" s="152"/>
    </row>
    <row r="18" spans="1:26" ht="15" customHeight="1">
      <c r="A18" s="77"/>
      <c r="B18" s="21" t="s">
        <v>32</v>
      </c>
      <c r="C18" s="218">
        <v>2.87</v>
      </c>
      <c r="D18" s="218">
        <v>2.94</v>
      </c>
      <c r="E18" s="218">
        <v>3.41</v>
      </c>
      <c r="F18" s="218">
        <v>3.94</v>
      </c>
      <c r="G18" s="218">
        <v>3.97</v>
      </c>
      <c r="H18" s="218">
        <v>4.1399999999999997</v>
      </c>
      <c r="I18" s="218">
        <v>4.9400000000000004</v>
      </c>
      <c r="J18" s="218">
        <v>5.37</v>
      </c>
      <c r="K18" s="218">
        <v>4.46</v>
      </c>
      <c r="L18" s="218">
        <v>5.73</v>
      </c>
      <c r="M18" s="218">
        <v>6.09</v>
      </c>
      <c r="N18" s="218">
        <v>5.66</v>
      </c>
      <c r="O18" s="218">
        <v>5.48</v>
      </c>
      <c r="P18" s="218">
        <v>5.52</v>
      </c>
      <c r="Q18" s="218">
        <v>5.46</v>
      </c>
      <c r="R18" s="218">
        <v>5.39</v>
      </c>
      <c r="S18" s="218">
        <v>5.44</v>
      </c>
      <c r="T18" s="218">
        <v>5.43</v>
      </c>
      <c r="U18" s="218">
        <v>5.4309489199392198</v>
      </c>
      <c r="V18" s="218">
        <v>5.4569823250168055</v>
      </c>
      <c r="X18" s="152"/>
      <c r="Y18" s="152"/>
      <c r="Z18" s="152"/>
    </row>
    <row r="19" spans="1:26" ht="15" customHeight="1">
      <c r="A19" s="77"/>
      <c r="B19" s="21" t="s">
        <v>33</v>
      </c>
      <c r="C19" s="218">
        <v>3.52</v>
      </c>
      <c r="D19" s="218">
        <v>3.48</v>
      </c>
      <c r="E19" s="218">
        <v>3.43</v>
      </c>
      <c r="F19" s="218">
        <v>4.43</v>
      </c>
      <c r="G19" s="218">
        <v>4.1900000000000004</v>
      </c>
      <c r="H19" s="218">
        <v>4.8499999999999996</v>
      </c>
      <c r="I19" s="218">
        <v>5.0599999999999996</v>
      </c>
      <c r="J19" s="218">
        <v>5.84</v>
      </c>
      <c r="K19" s="218">
        <v>5.62</v>
      </c>
      <c r="L19" s="218">
        <v>5.88</v>
      </c>
      <c r="M19" s="218">
        <v>6.3</v>
      </c>
      <c r="N19" s="218">
        <v>6.53</v>
      </c>
      <c r="O19" s="218">
        <v>6.47</v>
      </c>
      <c r="P19" s="218">
        <v>6.21</v>
      </c>
      <c r="Q19" s="218">
        <v>6.07</v>
      </c>
      <c r="R19" s="218">
        <v>5.95</v>
      </c>
      <c r="S19" s="218">
        <v>5.97</v>
      </c>
      <c r="T19" s="218">
        <v>5.95</v>
      </c>
      <c r="U19" s="218">
        <v>5.9626272337890303</v>
      </c>
      <c r="V19" s="218">
        <v>5.8003505121465366</v>
      </c>
      <c r="X19" s="152"/>
      <c r="Y19" s="152"/>
      <c r="Z19" s="152"/>
    </row>
    <row r="20" spans="1:26" ht="15" customHeight="1">
      <c r="A20" s="77"/>
      <c r="B20" s="21" t="s">
        <v>34</v>
      </c>
      <c r="C20" s="218">
        <v>3.91</v>
      </c>
      <c r="D20" s="218">
        <v>3.39</v>
      </c>
      <c r="E20" s="218">
        <v>3.55</v>
      </c>
      <c r="F20" s="218">
        <v>3.9</v>
      </c>
      <c r="G20" s="218">
        <v>3.99</v>
      </c>
      <c r="H20" s="218">
        <v>3.9</v>
      </c>
      <c r="I20" s="218">
        <v>4.22</v>
      </c>
      <c r="J20" s="218">
        <v>5.05</v>
      </c>
      <c r="K20" s="218">
        <v>4.71</v>
      </c>
      <c r="L20" s="218">
        <v>5.2</v>
      </c>
      <c r="M20" s="218">
        <v>5.67</v>
      </c>
      <c r="N20" s="218">
        <v>5.64</v>
      </c>
      <c r="O20" s="218">
        <v>5.44</v>
      </c>
      <c r="P20" s="218">
        <v>5.26</v>
      </c>
      <c r="Q20" s="218">
        <v>5.0199999999999996</v>
      </c>
      <c r="R20" s="218">
        <v>5.01</v>
      </c>
      <c r="S20" s="218">
        <v>5.28</v>
      </c>
      <c r="T20" s="218">
        <v>5.25</v>
      </c>
      <c r="U20" s="218">
        <v>5.2390499613455255</v>
      </c>
      <c r="V20" s="218">
        <v>5.2593164800311536</v>
      </c>
      <c r="X20" s="152"/>
      <c r="Y20" s="152"/>
      <c r="Z20" s="152"/>
    </row>
    <row r="21" spans="1:26" ht="15" customHeight="1">
      <c r="A21" s="77"/>
      <c r="B21" s="21" t="s">
        <v>35</v>
      </c>
      <c r="C21" s="218">
        <v>3.56</v>
      </c>
      <c r="D21" s="218">
        <v>3.48</v>
      </c>
      <c r="E21" s="218">
        <v>3.37</v>
      </c>
      <c r="F21" s="218">
        <v>3.98</v>
      </c>
      <c r="G21" s="218">
        <v>4.45</v>
      </c>
      <c r="H21" s="218">
        <v>4.8499999999999996</v>
      </c>
      <c r="I21" s="218">
        <v>4.75</v>
      </c>
      <c r="J21" s="218">
        <v>4.8</v>
      </c>
      <c r="K21" s="218">
        <v>5.12</v>
      </c>
      <c r="L21" s="218">
        <v>4.95</v>
      </c>
      <c r="M21" s="218">
        <v>5.34</v>
      </c>
      <c r="N21" s="218">
        <v>5.65</v>
      </c>
      <c r="O21" s="218">
        <v>5.5</v>
      </c>
      <c r="P21" s="218">
        <v>5.56</v>
      </c>
      <c r="Q21" s="218">
        <v>5.45</v>
      </c>
      <c r="R21" s="218">
        <v>5.28</v>
      </c>
      <c r="S21" s="218">
        <v>5.5</v>
      </c>
      <c r="T21" s="218">
        <v>5.56</v>
      </c>
      <c r="U21" s="218">
        <v>5.6094941735932959</v>
      </c>
      <c r="V21" s="218">
        <v>5.6852182226539796</v>
      </c>
      <c r="X21" s="152"/>
      <c r="Y21" s="152"/>
      <c r="Z21" s="152"/>
    </row>
    <row r="22" spans="1:26" ht="15" customHeight="1">
      <c r="A22" s="77"/>
      <c r="B22" s="21" t="s">
        <v>36</v>
      </c>
      <c r="C22" s="218">
        <v>3.53</v>
      </c>
      <c r="D22" s="218">
        <v>3.52</v>
      </c>
      <c r="E22" s="218">
        <v>3.49</v>
      </c>
      <c r="F22" s="218">
        <v>3.71</v>
      </c>
      <c r="G22" s="218">
        <v>4.21</v>
      </c>
      <c r="H22" s="218">
        <v>3.61</v>
      </c>
      <c r="I22" s="218">
        <v>4.12</v>
      </c>
      <c r="J22" s="218">
        <v>4.4800000000000004</v>
      </c>
      <c r="K22" s="218">
        <v>4.58</v>
      </c>
      <c r="L22" s="218">
        <v>4.6500000000000004</v>
      </c>
      <c r="M22" s="218">
        <v>5.08</v>
      </c>
      <c r="N22" s="218">
        <v>5.22</v>
      </c>
      <c r="O22" s="218">
        <v>5.01</v>
      </c>
      <c r="P22" s="218">
        <v>5.04</v>
      </c>
      <c r="Q22" s="218">
        <v>5.0199999999999996</v>
      </c>
      <c r="R22" s="218">
        <v>4.9000000000000004</v>
      </c>
      <c r="S22" s="218">
        <v>5.18</v>
      </c>
      <c r="T22" s="218">
        <v>5.25</v>
      </c>
      <c r="U22" s="218">
        <v>5.2636137782408596</v>
      </c>
      <c r="V22" s="218">
        <v>5.304522633877264</v>
      </c>
      <c r="X22" s="152"/>
      <c r="Y22" s="152"/>
      <c r="Z22" s="152"/>
    </row>
    <row r="23" spans="1:26" ht="15" customHeight="1">
      <c r="A23" s="77"/>
      <c r="B23" s="21" t="s">
        <v>37</v>
      </c>
      <c r="C23" s="218">
        <v>3.93</v>
      </c>
      <c r="D23" s="218">
        <v>3.62</v>
      </c>
      <c r="E23" s="218">
        <v>3.63</v>
      </c>
      <c r="F23" s="218">
        <v>3.73</v>
      </c>
      <c r="G23" s="218">
        <v>3.19</v>
      </c>
      <c r="H23" s="218">
        <v>3.25</v>
      </c>
      <c r="I23" s="218">
        <v>4.21</v>
      </c>
      <c r="J23" s="218">
        <v>4.62</v>
      </c>
      <c r="K23" s="218">
        <v>4.71</v>
      </c>
      <c r="L23" s="218">
        <v>4.8099999999999996</v>
      </c>
      <c r="M23" s="218">
        <v>4.84</v>
      </c>
      <c r="N23" s="218">
        <v>5.4</v>
      </c>
      <c r="O23" s="218">
        <v>5.03</v>
      </c>
      <c r="P23" s="218">
        <v>5.12</v>
      </c>
      <c r="Q23" s="218">
        <v>5.15</v>
      </c>
      <c r="R23" s="218">
        <v>5.09</v>
      </c>
      <c r="S23" s="218">
        <v>5.24</v>
      </c>
      <c r="T23" s="218">
        <v>5.32</v>
      </c>
      <c r="U23" s="218">
        <v>5.3555512130788046</v>
      </c>
      <c r="V23" s="218">
        <v>5.4121183945444962</v>
      </c>
      <c r="X23" s="152"/>
      <c r="Y23" s="152"/>
      <c r="Z23" s="152"/>
    </row>
    <row r="24" spans="1:26" ht="15" customHeight="1">
      <c r="A24" s="77"/>
      <c r="B24" s="21" t="s">
        <v>38</v>
      </c>
      <c r="C24" s="218">
        <v>3.55</v>
      </c>
      <c r="D24" s="218">
        <v>3.52</v>
      </c>
      <c r="E24" s="218">
        <v>3.54</v>
      </c>
      <c r="F24" s="218">
        <v>3.47</v>
      </c>
      <c r="G24" s="218">
        <v>3.71</v>
      </c>
      <c r="H24" s="218">
        <v>4.0199999999999996</v>
      </c>
      <c r="I24" s="218">
        <v>4.75</v>
      </c>
      <c r="J24" s="218">
        <v>4.74</v>
      </c>
      <c r="K24" s="218">
        <v>4.68</v>
      </c>
      <c r="L24" s="218">
        <v>4.66</v>
      </c>
      <c r="M24" s="218">
        <v>4.82</v>
      </c>
      <c r="N24" s="218">
        <v>4.84</v>
      </c>
      <c r="O24" s="218">
        <v>5.09</v>
      </c>
      <c r="P24" s="218">
        <v>5.1100000000000003</v>
      </c>
      <c r="Q24" s="218">
        <v>5.12</v>
      </c>
      <c r="R24" s="218">
        <v>5.08</v>
      </c>
      <c r="S24" s="218">
        <v>5.2</v>
      </c>
      <c r="T24" s="218">
        <v>5.45</v>
      </c>
      <c r="U24" s="218">
        <v>5.4305112692812703</v>
      </c>
      <c r="V24" s="218">
        <v>5.4694607401672606</v>
      </c>
      <c r="X24" s="152"/>
      <c r="Y24" s="152"/>
      <c r="Z24" s="152"/>
    </row>
    <row r="25" spans="1:26" ht="15" customHeight="1">
      <c r="A25" s="77"/>
      <c r="B25" s="21" t="s">
        <v>39</v>
      </c>
      <c r="C25" s="218">
        <v>3.38</v>
      </c>
      <c r="D25" s="218">
        <v>3.56</v>
      </c>
      <c r="E25" s="218">
        <v>3.41</v>
      </c>
      <c r="F25" s="218">
        <v>3.54</v>
      </c>
      <c r="G25" s="218">
        <v>3.38</v>
      </c>
      <c r="H25" s="218">
        <v>4.47</v>
      </c>
      <c r="I25" s="218">
        <v>4.9800000000000004</v>
      </c>
      <c r="J25" s="218">
        <v>4.84</v>
      </c>
      <c r="K25" s="218">
        <v>4.9800000000000004</v>
      </c>
      <c r="L25" s="218">
        <v>5.22</v>
      </c>
      <c r="M25" s="218">
        <v>5.29</v>
      </c>
      <c r="N25" s="218">
        <v>5.19</v>
      </c>
      <c r="O25" s="218">
        <v>5.16</v>
      </c>
      <c r="P25" s="218">
        <v>5.17</v>
      </c>
      <c r="Q25" s="218">
        <v>5.08</v>
      </c>
      <c r="R25" s="218">
        <v>5</v>
      </c>
      <c r="S25" s="218">
        <v>4.8499999999999996</v>
      </c>
      <c r="T25" s="218">
        <v>4.83</v>
      </c>
      <c r="U25" s="218">
        <v>4.9096700578946297</v>
      </c>
      <c r="V25" s="218">
        <v>4.9519177562198413</v>
      </c>
      <c r="X25" s="152"/>
      <c r="Y25" s="152"/>
      <c r="Z25" s="152"/>
    </row>
    <row r="26" spans="1:26" ht="15" customHeight="1">
      <c r="A26" s="77"/>
      <c r="B26" s="21" t="s">
        <v>42</v>
      </c>
      <c r="C26" s="218">
        <v>3.84</v>
      </c>
      <c r="D26" s="218">
        <v>3.69</v>
      </c>
      <c r="E26" s="218">
        <v>3.63</v>
      </c>
      <c r="F26" s="218">
        <v>3.82</v>
      </c>
      <c r="G26" s="218">
        <v>4.07</v>
      </c>
      <c r="H26" s="218">
        <v>4.2699999999999996</v>
      </c>
      <c r="I26" s="218">
        <v>4.6399999999999997</v>
      </c>
      <c r="J26" s="218">
        <v>5.04</v>
      </c>
      <c r="K26" s="218">
        <v>5.31</v>
      </c>
      <c r="L26" s="218">
        <v>5.69</v>
      </c>
      <c r="M26" s="218">
        <v>6</v>
      </c>
      <c r="N26" s="218">
        <v>6.2</v>
      </c>
      <c r="O26" s="218">
        <v>6.23</v>
      </c>
      <c r="P26" s="218">
        <v>6.06</v>
      </c>
      <c r="Q26" s="218">
        <v>6.11</v>
      </c>
      <c r="R26" s="218">
        <v>5.16</v>
      </c>
      <c r="S26" s="218">
        <v>5.51</v>
      </c>
      <c r="T26" s="218">
        <v>5.57</v>
      </c>
      <c r="U26" s="218">
        <v>5.5938456097622469</v>
      </c>
      <c r="V26" s="218">
        <v>5.6549289453759863</v>
      </c>
      <c r="X26" s="152"/>
      <c r="Y26" s="152"/>
      <c r="Z26" s="152"/>
    </row>
    <row r="27" spans="1:26" ht="15" customHeight="1">
      <c r="A27" s="77"/>
      <c r="B27" s="21" t="s">
        <v>43</v>
      </c>
      <c r="C27" s="218">
        <v>2.83</v>
      </c>
      <c r="D27" s="218">
        <v>2.95</v>
      </c>
      <c r="E27" s="218">
        <v>3.39</v>
      </c>
      <c r="F27" s="218">
        <v>3.91</v>
      </c>
      <c r="G27" s="218">
        <v>4.3099999999999996</v>
      </c>
      <c r="H27" s="218">
        <v>5.29</v>
      </c>
      <c r="I27" s="218">
        <v>4.4800000000000004</v>
      </c>
      <c r="J27" s="218">
        <v>4.99</v>
      </c>
      <c r="K27" s="218">
        <v>5.45</v>
      </c>
      <c r="L27" s="218">
        <v>7.14</v>
      </c>
      <c r="M27" s="218">
        <v>6.52</v>
      </c>
      <c r="N27" s="218">
        <v>6.68</v>
      </c>
      <c r="O27" s="218">
        <v>5.52</v>
      </c>
      <c r="P27" s="218">
        <v>5.45</v>
      </c>
      <c r="Q27" s="218">
        <v>5.75</v>
      </c>
      <c r="R27" s="218">
        <v>5.64</v>
      </c>
      <c r="S27" s="218">
        <v>5.75</v>
      </c>
      <c r="T27" s="218">
        <v>5.73</v>
      </c>
      <c r="U27" s="218">
        <v>5.7685645574929936</v>
      </c>
      <c r="V27" s="218">
        <v>5.796486296807533</v>
      </c>
      <c r="X27" s="152"/>
      <c r="Y27" s="152"/>
      <c r="Z27" s="152"/>
    </row>
    <row r="28" spans="1:26" ht="15" customHeight="1">
      <c r="A28" s="77"/>
      <c r="B28" s="76" t="s">
        <v>44</v>
      </c>
      <c r="C28" s="218">
        <v>2.2999999999999998</v>
      </c>
      <c r="D28" s="218">
        <v>2.2799999999999998</v>
      </c>
      <c r="E28" s="218">
        <v>2.57</v>
      </c>
      <c r="F28" s="218">
        <v>3.56</v>
      </c>
      <c r="G28" s="218">
        <v>4.04</v>
      </c>
      <c r="H28" s="218">
        <v>4.6100000000000003</v>
      </c>
      <c r="I28" s="218">
        <v>5.31</v>
      </c>
      <c r="J28" s="218">
        <v>5.57</v>
      </c>
      <c r="K28" s="218">
        <v>5.61</v>
      </c>
      <c r="L28" s="218">
        <v>5.54</v>
      </c>
      <c r="M28" s="218">
        <v>5.83</v>
      </c>
      <c r="N28" s="218">
        <v>5.96</v>
      </c>
      <c r="O28" s="218">
        <v>5.59</v>
      </c>
      <c r="P28" s="218">
        <v>5.47</v>
      </c>
      <c r="Q28" s="218">
        <v>5.43</v>
      </c>
      <c r="R28" s="218">
        <v>5.38</v>
      </c>
      <c r="S28" s="218">
        <v>5.4</v>
      </c>
      <c r="T28" s="218">
        <v>5.36</v>
      </c>
      <c r="U28" s="218">
        <v>5.3497992240368859</v>
      </c>
      <c r="V28" s="218">
        <v>5.3938329605462449</v>
      </c>
      <c r="X28" s="152"/>
      <c r="Y28" s="152"/>
      <c r="Z28" s="152"/>
    </row>
    <row r="29" spans="1:26" ht="15" customHeight="1">
      <c r="A29" s="77"/>
      <c r="B29" s="21" t="s">
        <v>45</v>
      </c>
      <c r="C29" s="218">
        <v>2.97</v>
      </c>
      <c r="D29" s="218">
        <v>3.18</v>
      </c>
      <c r="E29" s="218">
        <v>3.32</v>
      </c>
      <c r="F29" s="218">
        <v>4.08</v>
      </c>
      <c r="G29" s="218">
        <v>4.03</v>
      </c>
      <c r="H29" s="218">
        <v>4.03</v>
      </c>
      <c r="I29" s="218">
        <v>4.2</v>
      </c>
      <c r="J29" s="218">
        <v>4.96</v>
      </c>
      <c r="K29" s="218">
        <v>5.13</v>
      </c>
      <c r="L29" s="218">
        <v>6.23</v>
      </c>
      <c r="M29" s="218">
        <v>4.16</v>
      </c>
      <c r="N29" s="218">
        <v>4.07</v>
      </c>
      <c r="O29" s="218">
        <v>4.37</v>
      </c>
      <c r="P29" s="218">
        <v>4.67</v>
      </c>
      <c r="Q29" s="218">
        <v>4.6500000000000004</v>
      </c>
      <c r="R29" s="218">
        <v>4.55</v>
      </c>
      <c r="S29" s="218">
        <v>4.87</v>
      </c>
      <c r="T29" s="218">
        <v>4.6399999999999997</v>
      </c>
      <c r="U29" s="218">
        <v>4.6842472940794453</v>
      </c>
      <c r="V29" s="218">
        <v>4.7244836174673077</v>
      </c>
      <c r="X29" s="152"/>
      <c r="Y29" s="152"/>
      <c r="Z29" s="152"/>
    </row>
    <row r="30" spans="1:26" ht="15" customHeight="1">
      <c r="A30" s="77"/>
      <c r="B30" s="21" t="s">
        <v>46</v>
      </c>
      <c r="C30" s="218">
        <v>3.24</v>
      </c>
      <c r="D30" s="218">
        <v>3.24</v>
      </c>
      <c r="E30" s="218">
        <v>3.69</v>
      </c>
      <c r="F30" s="218">
        <v>3.93</v>
      </c>
      <c r="G30" s="218">
        <v>4.3899999999999997</v>
      </c>
      <c r="H30" s="218">
        <v>4.74</v>
      </c>
      <c r="I30" s="218">
        <v>5.1100000000000003</v>
      </c>
      <c r="J30" s="218">
        <v>5.51</v>
      </c>
      <c r="K30" s="218">
        <v>5.65</v>
      </c>
      <c r="L30" s="218">
        <v>5.68</v>
      </c>
      <c r="M30" s="218">
        <v>5.47</v>
      </c>
      <c r="N30" s="218">
        <v>5.12</v>
      </c>
      <c r="O30" s="218">
        <v>4.92</v>
      </c>
      <c r="P30" s="218">
        <v>4.9000000000000004</v>
      </c>
      <c r="Q30" s="218">
        <v>4.8499999999999996</v>
      </c>
      <c r="R30" s="218">
        <v>4.8099999999999996</v>
      </c>
      <c r="S30" s="218">
        <v>4.8899999999999997</v>
      </c>
      <c r="T30" s="218">
        <v>4.8600000000000003</v>
      </c>
      <c r="U30" s="218">
        <v>4.8701350194158479</v>
      </c>
      <c r="V30" s="218">
        <v>4.9324510883025567</v>
      </c>
      <c r="X30" s="152"/>
      <c r="Y30" s="152"/>
      <c r="Z30" s="152"/>
    </row>
    <row r="31" spans="1:26" ht="15" customHeight="1" thickBot="1">
      <c r="A31" s="82"/>
      <c r="B31" s="434" t="s">
        <v>47</v>
      </c>
      <c r="C31" s="433">
        <v>4.0199999999999996</v>
      </c>
      <c r="D31" s="433">
        <v>3.91</v>
      </c>
      <c r="E31" s="433">
        <v>3.84</v>
      </c>
      <c r="F31" s="433">
        <v>3.87</v>
      </c>
      <c r="G31" s="433">
        <v>4.04</v>
      </c>
      <c r="H31" s="433">
        <v>4.2</v>
      </c>
      <c r="I31" s="433">
        <v>5.03</v>
      </c>
      <c r="J31" s="433">
        <v>5.14</v>
      </c>
      <c r="K31" s="433">
        <v>4.91</v>
      </c>
      <c r="L31" s="433">
        <v>5.42</v>
      </c>
      <c r="M31" s="433">
        <v>4.9000000000000004</v>
      </c>
      <c r="N31" s="433">
        <v>5.03</v>
      </c>
      <c r="O31" s="433">
        <v>5.47</v>
      </c>
      <c r="P31" s="433">
        <v>5.22</v>
      </c>
      <c r="Q31" s="433">
        <v>5.15</v>
      </c>
      <c r="R31" s="433">
        <v>5.15</v>
      </c>
      <c r="S31" s="433">
        <v>5.13</v>
      </c>
      <c r="T31" s="433">
        <v>5.1100000000000003</v>
      </c>
      <c r="U31" s="433">
        <v>5.1133903979098418</v>
      </c>
      <c r="V31" s="433">
        <v>5.1244321773911699</v>
      </c>
      <c r="X31" s="152"/>
      <c r="Y31" s="152"/>
      <c r="Z31" s="152"/>
    </row>
    <row r="32" spans="1:26" ht="11" customHeight="1">
      <c r="A32" s="529" t="s">
        <v>330</v>
      </c>
      <c r="B32" s="527"/>
      <c r="C32" s="528"/>
      <c r="D32" s="528"/>
      <c r="E32" s="528"/>
      <c r="F32" s="528"/>
      <c r="G32" s="528"/>
      <c r="H32" s="836" t="s">
        <v>346</v>
      </c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6"/>
      <c r="Q33" s="206"/>
      <c r="R33" s="206"/>
      <c r="S33" s="206"/>
      <c r="T33" s="206"/>
      <c r="U33" s="206"/>
      <c r="V33" s="206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30">
    <tabColor theme="9" tint="0.59999389629810485"/>
  </sheetPr>
  <dimension ref="A2:V36"/>
  <sheetViews>
    <sheetView showGridLines="0" zoomScaleNormal="100" workbookViewId="0">
      <selection activeCell="V1" sqref="V1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7.19921875" style="76" customWidth="1"/>
    <col min="23" max="23" width="7.796875" style="76" customWidth="1"/>
    <col min="24" max="16384" width="7" style="76"/>
  </cols>
  <sheetData>
    <row r="2" spans="1:22" ht="15" customHeight="1">
      <c r="A2" s="210" t="s">
        <v>496</v>
      </c>
      <c r="B2" s="211"/>
    </row>
    <row r="3" spans="1:22" ht="13.25" customHeight="1">
      <c r="A3" s="212" t="s">
        <v>211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2" ht="18" customHeight="1">
      <c r="A6" s="1020" t="s">
        <v>93</v>
      </c>
      <c r="B6" s="1020"/>
      <c r="C6" s="629">
        <f t="shared" ref="C6:N6" si="0">(C8+C9+C10+C11+C12+C13+C14+C15+C16+C17+C18+C19+C20+C21+C22+C23+C24+C25+C26+C27+C28+C29+C30+C31)</f>
        <v>6333240</v>
      </c>
      <c r="D6" s="629">
        <f t="shared" si="0"/>
        <v>6054839</v>
      </c>
      <c r="E6" s="630">
        <f t="shared" si="0"/>
        <v>6468169</v>
      </c>
      <c r="F6" s="630">
        <f t="shared" si="0"/>
        <v>5869896</v>
      </c>
      <c r="G6" s="630">
        <f t="shared" si="0"/>
        <v>6035367</v>
      </c>
      <c r="H6" s="630">
        <f t="shared" si="0"/>
        <v>6004149</v>
      </c>
      <c r="I6" s="630">
        <f t="shared" si="0"/>
        <v>5985893</v>
      </c>
      <c r="J6" s="630">
        <f t="shared" si="0"/>
        <v>6618656</v>
      </c>
      <c r="K6" s="630">
        <f t="shared" si="0"/>
        <v>6104259</v>
      </c>
      <c r="L6" s="630">
        <f t="shared" si="0"/>
        <v>5741017</v>
      </c>
      <c r="M6" s="630">
        <f t="shared" si="0"/>
        <v>5162592</v>
      </c>
      <c r="N6" s="630">
        <f t="shared" si="0"/>
        <v>5575611</v>
      </c>
      <c r="O6" s="630">
        <f t="shared" ref="O6:V6" si="1">(O8+O9+O10+O11+O12+O13+O14+O15+O16+O17+O18+O19+O20+O21+O22+O23+O24+O25+O26+O27+O28+O29+O30+O31)</f>
        <v>4574331</v>
      </c>
      <c r="P6" s="630">
        <f t="shared" si="1"/>
        <v>4559586</v>
      </c>
      <c r="Q6" s="630">
        <f t="shared" si="1"/>
        <v>4304515</v>
      </c>
      <c r="R6" s="630">
        <f t="shared" si="1"/>
        <v>4099800</v>
      </c>
      <c r="S6" s="630">
        <f t="shared" si="1"/>
        <v>4237002</v>
      </c>
      <c r="T6" s="630">
        <f t="shared" ref="T6:U6" si="2">(T8+T9+T10+T11+T12+T13+T14+T15+T16+T17+T18+T19+T20+T21+T22+T23+T24+T25+T26+T27+T28+T29+T30+T31)</f>
        <v>4296343</v>
      </c>
      <c r="U6" s="630">
        <f t="shared" si="2"/>
        <v>4240780</v>
      </c>
      <c r="V6" s="630">
        <f t="shared" si="1"/>
        <v>4238563</v>
      </c>
    </row>
    <row r="7" spans="1:22" ht="3" customHeight="1">
      <c r="A7" s="77"/>
      <c r="B7" s="78"/>
      <c r="C7" s="203"/>
      <c r="D7" s="203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</row>
    <row r="8" spans="1:22" ht="15" customHeight="1">
      <c r="A8" s="77"/>
      <c r="B8" s="21" t="s">
        <v>19</v>
      </c>
      <c r="C8" s="202">
        <v>0</v>
      </c>
      <c r="D8" s="202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473">
        <v>0</v>
      </c>
      <c r="N8" s="473">
        <v>0</v>
      </c>
      <c r="O8" s="473">
        <v>0</v>
      </c>
      <c r="P8" s="473">
        <v>0</v>
      </c>
      <c r="Q8" s="473">
        <v>0</v>
      </c>
      <c r="R8" s="473">
        <v>0</v>
      </c>
      <c r="S8" s="473">
        <v>0</v>
      </c>
      <c r="T8" s="473">
        <v>0</v>
      </c>
      <c r="U8" s="473">
        <v>0</v>
      </c>
      <c r="V8" s="473">
        <v>0</v>
      </c>
    </row>
    <row r="9" spans="1:22" ht="15" customHeight="1">
      <c r="A9" s="77"/>
      <c r="B9" s="21" t="s">
        <v>20</v>
      </c>
      <c r="C9" s="202">
        <v>0</v>
      </c>
      <c r="D9" s="202">
        <v>0</v>
      </c>
      <c r="E9" s="87">
        <v>0</v>
      </c>
      <c r="F9" s="87">
        <v>0</v>
      </c>
      <c r="G9" s="87">
        <v>0</v>
      </c>
      <c r="H9" s="87">
        <v>107736</v>
      </c>
      <c r="I9" s="87">
        <v>97404</v>
      </c>
      <c r="J9" s="87">
        <v>53488</v>
      </c>
      <c r="K9" s="87">
        <v>29541</v>
      </c>
      <c r="L9" s="87">
        <v>29537</v>
      </c>
      <c r="M9" s="473">
        <v>40324</v>
      </c>
      <c r="N9" s="473">
        <v>40651</v>
      </c>
      <c r="O9" s="473">
        <v>33100</v>
      </c>
      <c r="P9" s="473">
        <v>17665</v>
      </c>
      <c r="Q9" s="473">
        <v>18515</v>
      </c>
      <c r="R9" s="473">
        <v>23964</v>
      </c>
      <c r="S9" s="473">
        <v>23982</v>
      </c>
      <c r="T9" s="473">
        <v>23737</v>
      </c>
      <c r="U9" s="473">
        <v>23198</v>
      </c>
      <c r="V9" s="473">
        <v>22044</v>
      </c>
    </row>
    <row r="10" spans="1:22" ht="15" customHeight="1">
      <c r="A10" s="77"/>
      <c r="B10" s="21" t="s">
        <v>21</v>
      </c>
      <c r="C10" s="202">
        <v>0</v>
      </c>
      <c r="D10" s="202">
        <v>0</v>
      </c>
      <c r="E10" s="87">
        <v>0</v>
      </c>
      <c r="F10" s="87">
        <v>0</v>
      </c>
      <c r="G10" s="87">
        <v>0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  <c r="P10" s="87">
        <v>0</v>
      </c>
      <c r="Q10" s="87">
        <v>0</v>
      </c>
      <c r="R10" s="87">
        <v>0</v>
      </c>
      <c r="S10" s="87">
        <v>0</v>
      </c>
      <c r="T10" s="87">
        <v>0</v>
      </c>
      <c r="U10" s="87">
        <v>0</v>
      </c>
      <c r="V10" s="87">
        <v>0</v>
      </c>
    </row>
    <row r="11" spans="1:22" ht="15" customHeight="1">
      <c r="A11" s="77"/>
      <c r="B11" s="21" t="s">
        <v>22</v>
      </c>
      <c r="C11" s="202">
        <v>281748</v>
      </c>
      <c r="D11" s="202">
        <v>286802</v>
      </c>
      <c r="E11" s="87">
        <v>279649</v>
      </c>
      <c r="F11" s="87">
        <v>283207</v>
      </c>
      <c r="G11" s="87">
        <v>283873</v>
      </c>
      <c r="H11" s="87">
        <v>289844</v>
      </c>
      <c r="I11" s="87">
        <v>290743</v>
      </c>
      <c r="J11" s="87">
        <v>292769</v>
      </c>
      <c r="K11" s="87">
        <v>291404</v>
      </c>
      <c r="L11" s="87">
        <v>291951</v>
      </c>
      <c r="M11" s="473">
        <v>260787</v>
      </c>
      <c r="N11" s="473">
        <v>245858</v>
      </c>
      <c r="O11" s="473">
        <v>245396</v>
      </c>
      <c r="P11" s="473">
        <v>247738</v>
      </c>
      <c r="Q11" s="473">
        <v>249612</v>
      </c>
      <c r="R11" s="473">
        <v>252084</v>
      </c>
      <c r="S11" s="473">
        <v>254269</v>
      </c>
      <c r="T11" s="473">
        <v>260004</v>
      </c>
      <c r="U11" s="473">
        <v>263458</v>
      </c>
      <c r="V11" s="473">
        <v>266815</v>
      </c>
    </row>
    <row r="12" spans="1:22" ht="15" customHeight="1">
      <c r="A12" s="77"/>
      <c r="B12" s="21" t="s">
        <v>23</v>
      </c>
      <c r="C12" s="202">
        <v>215929</v>
      </c>
      <c r="D12" s="202">
        <v>210011</v>
      </c>
      <c r="E12" s="87">
        <v>211100</v>
      </c>
      <c r="F12" s="87">
        <v>177507</v>
      </c>
      <c r="G12" s="87">
        <v>130630</v>
      </c>
      <c r="H12" s="87">
        <v>96513</v>
      </c>
      <c r="I12" s="87">
        <v>119101</v>
      </c>
      <c r="J12" s="87">
        <v>156318</v>
      </c>
      <c r="K12" s="87">
        <v>168682</v>
      </c>
      <c r="L12" s="87">
        <v>142168</v>
      </c>
      <c r="M12" s="473">
        <v>156231</v>
      </c>
      <c r="N12" s="473">
        <v>220329</v>
      </c>
      <c r="O12" s="473">
        <v>219313</v>
      </c>
      <c r="P12" s="473">
        <v>194266</v>
      </c>
      <c r="Q12" s="473">
        <v>165750</v>
      </c>
      <c r="R12" s="473">
        <v>158054</v>
      </c>
      <c r="S12" s="473">
        <v>159350</v>
      </c>
      <c r="T12" s="473">
        <v>146800</v>
      </c>
      <c r="U12" s="473">
        <v>140112</v>
      </c>
      <c r="V12" s="473">
        <v>130457</v>
      </c>
    </row>
    <row r="13" spans="1:22" ht="15" customHeight="1">
      <c r="A13" s="77"/>
      <c r="B13" s="21" t="s">
        <v>27</v>
      </c>
      <c r="C13" s="202">
        <v>16207</v>
      </c>
      <c r="D13" s="202">
        <v>16605</v>
      </c>
      <c r="E13" s="87">
        <v>20165</v>
      </c>
      <c r="F13" s="87">
        <v>7590</v>
      </c>
      <c r="G13" s="87">
        <v>18463</v>
      </c>
      <c r="H13" s="87">
        <v>18399</v>
      </c>
      <c r="I13" s="87">
        <v>12411</v>
      </c>
      <c r="J13" s="87">
        <v>16445</v>
      </c>
      <c r="K13" s="87">
        <v>15240</v>
      </c>
      <c r="L13" s="87">
        <v>15696</v>
      </c>
      <c r="M13" s="87">
        <v>11420</v>
      </c>
      <c r="N13" s="87">
        <v>6911</v>
      </c>
      <c r="O13" s="87">
        <v>6474</v>
      </c>
      <c r="P13" s="87">
        <v>6209</v>
      </c>
      <c r="Q13" s="87">
        <v>5255</v>
      </c>
      <c r="R13" s="87">
        <v>6041</v>
      </c>
      <c r="S13" s="87">
        <v>6224</v>
      </c>
      <c r="T13" s="87">
        <v>6395</v>
      </c>
      <c r="U13" s="87">
        <v>6054</v>
      </c>
      <c r="V13" s="87">
        <v>5400</v>
      </c>
    </row>
    <row r="14" spans="1:22" ht="15" customHeight="1">
      <c r="A14" s="77"/>
      <c r="B14" s="21" t="s">
        <v>28</v>
      </c>
      <c r="C14" s="202">
        <v>48636</v>
      </c>
      <c r="D14" s="202">
        <v>44644</v>
      </c>
      <c r="E14" s="87">
        <v>36892</v>
      </c>
      <c r="F14" s="87">
        <v>34713</v>
      </c>
      <c r="G14" s="87">
        <v>7537</v>
      </c>
      <c r="H14" s="87">
        <v>7597</v>
      </c>
      <c r="I14" s="87">
        <v>38529</v>
      </c>
      <c r="J14" s="87">
        <v>13552</v>
      </c>
      <c r="K14" s="87">
        <v>5569</v>
      </c>
      <c r="L14" s="87">
        <v>4170</v>
      </c>
      <c r="M14" s="473">
        <v>9018</v>
      </c>
      <c r="N14" s="473">
        <v>11954</v>
      </c>
      <c r="O14" s="473">
        <v>7689</v>
      </c>
      <c r="P14" s="473">
        <v>7229</v>
      </c>
      <c r="Q14" s="473">
        <v>7076</v>
      </c>
      <c r="R14" s="473">
        <v>6515</v>
      </c>
      <c r="S14" s="473">
        <v>6488</v>
      </c>
      <c r="T14" s="473">
        <v>7363</v>
      </c>
      <c r="U14" s="473">
        <v>10280</v>
      </c>
      <c r="V14" s="473">
        <v>12803</v>
      </c>
    </row>
    <row r="15" spans="1:22" ht="15" customHeight="1">
      <c r="A15" s="77"/>
      <c r="B15" s="21" t="s">
        <v>29</v>
      </c>
      <c r="C15" s="202">
        <v>51382</v>
      </c>
      <c r="D15" s="202">
        <v>53479</v>
      </c>
      <c r="E15" s="87">
        <v>69851</v>
      </c>
      <c r="F15" s="87">
        <v>68198</v>
      </c>
      <c r="G15" s="87">
        <v>83497</v>
      </c>
      <c r="H15" s="87">
        <v>79799</v>
      </c>
      <c r="I15" s="87">
        <v>78888</v>
      </c>
      <c r="J15" s="87">
        <v>71441</v>
      </c>
      <c r="K15" s="87">
        <v>48547</v>
      </c>
      <c r="L15" s="87">
        <v>82242</v>
      </c>
      <c r="M15" s="473">
        <v>92565</v>
      </c>
      <c r="N15" s="473">
        <v>111905</v>
      </c>
      <c r="O15" s="473">
        <v>69508</v>
      </c>
      <c r="P15" s="473">
        <v>103820</v>
      </c>
      <c r="Q15" s="473">
        <v>91432</v>
      </c>
      <c r="R15" s="473">
        <v>84125</v>
      </c>
      <c r="S15" s="473">
        <v>115396</v>
      </c>
      <c r="T15" s="473">
        <v>104213</v>
      </c>
      <c r="U15" s="473">
        <v>89625</v>
      </c>
      <c r="V15" s="473">
        <v>79776</v>
      </c>
    </row>
    <row r="16" spans="1:22" ht="15" customHeight="1">
      <c r="A16" s="77"/>
      <c r="B16" s="21" t="s">
        <v>30</v>
      </c>
      <c r="C16" s="202">
        <v>0</v>
      </c>
      <c r="D16" s="202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</row>
    <row r="17" spans="1:22" ht="15" customHeight="1">
      <c r="A17" s="77"/>
      <c r="B17" s="21" t="s">
        <v>31</v>
      </c>
      <c r="C17" s="202">
        <v>373540</v>
      </c>
      <c r="D17" s="202">
        <v>283894</v>
      </c>
      <c r="E17" s="87">
        <v>207959</v>
      </c>
      <c r="F17" s="87">
        <v>140552</v>
      </c>
      <c r="G17" s="87">
        <v>142079</v>
      </c>
      <c r="H17" s="87">
        <v>121870</v>
      </c>
      <c r="I17" s="87">
        <v>62310</v>
      </c>
      <c r="J17" s="87">
        <v>146950</v>
      </c>
      <c r="K17" s="87">
        <v>221464</v>
      </c>
      <c r="L17" s="87">
        <v>214127</v>
      </c>
      <c r="M17" s="473">
        <v>193576</v>
      </c>
      <c r="N17" s="473">
        <v>173587</v>
      </c>
      <c r="O17" s="473">
        <v>164539</v>
      </c>
      <c r="P17" s="473">
        <v>162255</v>
      </c>
      <c r="Q17" s="473">
        <v>140446</v>
      </c>
      <c r="R17" s="473">
        <v>109744</v>
      </c>
      <c r="S17" s="473">
        <v>98449</v>
      </c>
      <c r="T17" s="473">
        <v>83172</v>
      </c>
      <c r="U17" s="473">
        <v>78569</v>
      </c>
      <c r="V17" s="473">
        <v>88872</v>
      </c>
    </row>
    <row r="18" spans="1:22" ht="15" customHeight="1">
      <c r="A18" s="77"/>
      <c r="B18" s="21" t="s">
        <v>32</v>
      </c>
      <c r="C18" s="202">
        <v>522839</v>
      </c>
      <c r="D18" s="202">
        <v>559070</v>
      </c>
      <c r="E18" s="87">
        <v>561105</v>
      </c>
      <c r="F18" s="87">
        <v>565575</v>
      </c>
      <c r="G18" s="87">
        <v>569138</v>
      </c>
      <c r="H18" s="87">
        <v>676896</v>
      </c>
      <c r="I18" s="87">
        <v>493852</v>
      </c>
      <c r="J18" s="87">
        <v>660319</v>
      </c>
      <c r="K18" s="87">
        <v>609890</v>
      </c>
      <c r="L18" s="87">
        <v>402146</v>
      </c>
      <c r="M18" s="473">
        <v>420519</v>
      </c>
      <c r="N18" s="473">
        <v>333733</v>
      </c>
      <c r="O18" s="473">
        <v>349285</v>
      </c>
      <c r="P18" s="473">
        <v>370620</v>
      </c>
      <c r="Q18" s="473">
        <v>367427</v>
      </c>
      <c r="R18" s="473">
        <v>370762</v>
      </c>
      <c r="S18" s="473">
        <v>386152</v>
      </c>
      <c r="T18" s="473">
        <v>365091</v>
      </c>
      <c r="U18" s="473">
        <v>396539</v>
      </c>
      <c r="V18" s="473">
        <v>416654</v>
      </c>
    </row>
    <row r="19" spans="1:22" ht="15" customHeight="1">
      <c r="A19" s="77"/>
      <c r="B19" s="21" t="s">
        <v>33</v>
      </c>
      <c r="C19" s="202">
        <v>601360</v>
      </c>
      <c r="D19" s="202">
        <v>609680</v>
      </c>
      <c r="E19" s="87">
        <v>439697</v>
      </c>
      <c r="F19" s="87">
        <v>510031</v>
      </c>
      <c r="G19" s="87">
        <v>621211</v>
      </c>
      <c r="H19" s="87">
        <v>645082</v>
      </c>
      <c r="I19" s="87">
        <v>635182</v>
      </c>
      <c r="J19" s="87">
        <v>687908</v>
      </c>
      <c r="K19" s="87">
        <v>666029</v>
      </c>
      <c r="L19" s="87">
        <v>691762</v>
      </c>
      <c r="M19" s="473">
        <v>714025</v>
      </c>
      <c r="N19" s="473">
        <v>744843</v>
      </c>
      <c r="O19" s="473">
        <v>789102</v>
      </c>
      <c r="P19" s="473">
        <v>795972</v>
      </c>
      <c r="Q19" s="473">
        <v>723937</v>
      </c>
      <c r="R19" s="473">
        <v>643434</v>
      </c>
      <c r="S19" s="473">
        <v>701476</v>
      </c>
      <c r="T19" s="473">
        <v>871890</v>
      </c>
      <c r="U19" s="473">
        <v>872873</v>
      </c>
      <c r="V19" s="473">
        <v>879607</v>
      </c>
    </row>
    <row r="20" spans="1:22" ht="15" customHeight="1">
      <c r="A20" s="77"/>
      <c r="B20" s="21" t="s">
        <v>34</v>
      </c>
      <c r="C20" s="202">
        <v>444847</v>
      </c>
      <c r="D20" s="202">
        <v>319084</v>
      </c>
      <c r="E20" s="87">
        <v>281860</v>
      </c>
      <c r="F20" s="87">
        <v>220170</v>
      </c>
      <c r="G20" s="87">
        <v>210481</v>
      </c>
      <c r="H20" s="87">
        <v>126110</v>
      </c>
      <c r="I20" s="87">
        <v>265607</v>
      </c>
      <c r="J20" s="87">
        <v>267529</v>
      </c>
      <c r="K20" s="87">
        <v>244443</v>
      </c>
      <c r="L20" s="87">
        <v>109210</v>
      </c>
      <c r="M20" s="473">
        <v>79116</v>
      </c>
      <c r="N20" s="473">
        <v>182727</v>
      </c>
      <c r="O20" s="473">
        <v>190568</v>
      </c>
      <c r="P20" s="473">
        <v>211173</v>
      </c>
      <c r="Q20" s="473">
        <v>149074</v>
      </c>
      <c r="R20" s="473">
        <v>151961</v>
      </c>
      <c r="S20" s="473">
        <v>146555</v>
      </c>
      <c r="T20" s="473">
        <v>137822</v>
      </c>
      <c r="U20" s="473">
        <v>127851</v>
      </c>
      <c r="V20" s="473">
        <v>121496</v>
      </c>
    </row>
    <row r="21" spans="1:22" ht="15" customHeight="1">
      <c r="A21" s="77"/>
      <c r="B21" s="21" t="s">
        <v>35</v>
      </c>
      <c r="C21" s="202">
        <v>53126</v>
      </c>
      <c r="D21" s="202">
        <v>56331</v>
      </c>
      <c r="E21" s="87">
        <v>67652</v>
      </c>
      <c r="F21" s="87">
        <v>72955</v>
      </c>
      <c r="G21" s="87">
        <v>65145</v>
      </c>
      <c r="H21" s="87">
        <v>54146</v>
      </c>
      <c r="I21" s="87">
        <v>40498</v>
      </c>
      <c r="J21" s="87">
        <v>53450</v>
      </c>
      <c r="K21" s="87">
        <v>55508</v>
      </c>
      <c r="L21" s="87">
        <v>57633</v>
      </c>
      <c r="M21" s="473">
        <v>50977</v>
      </c>
      <c r="N21" s="473">
        <v>44355</v>
      </c>
      <c r="O21" s="473">
        <v>40495</v>
      </c>
      <c r="P21" s="473">
        <v>33496</v>
      </c>
      <c r="Q21" s="473">
        <v>35281</v>
      </c>
      <c r="R21" s="473">
        <v>37961</v>
      </c>
      <c r="S21" s="473">
        <v>34122</v>
      </c>
      <c r="T21" s="473">
        <v>30965</v>
      </c>
      <c r="U21" s="473">
        <v>31615</v>
      </c>
      <c r="V21" s="473">
        <v>38312</v>
      </c>
    </row>
    <row r="22" spans="1:22" ht="15" customHeight="1">
      <c r="A22" s="77"/>
      <c r="B22" s="21" t="s">
        <v>36</v>
      </c>
      <c r="C22" s="202">
        <v>1738</v>
      </c>
      <c r="D22" s="202">
        <v>1050</v>
      </c>
      <c r="E22" s="87">
        <v>478</v>
      </c>
      <c r="F22" s="87">
        <v>2420</v>
      </c>
      <c r="G22" s="87">
        <v>1680</v>
      </c>
      <c r="H22" s="87">
        <v>1435</v>
      </c>
      <c r="I22" s="87">
        <v>41</v>
      </c>
      <c r="J22" s="87">
        <v>0</v>
      </c>
      <c r="K22" s="87">
        <v>134</v>
      </c>
      <c r="L22" s="87">
        <v>5740</v>
      </c>
      <c r="M22" s="473">
        <v>4455</v>
      </c>
      <c r="N22" s="473">
        <v>4350</v>
      </c>
      <c r="O22" s="473">
        <v>3430</v>
      </c>
      <c r="P22" s="473">
        <v>3245</v>
      </c>
      <c r="Q22" s="473">
        <v>2550</v>
      </c>
      <c r="R22" s="473">
        <v>2785</v>
      </c>
      <c r="S22" s="473">
        <v>2630</v>
      </c>
      <c r="T22" s="473">
        <v>2431</v>
      </c>
      <c r="U22" s="473">
        <v>2453</v>
      </c>
      <c r="V22" s="473">
        <v>2739</v>
      </c>
    </row>
    <row r="23" spans="1:22" ht="15" customHeight="1">
      <c r="A23" s="77"/>
      <c r="B23" s="21" t="s">
        <v>37</v>
      </c>
      <c r="C23" s="202">
        <v>0</v>
      </c>
      <c r="D23" s="202">
        <v>0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473">
        <v>0</v>
      </c>
      <c r="N23" s="473">
        <v>0</v>
      </c>
      <c r="O23" s="473">
        <v>0</v>
      </c>
      <c r="P23" s="473">
        <v>0</v>
      </c>
      <c r="Q23" s="473">
        <v>0</v>
      </c>
      <c r="R23" s="473">
        <v>0</v>
      </c>
      <c r="S23" s="473">
        <v>0</v>
      </c>
      <c r="T23" s="473">
        <v>0</v>
      </c>
      <c r="U23" s="473">
        <v>0</v>
      </c>
      <c r="V23" s="473">
        <v>0</v>
      </c>
    </row>
    <row r="24" spans="1:22" ht="15" customHeight="1">
      <c r="A24" s="77"/>
      <c r="B24" s="21" t="s">
        <v>38</v>
      </c>
      <c r="C24" s="202">
        <v>306255</v>
      </c>
      <c r="D24" s="202">
        <v>259301</v>
      </c>
      <c r="E24" s="87">
        <v>308791</v>
      </c>
      <c r="F24" s="87">
        <v>263354</v>
      </c>
      <c r="G24" s="87">
        <v>297670</v>
      </c>
      <c r="H24" s="87">
        <v>302992</v>
      </c>
      <c r="I24" s="87">
        <v>316003</v>
      </c>
      <c r="J24" s="87">
        <v>309791</v>
      </c>
      <c r="K24" s="87">
        <v>343320</v>
      </c>
      <c r="L24" s="87">
        <v>237721</v>
      </c>
      <c r="M24" s="473">
        <v>207731</v>
      </c>
      <c r="N24" s="473">
        <v>186981</v>
      </c>
      <c r="O24" s="473">
        <v>190207</v>
      </c>
      <c r="P24" s="473">
        <v>176812</v>
      </c>
      <c r="Q24" s="473">
        <v>172759</v>
      </c>
      <c r="R24" s="473">
        <v>147012</v>
      </c>
      <c r="S24" s="473">
        <v>135386</v>
      </c>
      <c r="T24" s="473">
        <v>126436</v>
      </c>
      <c r="U24" s="473">
        <v>112360</v>
      </c>
      <c r="V24" s="473">
        <v>113428</v>
      </c>
    </row>
    <row r="25" spans="1:22" ht="15" customHeight="1">
      <c r="A25" s="77"/>
      <c r="B25" s="21" t="s">
        <v>39</v>
      </c>
      <c r="C25" s="202">
        <v>126618</v>
      </c>
      <c r="D25" s="202">
        <v>157417</v>
      </c>
      <c r="E25" s="87">
        <v>183811</v>
      </c>
      <c r="F25" s="87">
        <v>138770</v>
      </c>
      <c r="G25" s="87">
        <v>127588</v>
      </c>
      <c r="H25" s="87">
        <v>120774</v>
      </c>
      <c r="I25" s="87">
        <v>174595</v>
      </c>
      <c r="J25" s="87">
        <v>195609</v>
      </c>
      <c r="K25" s="87">
        <v>186257</v>
      </c>
      <c r="L25" s="87">
        <v>167112</v>
      </c>
      <c r="M25" s="473">
        <v>161112</v>
      </c>
      <c r="N25" s="473">
        <v>116274</v>
      </c>
      <c r="O25" s="473">
        <v>94800</v>
      </c>
      <c r="P25" s="473">
        <v>86132</v>
      </c>
      <c r="Q25" s="473">
        <v>78918</v>
      </c>
      <c r="R25" s="473">
        <v>77439</v>
      </c>
      <c r="S25" s="473">
        <v>74081</v>
      </c>
      <c r="T25" s="473">
        <v>69694</v>
      </c>
      <c r="U25" s="473">
        <v>67143</v>
      </c>
      <c r="V25" s="473">
        <v>62924</v>
      </c>
    </row>
    <row r="26" spans="1:22" ht="15" customHeight="1">
      <c r="A26" s="77"/>
      <c r="B26" s="21" t="s">
        <v>42</v>
      </c>
      <c r="C26" s="202">
        <v>452205</v>
      </c>
      <c r="D26" s="202">
        <v>315691</v>
      </c>
      <c r="E26" s="87">
        <v>938139</v>
      </c>
      <c r="F26" s="87">
        <v>536724</v>
      </c>
      <c r="G26" s="87">
        <v>604785</v>
      </c>
      <c r="H26" s="87">
        <v>474316</v>
      </c>
      <c r="I26" s="87">
        <v>456759</v>
      </c>
      <c r="J26" s="87">
        <v>814517</v>
      </c>
      <c r="K26" s="87">
        <v>532231</v>
      </c>
      <c r="L26" s="87">
        <v>508145</v>
      </c>
      <c r="M26" s="473">
        <v>493362</v>
      </c>
      <c r="N26" s="473">
        <v>488496</v>
      </c>
      <c r="O26" s="473">
        <v>484555</v>
      </c>
      <c r="P26" s="473">
        <v>450804</v>
      </c>
      <c r="Q26" s="473">
        <v>464593</v>
      </c>
      <c r="R26" s="473">
        <v>444659</v>
      </c>
      <c r="S26" s="473">
        <v>504162</v>
      </c>
      <c r="T26" s="473">
        <v>470620</v>
      </c>
      <c r="U26" s="473">
        <v>465170</v>
      </c>
      <c r="V26" s="473">
        <v>452566</v>
      </c>
    </row>
    <row r="27" spans="1:22" ht="15" customHeight="1">
      <c r="A27" s="77"/>
      <c r="B27" s="21" t="s">
        <v>43</v>
      </c>
      <c r="C27" s="202">
        <v>2836810</v>
      </c>
      <c r="D27" s="202">
        <v>2881780</v>
      </c>
      <c r="E27" s="87">
        <v>2861020</v>
      </c>
      <c r="F27" s="87">
        <v>2848130</v>
      </c>
      <c r="G27" s="87">
        <v>2871590</v>
      </c>
      <c r="H27" s="87">
        <v>2880640</v>
      </c>
      <c r="I27" s="87">
        <v>2903970</v>
      </c>
      <c r="J27" s="87">
        <v>2878570</v>
      </c>
      <c r="K27" s="87">
        <v>2686000</v>
      </c>
      <c r="L27" s="87">
        <v>2781657</v>
      </c>
      <c r="M27" s="473">
        <v>2267374</v>
      </c>
      <c r="N27" s="473">
        <v>2662657</v>
      </c>
      <c r="O27" s="473">
        <v>1685870</v>
      </c>
      <c r="P27" s="473">
        <v>1692150</v>
      </c>
      <c r="Q27" s="473">
        <v>1631890</v>
      </c>
      <c r="R27" s="473">
        <v>1583260</v>
      </c>
      <c r="S27" s="473">
        <v>1588280</v>
      </c>
      <c r="T27" s="473">
        <v>1589710</v>
      </c>
      <c r="U27" s="473">
        <v>1553480</v>
      </c>
      <c r="V27" s="473">
        <v>1544670</v>
      </c>
    </row>
    <row r="28" spans="1:22" ht="15" customHeight="1">
      <c r="A28" s="77"/>
      <c r="B28" s="76" t="s">
        <v>44</v>
      </c>
      <c r="C28" s="202">
        <v>0</v>
      </c>
      <c r="D28" s="202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0</v>
      </c>
      <c r="M28" s="473">
        <v>0</v>
      </c>
      <c r="N28" s="473">
        <v>0</v>
      </c>
      <c r="O28" s="473">
        <v>0</v>
      </c>
      <c r="P28" s="473">
        <v>0</v>
      </c>
      <c r="Q28" s="473">
        <v>0</v>
      </c>
      <c r="R28" s="473">
        <v>0</v>
      </c>
      <c r="S28" s="473">
        <v>0</v>
      </c>
      <c r="T28" s="473">
        <v>0</v>
      </c>
      <c r="U28" s="473">
        <v>0</v>
      </c>
      <c r="V28" s="473">
        <v>0</v>
      </c>
    </row>
    <row r="29" spans="1:22" ht="15" customHeight="1">
      <c r="A29" s="77"/>
      <c r="B29" s="21" t="s">
        <v>45</v>
      </c>
      <c r="C29" s="202">
        <v>0</v>
      </c>
      <c r="D29" s="202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473">
        <v>0</v>
      </c>
      <c r="N29" s="473">
        <v>0</v>
      </c>
      <c r="O29" s="473">
        <v>0</v>
      </c>
      <c r="P29" s="473">
        <v>0</v>
      </c>
      <c r="Q29" s="473">
        <v>0</v>
      </c>
      <c r="R29" s="473">
        <v>0</v>
      </c>
      <c r="S29" s="473">
        <v>0</v>
      </c>
      <c r="T29" s="473">
        <v>0</v>
      </c>
      <c r="U29" s="473">
        <v>0</v>
      </c>
      <c r="V29" s="473">
        <v>0</v>
      </c>
    </row>
    <row r="30" spans="1:22" ht="15" customHeight="1">
      <c r="A30" s="77"/>
      <c r="B30" s="21" t="s">
        <v>46</v>
      </c>
      <c r="C30" s="202">
        <v>0</v>
      </c>
      <c r="D30" s="202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0</v>
      </c>
      <c r="M30" s="473">
        <v>0</v>
      </c>
      <c r="N30" s="473">
        <v>0</v>
      </c>
      <c r="O30" s="473">
        <v>0</v>
      </c>
      <c r="P30" s="473">
        <v>0</v>
      </c>
      <c r="Q30" s="473">
        <v>0</v>
      </c>
      <c r="R30" s="473">
        <v>0</v>
      </c>
      <c r="S30" s="473">
        <v>0</v>
      </c>
      <c r="T30" s="473">
        <v>0</v>
      </c>
      <c r="U30" s="473">
        <v>0</v>
      </c>
      <c r="V30" s="473">
        <v>0</v>
      </c>
    </row>
    <row r="31" spans="1:22" ht="15" customHeight="1" thickBot="1">
      <c r="A31" s="82"/>
      <c r="B31" s="434" t="s">
        <v>47</v>
      </c>
      <c r="C31" s="438">
        <v>0</v>
      </c>
      <c r="D31" s="438">
        <v>0</v>
      </c>
      <c r="E31" s="474">
        <v>0</v>
      </c>
      <c r="F31" s="474">
        <v>0</v>
      </c>
      <c r="G31" s="474">
        <v>0</v>
      </c>
      <c r="H31" s="474">
        <v>0</v>
      </c>
      <c r="I31" s="474">
        <v>0</v>
      </c>
      <c r="J31" s="474">
        <v>0</v>
      </c>
      <c r="K31" s="474">
        <v>0</v>
      </c>
      <c r="L31" s="474">
        <v>0</v>
      </c>
      <c r="M31" s="475">
        <v>0</v>
      </c>
      <c r="N31" s="475">
        <v>0</v>
      </c>
      <c r="O31" s="475">
        <v>0</v>
      </c>
      <c r="P31" s="475">
        <v>0</v>
      </c>
      <c r="Q31" s="475">
        <v>0</v>
      </c>
      <c r="R31" s="475">
        <v>0</v>
      </c>
      <c r="S31" s="475">
        <v>0</v>
      </c>
      <c r="T31" s="475">
        <v>0</v>
      </c>
      <c r="U31" s="475">
        <v>0</v>
      </c>
      <c r="V31" s="475">
        <v>0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1">
    <tabColor theme="9" tint="0.59999389629810485"/>
  </sheetPr>
  <dimension ref="A2:Z36"/>
  <sheetViews>
    <sheetView showGridLines="0" zoomScaleNormal="100" workbookViewId="0">
      <selection activeCell="R6" sqref="R6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796875" style="76" customWidth="1"/>
    <col min="24" max="16384" width="7" style="76"/>
  </cols>
  <sheetData>
    <row r="2" spans="1:26" ht="16.5" customHeight="1">
      <c r="A2" s="210" t="s">
        <v>497</v>
      </c>
      <c r="B2" s="211"/>
    </row>
    <row r="3" spans="1:26" ht="13.25" customHeight="1">
      <c r="A3" s="212" t="s">
        <v>210</v>
      </c>
      <c r="B3" s="212"/>
    </row>
    <row r="4" spans="1:26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6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6" ht="18" customHeight="1">
      <c r="A6" s="1020" t="s">
        <v>93</v>
      </c>
      <c r="B6" s="1020"/>
      <c r="C6" s="633">
        <f t="shared" ref="C6:N6" si="0">(C8+C9+C10+C11+C12+C13+C14+C15+C16+C17+C18+C19+C20+C21+C22+C23+C24+C25+C26+C27+C28+C29+C30+C31)</f>
        <v>10914</v>
      </c>
      <c r="D6" s="633">
        <f t="shared" si="0"/>
        <v>10375</v>
      </c>
      <c r="E6" s="629">
        <f t="shared" si="0"/>
        <v>10894</v>
      </c>
      <c r="F6" s="629">
        <f t="shared" si="0"/>
        <v>10087</v>
      </c>
      <c r="G6" s="629">
        <f t="shared" si="0"/>
        <v>10280</v>
      </c>
      <c r="H6" s="629">
        <f t="shared" si="0"/>
        <v>10219</v>
      </c>
      <c r="I6" s="629">
        <f t="shared" si="0"/>
        <v>10293</v>
      </c>
      <c r="J6" s="629">
        <f t="shared" si="0"/>
        <v>11029</v>
      </c>
      <c r="K6" s="629">
        <f t="shared" si="0"/>
        <v>10405</v>
      </c>
      <c r="L6" s="629">
        <f t="shared" si="0"/>
        <v>9975</v>
      </c>
      <c r="M6" s="629">
        <f t="shared" si="0"/>
        <v>8955</v>
      </c>
      <c r="N6" s="629">
        <f t="shared" si="0"/>
        <v>9353</v>
      </c>
      <c r="O6" s="629">
        <f t="shared" ref="O6:V6" si="1">(O8+O9+O10+O11+O12+O13+O14+O15+O16+O17+O18+O19+O20+O21+O22+O23+O24+O25+O26+O27+O28+O29+O30+O31)</f>
        <v>8139</v>
      </c>
      <c r="P6" s="629">
        <f t="shared" si="1"/>
        <v>8056</v>
      </c>
      <c r="Q6" s="629">
        <f t="shared" si="1"/>
        <v>7742</v>
      </c>
      <c r="R6" s="629">
        <f t="shared" si="1"/>
        <v>7466.5</v>
      </c>
      <c r="S6" s="629">
        <f t="shared" si="1"/>
        <v>7690.0999999999995</v>
      </c>
      <c r="T6" s="629">
        <f t="shared" ref="T6:U6" si="2">(T8+T9+T10+T11+T12+T13+T14+T15+T16+T17+T18+T19+T20+T21+T22+T23+T24+T25+T26+T27+T28+T29+T30+T31)</f>
        <v>7983.9000000000005</v>
      </c>
      <c r="U6" s="629">
        <f t="shared" si="2"/>
        <v>8009.8296005761085</v>
      </c>
      <c r="V6" s="629">
        <f t="shared" si="1"/>
        <v>8031.463572990885</v>
      </c>
    </row>
    <row r="7" spans="1:26" ht="3" customHeight="1">
      <c r="A7" s="77"/>
      <c r="B7" s="78"/>
      <c r="C7" s="215"/>
      <c r="D7" s="215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</row>
    <row r="8" spans="1:26" ht="15" customHeight="1">
      <c r="A8" s="77"/>
      <c r="B8" s="21" t="s">
        <v>19</v>
      </c>
      <c r="C8" s="216">
        <v>0</v>
      </c>
      <c r="D8" s="216">
        <v>0</v>
      </c>
      <c r="E8" s="202">
        <v>0</v>
      </c>
      <c r="F8" s="202">
        <v>0</v>
      </c>
      <c r="G8" s="202">
        <v>0</v>
      </c>
      <c r="H8" s="202">
        <v>0</v>
      </c>
      <c r="I8" s="202">
        <v>0</v>
      </c>
      <c r="J8" s="202">
        <v>0</v>
      </c>
      <c r="K8" s="202">
        <v>0</v>
      </c>
      <c r="L8" s="202">
        <v>0</v>
      </c>
      <c r="M8" s="163">
        <v>0</v>
      </c>
      <c r="N8" s="163">
        <v>0</v>
      </c>
      <c r="O8" s="163">
        <v>0</v>
      </c>
      <c r="P8" s="163">
        <v>0</v>
      </c>
      <c r="Q8" s="163">
        <v>0</v>
      </c>
      <c r="R8" s="163">
        <v>0</v>
      </c>
      <c r="S8" s="163">
        <v>0</v>
      </c>
      <c r="T8" s="163">
        <v>0</v>
      </c>
      <c r="U8" s="163">
        <v>0</v>
      </c>
      <c r="V8" s="163">
        <v>0</v>
      </c>
      <c r="X8" s="563"/>
      <c r="Y8" s="563"/>
      <c r="Z8" s="563"/>
    </row>
    <row r="9" spans="1:26" ht="15" customHeight="1">
      <c r="A9" s="77"/>
      <c r="B9" s="21" t="s">
        <v>20</v>
      </c>
      <c r="C9" s="216">
        <v>0</v>
      </c>
      <c r="D9" s="216">
        <v>0</v>
      </c>
      <c r="E9" s="202">
        <v>0</v>
      </c>
      <c r="F9" s="202">
        <v>0</v>
      </c>
      <c r="G9" s="202">
        <v>0</v>
      </c>
      <c r="H9" s="202">
        <v>114</v>
      </c>
      <c r="I9" s="202">
        <v>116</v>
      </c>
      <c r="J9" s="202">
        <v>57</v>
      </c>
      <c r="K9" s="202">
        <v>45</v>
      </c>
      <c r="L9" s="202">
        <v>44</v>
      </c>
      <c r="M9" s="163">
        <v>60</v>
      </c>
      <c r="N9" s="163">
        <v>61</v>
      </c>
      <c r="O9" s="163">
        <v>50</v>
      </c>
      <c r="P9" s="163">
        <v>24</v>
      </c>
      <c r="Q9" s="163">
        <v>17</v>
      </c>
      <c r="R9" s="163">
        <v>25</v>
      </c>
      <c r="S9" s="163">
        <v>25.5</v>
      </c>
      <c r="T9" s="163">
        <v>25.8</v>
      </c>
      <c r="U9" s="163">
        <v>25.515822110853545</v>
      </c>
      <c r="V9" s="163">
        <v>24.488000000000003</v>
      </c>
      <c r="X9" s="563"/>
      <c r="Y9" s="563"/>
      <c r="Z9" s="563"/>
    </row>
    <row r="10" spans="1:26" ht="15" customHeight="1">
      <c r="A10" s="77"/>
      <c r="B10" s="21" t="s">
        <v>21</v>
      </c>
      <c r="C10" s="216">
        <v>0</v>
      </c>
      <c r="D10" s="216">
        <v>0</v>
      </c>
      <c r="E10" s="202">
        <v>0</v>
      </c>
      <c r="F10" s="202">
        <v>0</v>
      </c>
      <c r="G10" s="202">
        <v>0</v>
      </c>
      <c r="H10" s="202">
        <v>0</v>
      </c>
      <c r="I10" s="202">
        <v>0</v>
      </c>
      <c r="J10" s="202">
        <v>0</v>
      </c>
      <c r="K10" s="202">
        <v>0</v>
      </c>
      <c r="L10" s="202">
        <v>0</v>
      </c>
      <c r="M10" s="202">
        <v>0</v>
      </c>
      <c r="N10" s="202">
        <v>0</v>
      </c>
      <c r="O10" s="202">
        <v>0</v>
      </c>
      <c r="P10" s="202">
        <v>0</v>
      </c>
      <c r="Q10" s="202">
        <v>0</v>
      </c>
      <c r="R10" s="202">
        <v>0</v>
      </c>
      <c r="S10" s="202">
        <v>0</v>
      </c>
      <c r="T10" s="202">
        <v>0</v>
      </c>
      <c r="U10" s="202">
        <v>0</v>
      </c>
      <c r="V10" s="202">
        <v>0</v>
      </c>
      <c r="X10" s="563"/>
      <c r="Y10" s="563"/>
      <c r="Z10" s="563"/>
    </row>
    <row r="11" spans="1:26" ht="15" customHeight="1">
      <c r="A11" s="77"/>
      <c r="B11" s="21" t="s">
        <v>22</v>
      </c>
      <c r="C11" s="216">
        <v>640</v>
      </c>
      <c r="D11" s="216">
        <v>686</v>
      </c>
      <c r="E11" s="202">
        <v>689</v>
      </c>
      <c r="F11" s="202">
        <v>688</v>
      </c>
      <c r="G11" s="202">
        <v>703</v>
      </c>
      <c r="H11" s="202">
        <v>709</v>
      </c>
      <c r="I11" s="202">
        <v>721</v>
      </c>
      <c r="J11" s="202">
        <v>733</v>
      </c>
      <c r="K11" s="202">
        <v>732</v>
      </c>
      <c r="L11" s="202">
        <v>735</v>
      </c>
      <c r="M11" s="163">
        <v>690</v>
      </c>
      <c r="N11" s="163">
        <v>706</v>
      </c>
      <c r="O11" s="163">
        <v>706</v>
      </c>
      <c r="P11" s="163">
        <v>724</v>
      </c>
      <c r="Q11" s="163">
        <v>734</v>
      </c>
      <c r="R11" s="163">
        <v>745.3</v>
      </c>
      <c r="S11" s="163">
        <v>751.9</v>
      </c>
      <c r="T11" s="163">
        <v>777.6</v>
      </c>
      <c r="U11" s="163">
        <v>798.61761999999999</v>
      </c>
      <c r="V11" s="163">
        <v>808.72412999999983</v>
      </c>
      <c r="X11" s="563"/>
      <c r="Y11" s="563"/>
      <c r="Z11" s="563"/>
    </row>
    <row r="12" spans="1:26" ht="15" customHeight="1">
      <c r="A12" s="77"/>
      <c r="B12" s="21" t="s">
        <v>23</v>
      </c>
      <c r="C12" s="216">
        <v>335</v>
      </c>
      <c r="D12" s="216">
        <v>330</v>
      </c>
      <c r="E12" s="202">
        <v>324</v>
      </c>
      <c r="F12" s="202">
        <v>302</v>
      </c>
      <c r="G12" s="202">
        <v>213</v>
      </c>
      <c r="H12" s="202">
        <v>142</v>
      </c>
      <c r="I12" s="202">
        <v>189</v>
      </c>
      <c r="J12" s="202">
        <v>228</v>
      </c>
      <c r="K12" s="202">
        <v>253</v>
      </c>
      <c r="L12" s="202">
        <v>194</v>
      </c>
      <c r="M12" s="163">
        <v>212</v>
      </c>
      <c r="N12" s="163">
        <v>192</v>
      </c>
      <c r="O12" s="163">
        <v>443</v>
      </c>
      <c r="P12" s="163">
        <v>407</v>
      </c>
      <c r="Q12" s="163">
        <v>286</v>
      </c>
      <c r="R12" s="163">
        <v>271.60000000000002</v>
      </c>
      <c r="S12" s="163">
        <v>262.60000000000002</v>
      </c>
      <c r="T12" s="163">
        <v>233.9</v>
      </c>
      <c r="U12" s="163">
        <v>218.560473</v>
      </c>
      <c r="V12" s="163">
        <v>206.1645</v>
      </c>
      <c r="X12" s="563"/>
      <c r="Y12" s="563"/>
      <c r="Z12" s="563"/>
    </row>
    <row r="13" spans="1:26" ht="15" customHeight="1">
      <c r="A13" s="77"/>
      <c r="B13" s="21" t="s">
        <v>27</v>
      </c>
      <c r="C13" s="216">
        <v>20</v>
      </c>
      <c r="D13" s="216">
        <v>23</v>
      </c>
      <c r="E13" s="202">
        <v>29</v>
      </c>
      <c r="F13" s="202">
        <v>7</v>
      </c>
      <c r="G13" s="202">
        <v>19</v>
      </c>
      <c r="H13" s="202">
        <v>18</v>
      </c>
      <c r="I13" s="202">
        <v>10</v>
      </c>
      <c r="J13" s="202">
        <v>11</v>
      </c>
      <c r="K13" s="202">
        <v>10</v>
      </c>
      <c r="L13" s="202">
        <v>10</v>
      </c>
      <c r="M13" s="202">
        <v>7</v>
      </c>
      <c r="N13" s="202">
        <v>4</v>
      </c>
      <c r="O13" s="202">
        <v>4</v>
      </c>
      <c r="P13" s="202">
        <v>4</v>
      </c>
      <c r="Q13" s="202">
        <v>3</v>
      </c>
      <c r="R13" s="202">
        <v>3.8</v>
      </c>
      <c r="S13" s="202">
        <v>3.9</v>
      </c>
      <c r="T13" s="202">
        <v>4</v>
      </c>
      <c r="U13" s="202">
        <v>3.7032329440000002</v>
      </c>
      <c r="V13" s="202">
        <v>3.6548018</v>
      </c>
      <c r="X13" s="563"/>
      <c r="Y13" s="563"/>
      <c r="Z13" s="563"/>
    </row>
    <row r="14" spans="1:26" ht="15" customHeight="1">
      <c r="A14" s="77"/>
      <c r="B14" s="21" t="s">
        <v>28</v>
      </c>
      <c r="C14" s="216">
        <v>63</v>
      </c>
      <c r="D14" s="216">
        <v>57</v>
      </c>
      <c r="E14" s="202">
        <v>47</v>
      </c>
      <c r="F14" s="202">
        <v>44</v>
      </c>
      <c r="G14" s="202">
        <v>10</v>
      </c>
      <c r="H14" s="202">
        <v>10</v>
      </c>
      <c r="I14" s="202">
        <v>49</v>
      </c>
      <c r="J14" s="202">
        <v>17</v>
      </c>
      <c r="K14" s="202">
        <v>7</v>
      </c>
      <c r="L14" s="202">
        <v>5</v>
      </c>
      <c r="M14" s="163">
        <v>11</v>
      </c>
      <c r="N14" s="163">
        <v>15</v>
      </c>
      <c r="O14" s="163">
        <v>10</v>
      </c>
      <c r="P14" s="163">
        <v>10</v>
      </c>
      <c r="Q14" s="163">
        <v>9</v>
      </c>
      <c r="R14" s="163">
        <v>9.1999999999999993</v>
      </c>
      <c r="S14" s="163">
        <v>9.5</v>
      </c>
      <c r="T14" s="163">
        <v>11</v>
      </c>
      <c r="U14" s="163">
        <v>19.720188445000602</v>
      </c>
      <c r="V14" s="163">
        <v>27.298468390886839</v>
      </c>
      <c r="X14" s="563"/>
      <c r="Y14" s="563"/>
      <c r="Z14" s="563"/>
    </row>
    <row r="15" spans="1:26" ht="15" customHeight="1">
      <c r="A15" s="77"/>
      <c r="B15" s="21" t="s">
        <v>29</v>
      </c>
      <c r="C15" s="216">
        <v>57</v>
      </c>
      <c r="D15" s="216">
        <v>60</v>
      </c>
      <c r="E15" s="202">
        <v>83</v>
      </c>
      <c r="F15" s="202">
        <v>77</v>
      </c>
      <c r="G15" s="202">
        <v>87</v>
      </c>
      <c r="H15" s="202">
        <v>82</v>
      </c>
      <c r="I15" s="202">
        <v>122</v>
      </c>
      <c r="J15" s="202">
        <v>123</v>
      </c>
      <c r="K15" s="202">
        <v>59</v>
      </c>
      <c r="L15" s="202">
        <v>97</v>
      </c>
      <c r="M15" s="163">
        <v>107</v>
      </c>
      <c r="N15" s="163">
        <v>135</v>
      </c>
      <c r="O15" s="163">
        <v>96</v>
      </c>
      <c r="P15" s="163">
        <v>133</v>
      </c>
      <c r="Q15" s="163">
        <v>120</v>
      </c>
      <c r="R15" s="163">
        <v>110</v>
      </c>
      <c r="S15" s="163">
        <v>145.6</v>
      </c>
      <c r="T15" s="163">
        <v>135.5</v>
      </c>
      <c r="U15" s="163">
        <v>123.0931052</v>
      </c>
      <c r="V15" s="163">
        <v>108.8006752</v>
      </c>
      <c r="X15" s="563"/>
      <c r="Y15" s="563"/>
      <c r="Z15" s="563"/>
    </row>
    <row r="16" spans="1:26" ht="15" customHeight="1">
      <c r="A16" s="77"/>
      <c r="B16" s="21" t="s">
        <v>30</v>
      </c>
      <c r="C16" s="216">
        <v>0</v>
      </c>
      <c r="D16" s="216">
        <v>0</v>
      </c>
      <c r="E16" s="202">
        <v>0</v>
      </c>
      <c r="F16" s="202">
        <v>0</v>
      </c>
      <c r="G16" s="202">
        <v>0</v>
      </c>
      <c r="H16" s="202">
        <v>0</v>
      </c>
      <c r="I16" s="202">
        <v>0</v>
      </c>
      <c r="J16" s="202">
        <v>0</v>
      </c>
      <c r="K16" s="202">
        <v>0</v>
      </c>
      <c r="L16" s="202">
        <v>0</v>
      </c>
      <c r="M16" s="202">
        <v>0</v>
      </c>
      <c r="N16" s="202">
        <v>0</v>
      </c>
      <c r="O16" s="202">
        <v>0</v>
      </c>
      <c r="P16" s="202">
        <v>0</v>
      </c>
      <c r="Q16" s="202">
        <v>0</v>
      </c>
      <c r="R16" s="202">
        <v>0</v>
      </c>
      <c r="S16" s="202">
        <v>0</v>
      </c>
      <c r="T16" s="202">
        <v>0</v>
      </c>
      <c r="U16" s="202">
        <v>0</v>
      </c>
      <c r="V16" s="202">
        <v>0</v>
      </c>
      <c r="X16" s="563"/>
      <c r="Y16" s="563"/>
      <c r="Z16" s="563"/>
    </row>
    <row r="17" spans="1:26" ht="15" customHeight="1">
      <c r="A17" s="77"/>
      <c r="B17" s="21" t="s">
        <v>31</v>
      </c>
      <c r="C17" s="216">
        <v>666</v>
      </c>
      <c r="D17" s="216">
        <v>496</v>
      </c>
      <c r="E17" s="202">
        <v>362</v>
      </c>
      <c r="F17" s="202">
        <v>237</v>
      </c>
      <c r="G17" s="202">
        <v>251</v>
      </c>
      <c r="H17" s="202">
        <v>181</v>
      </c>
      <c r="I17" s="202">
        <v>97</v>
      </c>
      <c r="J17" s="202">
        <v>191</v>
      </c>
      <c r="K17" s="202">
        <v>342</v>
      </c>
      <c r="L17" s="202">
        <v>278</v>
      </c>
      <c r="M17" s="163">
        <v>278</v>
      </c>
      <c r="N17" s="163">
        <v>214</v>
      </c>
      <c r="O17" s="163">
        <v>245</v>
      </c>
      <c r="P17" s="163">
        <v>228</v>
      </c>
      <c r="Q17" s="163">
        <v>209</v>
      </c>
      <c r="R17" s="163">
        <v>188.8</v>
      </c>
      <c r="S17" s="163">
        <v>167.6</v>
      </c>
      <c r="T17" s="163">
        <v>137.80000000000001</v>
      </c>
      <c r="U17" s="163">
        <v>130.527776496255</v>
      </c>
      <c r="V17" s="163">
        <v>150.130696</v>
      </c>
      <c r="X17" s="563"/>
      <c r="Y17" s="563"/>
      <c r="Z17" s="563"/>
    </row>
    <row r="18" spans="1:26" ht="15" customHeight="1">
      <c r="A18" s="77"/>
      <c r="B18" s="21" t="s">
        <v>32</v>
      </c>
      <c r="C18" s="216">
        <v>1130</v>
      </c>
      <c r="D18" s="216">
        <v>1204</v>
      </c>
      <c r="E18" s="202">
        <v>1157</v>
      </c>
      <c r="F18" s="202">
        <v>1211</v>
      </c>
      <c r="G18" s="202">
        <v>1162</v>
      </c>
      <c r="H18" s="202">
        <v>1311</v>
      </c>
      <c r="I18" s="202">
        <v>895</v>
      </c>
      <c r="J18" s="202">
        <v>1165</v>
      </c>
      <c r="K18" s="202">
        <v>1071</v>
      </c>
      <c r="L18" s="202">
        <v>724</v>
      </c>
      <c r="M18" s="163">
        <v>778</v>
      </c>
      <c r="N18" s="163">
        <v>600</v>
      </c>
      <c r="O18" s="163">
        <v>659</v>
      </c>
      <c r="P18" s="163">
        <v>691</v>
      </c>
      <c r="Q18" s="163">
        <v>646</v>
      </c>
      <c r="R18" s="163">
        <v>643.5</v>
      </c>
      <c r="S18" s="163">
        <v>685.8</v>
      </c>
      <c r="T18" s="163">
        <v>677.7</v>
      </c>
      <c r="U18" s="163">
        <v>736.45811417999994</v>
      </c>
      <c r="V18" s="163">
        <v>767.86963500000002</v>
      </c>
      <c r="X18" s="563"/>
      <c r="Y18" s="563"/>
      <c r="Z18" s="563"/>
    </row>
    <row r="19" spans="1:26" ht="15" customHeight="1">
      <c r="A19" s="77"/>
      <c r="B19" s="21" t="s">
        <v>33</v>
      </c>
      <c r="C19" s="216">
        <v>943</v>
      </c>
      <c r="D19" s="216">
        <v>971</v>
      </c>
      <c r="E19" s="202">
        <v>730</v>
      </c>
      <c r="F19" s="202">
        <v>872</v>
      </c>
      <c r="G19" s="202">
        <v>1048</v>
      </c>
      <c r="H19" s="202">
        <v>1104</v>
      </c>
      <c r="I19" s="202">
        <v>1097</v>
      </c>
      <c r="J19" s="202">
        <v>1110</v>
      </c>
      <c r="K19" s="202">
        <v>1052</v>
      </c>
      <c r="L19" s="202">
        <v>1154</v>
      </c>
      <c r="M19" s="163">
        <v>1179</v>
      </c>
      <c r="N19" s="163">
        <v>1208</v>
      </c>
      <c r="O19" s="163">
        <v>1260</v>
      </c>
      <c r="P19" s="163">
        <v>1252</v>
      </c>
      <c r="Q19" s="163">
        <v>1306</v>
      </c>
      <c r="R19" s="163">
        <v>1135.4000000000001</v>
      </c>
      <c r="S19" s="163">
        <v>1214.3</v>
      </c>
      <c r="T19" s="163">
        <v>1588.3</v>
      </c>
      <c r="U19" s="163">
        <v>1594.6475832000001</v>
      </c>
      <c r="V19" s="163">
        <v>1588.5212615999992</v>
      </c>
      <c r="X19" s="563"/>
      <c r="Y19" s="563"/>
      <c r="Z19" s="563"/>
    </row>
    <row r="20" spans="1:26" ht="15" customHeight="1">
      <c r="A20" s="77"/>
      <c r="B20" s="21" t="s">
        <v>34</v>
      </c>
      <c r="C20" s="216">
        <v>877</v>
      </c>
      <c r="D20" s="216">
        <v>563</v>
      </c>
      <c r="E20" s="202">
        <v>499</v>
      </c>
      <c r="F20" s="202">
        <v>388</v>
      </c>
      <c r="G20" s="202">
        <v>379</v>
      </c>
      <c r="H20" s="202">
        <v>236</v>
      </c>
      <c r="I20" s="202">
        <v>497</v>
      </c>
      <c r="J20" s="202">
        <v>518</v>
      </c>
      <c r="K20" s="202">
        <v>456</v>
      </c>
      <c r="L20" s="202">
        <v>218</v>
      </c>
      <c r="M20" s="163">
        <v>128</v>
      </c>
      <c r="N20" s="163">
        <v>178</v>
      </c>
      <c r="O20" s="163">
        <v>334</v>
      </c>
      <c r="P20" s="163">
        <v>363</v>
      </c>
      <c r="Q20" s="163">
        <v>280</v>
      </c>
      <c r="R20" s="163">
        <v>235.3</v>
      </c>
      <c r="S20" s="163">
        <v>228.6</v>
      </c>
      <c r="T20" s="163">
        <v>214.3</v>
      </c>
      <c r="U20" s="163">
        <v>197.29185899999999</v>
      </c>
      <c r="V20" s="163">
        <v>186.863</v>
      </c>
      <c r="X20" s="563"/>
      <c r="Y20" s="563"/>
      <c r="Z20" s="563"/>
    </row>
    <row r="21" spans="1:26" ht="15" customHeight="1">
      <c r="A21" s="77"/>
      <c r="B21" s="21" t="s">
        <v>35</v>
      </c>
      <c r="C21" s="216">
        <v>72</v>
      </c>
      <c r="D21" s="216">
        <v>77</v>
      </c>
      <c r="E21" s="202">
        <v>94</v>
      </c>
      <c r="F21" s="202">
        <v>100</v>
      </c>
      <c r="G21" s="202">
        <v>89</v>
      </c>
      <c r="H21" s="202">
        <v>75</v>
      </c>
      <c r="I21" s="202">
        <v>57</v>
      </c>
      <c r="J21" s="202">
        <v>77</v>
      </c>
      <c r="K21" s="202">
        <v>84</v>
      </c>
      <c r="L21" s="202">
        <v>87</v>
      </c>
      <c r="M21" s="163">
        <v>80</v>
      </c>
      <c r="N21" s="163">
        <v>68</v>
      </c>
      <c r="O21" s="163">
        <v>63</v>
      </c>
      <c r="P21" s="163">
        <v>51</v>
      </c>
      <c r="Q21" s="163">
        <v>54</v>
      </c>
      <c r="R21" s="163">
        <v>57.1</v>
      </c>
      <c r="S21" s="163">
        <v>51.6</v>
      </c>
      <c r="T21" s="163">
        <v>46.7</v>
      </c>
      <c r="U21" s="163">
        <v>47.642514999999996</v>
      </c>
      <c r="V21" s="163">
        <v>56.935704999999984</v>
      </c>
      <c r="X21" s="563"/>
      <c r="Y21" s="563"/>
      <c r="Z21" s="563"/>
    </row>
    <row r="22" spans="1:26" ht="15" customHeight="1">
      <c r="A22" s="77"/>
      <c r="B22" s="21" t="s">
        <v>36</v>
      </c>
      <c r="C22" s="216">
        <v>3</v>
      </c>
      <c r="D22" s="216">
        <v>2</v>
      </c>
      <c r="E22" s="202">
        <v>1</v>
      </c>
      <c r="F22" s="202">
        <v>6</v>
      </c>
      <c r="G22" s="202">
        <v>4</v>
      </c>
      <c r="H22" s="202">
        <v>3</v>
      </c>
      <c r="I22" s="202">
        <v>0</v>
      </c>
      <c r="J22" s="202">
        <v>0</v>
      </c>
      <c r="K22" s="202">
        <v>0</v>
      </c>
      <c r="L22" s="202">
        <v>8</v>
      </c>
      <c r="M22" s="163">
        <v>6</v>
      </c>
      <c r="N22" s="163">
        <v>6</v>
      </c>
      <c r="O22" s="163">
        <v>5</v>
      </c>
      <c r="P22" s="163">
        <v>4</v>
      </c>
      <c r="Q22" s="163">
        <v>3</v>
      </c>
      <c r="R22" s="163">
        <v>3.8</v>
      </c>
      <c r="S22" s="163">
        <v>3.7</v>
      </c>
      <c r="T22" s="163">
        <v>3.6</v>
      </c>
      <c r="U22" s="163">
        <v>3.7241310000000003</v>
      </c>
      <c r="V22" s="163">
        <v>4.4977599999999995</v>
      </c>
      <c r="X22" s="563"/>
      <c r="Y22" s="563"/>
      <c r="Z22" s="563"/>
    </row>
    <row r="23" spans="1:26" ht="15" customHeight="1">
      <c r="A23" s="77"/>
      <c r="B23" s="21" t="s">
        <v>37</v>
      </c>
      <c r="C23" s="216">
        <v>0</v>
      </c>
      <c r="D23" s="216">
        <v>0</v>
      </c>
      <c r="E23" s="202">
        <v>0</v>
      </c>
      <c r="F23" s="202">
        <v>0</v>
      </c>
      <c r="G23" s="202">
        <v>0</v>
      </c>
      <c r="H23" s="202">
        <v>0</v>
      </c>
      <c r="I23" s="202">
        <v>0</v>
      </c>
      <c r="J23" s="202">
        <v>0</v>
      </c>
      <c r="K23" s="202">
        <v>0</v>
      </c>
      <c r="L23" s="202">
        <v>0</v>
      </c>
      <c r="M23" s="163">
        <v>0</v>
      </c>
      <c r="N23" s="163">
        <v>0</v>
      </c>
      <c r="O23" s="163">
        <v>0</v>
      </c>
      <c r="P23" s="163">
        <v>0</v>
      </c>
      <c r="Q23" s="163">
        <v>0</v>
      </c>
      <c r="R23" s="163">
        <v>0</v>
      </c>
      <c r="S23" s="163">
        <v>0</v>
      </c>
      <c r="T23" s="163">
        <v>0</v>
      </c>
      <c r="U23" s="163">
        <v>0</v>
      </c>
      <c r="V23" s="163">
        <v>0</v>
      </c>
      <c r="X23" s="563"/>
      <c r="Y23" s="563"/>
      <c r="Z23" s="563"/>
    </row>
    <row r="24" spans="1:26" ht="15" customHeight="1">
      <c r="A24" s="77"/>
      <c r="B24" s="21" t="s">
        <v>38</v>
      </c>
      <c r="C24" s="216">
        <v>439</v>
      </c>
      <c r="D24" s="216">
        <v>380</v>
      </c>
      <c r="E24" s="202">
        <v>443</v>
      </c>
      <c r="F24" s="202">
        <v>385</v>
      </c>
      <c r="G24" s="202">
        <v>425</v>
      </c>
      <c r="H24" s="202">
        <v>401</v>
      </c>
      <c r="I24" s="202">
        <v>440</v>
      </c>
      <c r="J24" s="202">
        <v>429</v>
      </c>
      <c r="K24" s="202">
        <v>469</v>
      </c>
      <c r="L24" s="202">
        <v>342</v>
      </c>
      <c r="M24" s="163">
        <v>290</v>
      </c>
      <c r="N24" s="163">
        <v>262</v>
      </c>
      <c r="O24" s="163">
        <v>329</v>
      </c>
      <c r="P24" s="163">
        <v>257</v>
      </c>
      <c r="Q24" s="163">
        <v>238</v>
      </c>
      <c r="R24" s="163">
        <v>200.2</v>
      </c>
      <c r="S24" s="163">
        <v>197.5</v>
      </c>
      <c r="T24" s="163">
        <v>179.4</v>
      </c>
      <c r="U24" s="163">
        <v>149.87475000000001</v>
      </c>
      <c r="V24" s="163">
        <v>152.16434000000001</v>
      </c>
      <c r="X24" s="563"/>
      <c r="Y24" s="563"/>
      <c r="Z24" s="563"/>
    </row>
    <row r="25" spans="1:26" ht="15" customHeight="1">
      <c r="A25" s="77"/>
      <c r="B25" s="21" t="s">
        <v>39</v>
      </c>
      <c r="C25" s="216">
        <v>197</v>
      </c>
      <c r="D25" s="216">
        <v>221</v>
      </c>
      <c r="E25" s="202">
        <v>254</v>
      </c>
      <c r="F25" s="202">
        <v>191</v>
      </c>
      <c r="G25" s="202">
        <v>150</v>
      </c>
      <c r="H25" s="202">
        <v>147</v>
      </c>
      <c r="I25" s="202">
        <v>280</v>
      </c>
      <c r="J25" s="202">
        <v>330</v>
      </c>
      <c r="K25" s="202">
        <v>352</v>
      </c>
      <c r="L25" s="202">
        <v>322</v>
      </c>
      <c r="M25" s="163">
        <v>304</v>
      </c>
      <c r="N25" s="163">
        <v>219</v>
      </c>
      <c r="O25" s="163">
        <v>177</v>
      </c>
      <c r="P25" s="163">
        <v>164</v>
      </c>
      <c r="Q25" s="163">
        <v>148</v>
      </c>
      <c r="R25" s="163">
        <v>142.4</v>
      </c>
      <c r="S25" s="163">
        <v>132.80000000000001</v>
      </c>
      <c r="T25" s="163">
        <v>126.7</v>
      </c>
      <c r="U25" s="163">
        <v>120.80582199999998</v>
      </c>
      <c r="V25" s="163">
        <v>112.44029999999999</v>
      </c>
      <c r="X25" s="563"/>
      <c r="Y25" s="563"/>
      <c r="Z25" s="563"/>
    </row>
    <row r="26" spans="1:26" ht="15" customHeight="1">
      <c r="A26" s="77"/>
      <c r="B26" s="21" t="s">
        <v>42</v>
      </c>
      <c r="C26" s="216">
        <v>532</v>
      </c>
      <c r="D26" s="216">
        <v>363</v>
      </c>
      <c r="E26" s="202">
        <v>1222</v>
      </c>
      <c r="F26" s="202">
        <v>639</v>
      </c>
      <c r="G26" s="202">
        <v>762</v>
      </c>
      <c r="H26" s="202">
        <v>679</v>
      </c>
      <c r="I26" s="202">
        <v>685</v>
      </c>
      <c r="J26" s="202">
        <v>1070</v>
      </c>
      <c r="K26" s="202">
        <v>805</v>
      </c>
      <c r="L26" s="202">
        <v>768</v>
      </c>
      <c r="M26" s="163">
        <v>748</v>
      </c>
      <c r="N26" s="163">
        <v>735</v>
      </c>
      <c r="O26" s="163">
        <v>723</v>
      </c>
      <c r="P26" s="163">
        <v>676</v>
      </c>
      <c r="Q26" s="163">
        <v>673</v>
      </c>
      <c r="R26" s="163">
        <v>659.4</v>
      </c>
      <c r="S26" s="163">
        <v>744.2</v>
      </c>
      <c r="T26" s="163">
        <v>751.1</v>
      </c>
      <c r="U26" s="163">
        <v>742.78360799999996</v>
      </c>
      <c r="V26" s="163">
        <v>720.89069999999992</v>
      </c>
      <c r="X26" s="563"/>
      <c r="Y26" s="563"/>
      <c r="Z26" s="563"/>
    </row>
    <row r="27" spans="1:26" ht="15" customHeight="1">
      <c r="A27" s="77"/>
      <c r="B27" s="21" t="s">
        <v>43</v>
      </c>
      <c r="C27" s="216">
        <v>4940</v>
      </c>
      <c r="D27" s="216">
        <v>4942</v>
      </c>
      <c r="E27" s="202">
        <v>4960</v>
      </c>
      <c r="F27" s="202">
        <v>4940</v>
      </c>
      <c r="G27" s="202">
        <v>4978</v>
      </c>
      <c r="H27" s="202">
        <v>5007</v>
      </c>
      <c r="I27" s="202">
        <v>5038</v>
      </c>
      <c r="J27" s="202">
        <v>4970</v>
      </c>
      <c r="K27" s="202">
        <v>4668</v>
      </c>
      <c r="L27" s="202">
        <v>4989</v>
      </c>
      <c r="M27" s="163">
        <v>4077</v>
      </c>
      <c r="N27" s="163">
        <v>4750</v>
      </c>
      <c r="O27" s="163">
        <v>3035</v>
      </c>
      <c r="P27" s="163">
        <v>3068</v>
      </c>
      <c r="Q27" s="163">
        <v>3016</v>
      </c>
      <c r="R27" s="163">
        <v>3035.7</v>
      </c>
      <c r="S27" s="163">
        <v>3065</v>
      </c>
      <c r="T27" s="163">
        <v>3070.5</v>
      </c>
      <c r="U27" s="163">
        <v>3096.8629999999994</v>
      </c>
      <c r="V27" s="163">
        <v>3112.0195999999996</v>
      </c>
      <c r="X27" s="563"/>
      <c r="Y27" s="563"/>
      <c r="Z27" s="563"/>
    </row>
    <row r="28" spans="1:26" ht="15" customHeight="1">
      <c r="A28" s="77"/>
      <c r="B28" s="76" t="s">
        <v>44</v>
      </c>
      <c r="C28" s="216">
        <v>0</v>
      </c>
      <c r="D28" s="216">
        <v>0</v>
      </c>
      <c r="E28" s="202">
        <v>0</v>
      </c>
      <c r="F28" s="202">
        <v>0</v>
      </c>
      <c r="G28" s="202">
        <v>0</v>
      </c>
      <c r="H28" s="202">
        <v>0</v>
      </c>
      <c r="I28" s="202">
        <v>0</v>
      </c>
      <c r="J28" s="202">
        <v>0</v>
      </c>
      <c r="K28" s="202">
        <v>0</v>
      </c>
      <c r="L28" s="202">
        <v>0</v>
      </c>
      <c r="M28" s="163">
        <v>0</v>
      </c>
      <c r="N28" s="163">
        <v>0</v>
      </c>
      <c r="O28" s="163">
        <v>0</v>
      </c>
      <c r="P28" s="163">
        <v>0</v>
      </c>
      <c r="Q28" s="163">
        <v>0</v>
      </c>
      <c r="R28" s="163">
        <v>0</v>
      </c>
      <c r="S28" s="163">
        <v>0</v>
      </c>
      <c r="T28" s="163">
        <v>0</v>
      </c>
      <c r="U28" s="163">
        <v>0</v>
      </c>
      <c r="V28" s="163">
        <v>0</v>
      </c>
      <c r="X28" s="84"/>
    </row>
    <row r="29" spans="1:26" ht="15" customHeight="1">
      <c r="A29" s="77"/>
      <c r="B29" s="21" t="s">
        <v>45</v>
      </c>
      <c r="C29" s="216">
        <v>0</v>
      </c>
      <c r="D29" s="216">
        <v>0</v>
      </c>
      <c r="E29" s="202">
        <v>0</v>
      </c>
      <c r="F29" s="202">
        <v>0</v>
      </c>
      <c r="G29" s="202">
        <v>0</v>
      </c>
      <c r="H29" s="202">
        <v>0</v>
      </c>
      <c r="I29" s="202">
        <v>0</v>
      </c>
      <c r="J29" s="202">
        <v>0</v>
      </c>
      <c r="K29" s="202">
        <v>0</v>
      </c>
      <c r="L29" s="202">
        <v>0</v>
      </c>
      <c r="M29" s="163">
        <v>0</v>
      </c>
      <c r="N29" s="163">
        <v>0</v>
      </c>
      <c r="O29" s="163">
        <v>0</v>
      </c>
      <c r="P29" s="163">
        <v>0</v>
      </c>
      <c r="Q29" s="163">
        <v>0</v>
      </c>
      <c r="R29" s="163">
        <v>0</v>
      </c>
      <c r="S29" s="163">
        <v>0</v>
      </c>
      <c r="T29" s="163">
        <v>0</v>
      </c>
      <c r="U29" s="163">
        <v>0</v>
      </c>
      <c r="V29" s="163">
        <v>0</v>
      </c>
      <c r="X29" s="84"/>
    </row>
    <row r="30" spans="1:26" ht="15" customHeight="1">
      <c r="A30" s="77"/>
      <c r="B30" s="21" t="s">
        <v>46</v>
      </c>
      <c r="C30" s="216">
        <v>0</v>
      </c>
      <c r="D30" s="216">
        <v>0</v>
      </c>
      <c r="E30" s="202">
        <v>0</v>
      </c>
      <c r="F30" s="202">
        <v>0</v>
      </c>
      <c r="G30" s="202">
        <v>0</v>
      </c>
      <c r="H30" s="202">
        <v>0</v>
      </c>
      <c r="I30" s="202">
        <v>0</v>
      </c>
      <c r="J30" s="202">
        <v>0</v>
      </c>
      <c r="K30" s="202">
        <v>0</v>
      </c>
      <c r="L30" s="202">
        <v>0</v>
      </c>
      <c r="M30" s="163">
        <v>0</v>
      </c>
      <c r="N30" s="163">
        <v>0</v>
      </c>
      <c r="O30" s="163">
        <v>0</v>
      </c>
      <c r="P30" s="163">
        <v>0</v>
      </c>
      <c r="Q30" s="163">
        <v>0</v>
      </c>
      <c r="R30" s="163">
        <v>0</v>
      </c>
      <c r="S30" s="163">
        <v>0</v>
      </c>
      <c r="T30" s="163">
        <v>0</v>
      </c>
      <c r="U30" s="163">
        <v>0</v>
      </c>
      <c r="V30" s="163">
        <v>0</v>
      </c>
      <c r="X30" s="84"/>
    </row>
    <row r="31" spans="1:26" ht="15" customHeight="1" thickBot="1">
      <c r="A31" s="82"/>
      <c r="B31" s="434" t="s">
        <v>47</v>
      </c>
      <c r="C31" s="442">
        <v>0</v>
      </c>
      <c r="D31" s="442">
        <v>0</v>
      </c>
      <c r="E31" s="438">
        <v>0</v>
      </c>
      <c r="F31" s="438">
        <v>0</v>
      </c>
      <c r="G31" s="438">
        <v>0</v>
      </c>
      <c r="H31" s="438">
        <v>0</v>
      </c>
      <c r="I31" s="438">
        <v>0</v>
      </c>
      <c r="J31" s="438">
        <v>0</v>
      </c>
      <c r="K31" s="438">
        <v>0</v>
      </c>
      <c r="L31" s="438">
        <v>0</v>
      </c>
      <c r="M31" s="441">
        <v>0</v>
      </c>
      <c r="N31" s="441">
        <v>0</v>
      </c>
      <c r="O31" s="441">
        <v>0</v>
      </c>
      <c r="P31" s="441">
        <v>0</v>
      </c>
      <c r="Q31" s="441">
        <v>0</v>
      </c>
      <c r="R31" s="441">
        <v>0</v>
      </c>
      <c r="S31" s="441">
        <v>0</v>
      </c>
      <c r="T31" s="441">
        <v>0</v>
      </c>
      <c r="U31" s="441">
        <v>0</v>
      </c>
      <c r="V31" s="441">
        <v>0</v>
      </c>
      <c r="X31" s="84"/>
    </row>
    <row r="32" spans="1:26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2">
    <tabColor theme="9" tint="0.59999389629810485"/>
  </sheetPr>
  <dimension ref="A2:V36"/>
  <sheetViews>
    <sheetView showGridLines="0" zoomScaleNormal="100" workbookViewId="0">
      <selection activeCell="S8" sqref="S8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796875" style="76" customWidth="1"/>
    <col min="24" max="16384" width="7" style="76"/>
  </cols>
  <sheetData>
    <row r="2" spans="1:22" ht="13.25" customHeight="1">
      <c r="A2" s="210" t="s">
        <v>498</v>
      </c>
      <c r="B2" s="211"/>
    </row>
    <row r="3" spans="1:22" ht="13.25" customHeight="1">
      <c r="A3" s="212" t="s">
        <v>342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2" ht="18" customHeight="1">
      <c r="A6" s="1020" t="s">
        <v>100</v>
      </c>
      <c r="B6" s="1020"/>
      <c r="C6" s="631">
        <v>3.77</v>
      </c>
      <c r="D6" s="631">
        <v>3.79</v>
      </c>
      <c r="E6" s="631">
        <v>4.33</v>
      </c>
      <c r="F6" s="631">
        <v>4.59</v>
      </c>
      <c r="G6" s="631">
        <v>4.03</v>
      </c>
      <c r="H6" s="631">
        <v>4.4800000000000004</v>
      </c>
      <c r="I6" s="631">
        <v>4.88</v>
      </c>
      <c r="J6" s="631">
        <v>5.16</v>
      </c>
      <c r="K6" s="631">
        <v>5.62</v>
      </c>
      <c r="L6" s="631">
        <v>5.51</v>
      </c>
      <c r="M6" s="631">
        <v>5.45</v>
      </c>
      <c r="N6" s="631">
        <v>5.84</v>
      </c>
      <c r="O6" s="631">
        <v>6.18</v>
      </c>
      <c r="P6" s="631">
        <v>6.45</v>
      </c>
      <c r="Q6" s="631">
        <v>6.94</v>
      </c>
      <c r="R6" s="631">
        <v>6.68</v>
      </c>
      <c r="S6" s="631">
        <v>6.86</v>
      </c>
      <c r="T6" s="631">
        <v>6.9</v>
      </c>
      <c r="U6" s="631">
        <v>6.8432182600881841</v>
      </c>
      <c r="V6" s="631">
        <v>6.885016857383178</v>
      </c>
    </row>
    <row r="7" spans="1:22" ht="3" customHeight="1">
      <c r="A7" s="77"/>
      <c r="B7" s="78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</row>
    <row r="8" spans="1:22" ht="15" customHeight="1">
      <c r="A8" s="77"/>
      <c r="B8" s="21" t="s">
        <v>19</v>
      </c>
      <c r="C8" s="218" t="s">
        <v>73</v>
      </c>
      <c r="D8" s="218" t="s">
        <v>73</v>
      </c>
      <c r="E8" s="218" t="s">
        <v>73</v>
      </c>
      <c r="F8" s="218" t="s">
        <v>73</v>
      </c>
      <c r="G8" s="218" t="s">
        <v>73</v>
      </c>
      <c r="H8" s="218" t="s">
        <v>73</v>
      </c>
      <c r="I8" s="218" t="s">
        <v>73</v>
      </c>
      <c r="J8" s="218" t="s">
        <v>73</v>
      </c>
      <c r="K8" s="218" t="s">
        <v>73</v>
      </c>
      <c r="L8" s="218" t="s">
        <v>73</v>
      </c>
      <c r="M8" s="218" t="s">
        <v>73</v>
      </c>
      <c r="N8" s="218" t="s">
        <v>73</v>
      </c>
      <c r="O8" s="218" t="s">
        <v>73</v>
      </c>
      <c r="P8" s="218" t="s">
        <v>73</v>
      </c>
      <c r="Q8" s="218" t="s">
        <v>73</v>
      </c>
      <c r="R8" s="218" t="s">
        <v>73</v>
      </c>
      <c r="S8" s="218" t="s">
        <v>73</v>
      </c>
      <c r="T8" s="218" t="s">
        <v>73</v>
      </c>
      <c r="U8" s="218" t="s">
        <v>73</v>
      </c>
      <c r="V8" s="218" t="s">
        <v>73</v>
      </c>
    </row>
    <row r="9" spans="1:22" ht="15" customHeight="1">
      <c r="A9" s="77"/>
      <c r="B9" s="21" t="s">
        <v>20</v>
      </c>
      <c r="C9" s="218" t="s">
        <v>73</v>
      </c>
      <c r="D9" s="218" t="s">
        <v>73</v>
      </c>
      <c r="E9" s="218" t="s">
        <v>73</v>
      </c>
      <c r="F9" s="218" t="s">
        <v>73</v>
      </c>
      <c r="G9" s="218" t="s">
        <v>73</v>
      </c>
      <c r="H9" s="218">
        <v>5.34</v>
      </c>
      <c r="I9" s="218">
        <v>5.62</v>
      </c>
      <c r="J9" s="218">
        <v>6.37</v>
      </c>
      <c r="K9" s="218">
        <v>7.28</v>
      </c>
      <c r="L9" s="218">
        <v>6.23</v>
      </c>
      <c r="M9" s="218">
        <v>6.79</v>
      </c>
      <c r="N9" s="218">
        <v>6.83</v>
      </c>
      <c r="O9" s="218">
        <v>7.45</v>
      </c>
      <c r="P9" s="218">
        <v>7.27</v>
      </c>
      <c r="Q9" s="218">
        <v>7.36</v>
      </c>
      <c r="R9" s="218">
        <v>6.95</v>
      </c>
      <c r="S9" s="218">
        <v>6.93</v>
      </c>
      <c r="T9" s="218">
        <v>6.99</v>
      </c>
      <c r="U9" s="218">
        <v>3.4739798416263508</v>
      </c>
      <c r="V9" s="218">
        <v>7.0327603266329302</v>
      </c>
    </row>
    <row r="10" spans="1:22" ht="15" customHeight="1">
      <c r="A10" s="77"/>
      <c r="B10" s="21" t="s">
        <v>21</v>
      </c>
      <c r="C10" s="218" t="s">
        <v>73</v>
      </c>
      <c r="D10" s="218" t="s">
        <v>73</v>
      </c>
      <c r="E10" s="218" t="s">
        <v>73</v>
      </c>
      <c r="F10" s="218" t="s">
        <v>73</v>
      </c>
      <c r="G10" s="218" t="s">
        <v>73</v>
      </c>
      <c r="H10" s="218" t="s">
        <v>73</v>
      </c>
      <c r="I10" s="218" t="s">
        <v>73</v>
      </c>
      <c r="J10" s="218" t="s">
        <v>73</v>
      </c>
      <c r="K10" s="218" t="s">
        <v>73</v>
      </c>
      <c r="L10" s="218" t="s">
        <v>73</v>
      </c>
      <c r="M10" s="218" t="s">
        <v>73</v>
      </c>
      <c r="N10" s="218" t="s">
        <v>73</v>
      </c>
      <c r="O10" s="218" t="s">
        <v>73</v>
      </c>
      <c r="P10" s="218" t="s">
        <v>73</v>
      </c>
      <c r="Q10" s="218" t="s">
        <v>73</v>
      </c>
      <c r="R10" s="218" t="s">
        <v>73</v>
      </c>
      <c r="S10" s="218" t="s">
        <v>73</v>
      </c>
      <c r="T10" s="218" t="s">
        <v>73</v>
      </c>
      <c r="U10" s="218" t="s">
        <v>73</v>
      </c>
      <c r="V10" s="218" t="s">
        <v>73</v>
      </c>
    </row>
    <row r="11" spans="1:22" ht="15" customHeight="1">
      <c r="A11" s="77"/>
      <c r="B11" s="21" t="s">
        <v>22</v>
      </c>
      <c r="C11" s="218">
        <v>7.35</v>
      </c>
      <c r="D11" s="218">
        <v>5.3</v>
      </c>
      <c r="E11" s="218">
        <v>5.08</v>
      </c>
      <c r="F11" s="218">
        <v>6.45</v>
      </c>
      <c r="G11" s="218">
        <v>4.7</v>
      </c>
      <c r="H11" s="218">
        <v>4.9000000000000004</v>
      </c>
      <c r="I11" s="218">
        <v>7.5</v>
      </c>
      <c r="J11" s="218">
        <v>7.31</v>
      </c>
      <c r="K11" s="218">
        <v>7.63</v>
      </c>
      <c r="L11" s="218">
        <v>7.63</v>
      </c>
      <c r="M11" s="218">
        <v>7.41</v>
      </c>
      <c r="N11" s="218">
        <v>7.42</v>
      </c>
      <c r="O11" s="218">
        <v>7.42</v>
      </c>
      <c r="P11" s="218">
        <v>7.29</v>
      </c>
      <c r="Q11" s="218">
        <v>7.28</v>
      </c>
      <c r="R11" s="218">
        <v>7.67</v>
      </c>
      <c r="S11" s="218">
        <v>7.72</v>
      </c>
      <c r="T11" s="218">
        <v>7.7</v>
      </c>
      <c r="U11" s="218">
        <v>6.9864582008270135</v>
      </c>
      <c r="V11" s="218">
        <v>7.0082647830220699</v>
      </c>
    </row>
    <row r="12" spans="1:22" ht="15" customHeight="1">
      <c r="A12" s="77"/>
      <c r="B12" s="21" t="s">
        <v>23</v>
      </c>
      <c r="C12" s="218">
        <v>4.9800000000000004</v>
      </c>
      <c r="D12" s="218">
        <v>5.83</v>
      </c>
      <c r="E12" s="218">
        <v>7.02</v>
      </c>
      <c r="F12" s="218">
        <v>6.07</v>
      </c>
      <c r="G12" s="218">
        <v>6.07</v>
      </c>
      <c r="H12" s="218">
        <v>5.54</v>
      </c>
      <c r="I12" s="218">
        <v>6.22</v>
      </c>
      <c r="J12" s="218">
        <v>4.0599999999999996</v>
      </c>
      <c r="K12" s="218">
        <v>6.92</v>
      </c>
      <c r="L12" s="218">
        <v>7.48</v>
      </c>
      <c r="M12" s="218">
        <v>6.89</v>
      </c>
      <c r="N12" s="218">
        <v>6.79</v>
      </c>
      <c r="O12" s="218">
        <v>7.02</v>
      </c>
      <c r="P12" s="218">
        <v>7.25</v>
      </c>
      <c r="Q12" s="218">
        <v>7.4</v>
      </c>
      <c r="R12" s="218">
        <v>7.08</v>
      </c>
      <c r="S12" s="218">
        <v>7.03</v>
      </c>
      <c r="T12" s="218">
        <v>7.02</v>
      </c>
      <c r="U12" s="218">
        <v>6.9565725358796335</v>
      </c>
      <c r="V12" s="218">
        <v>6.8414181324385206</v>
      </c>
    </row>
    <row r="13" spans="1:22" ht="15" customHeight="1">
      <c r="A13" s="77"/>
      <c r="B13" s="21" t="s">
        <v>27</v>
      </c>
      <c r="C13" s="218">
        <v>4.8499999999999996</v>
      </c>
      <c r="D13" s="218">
        <v>3.31</v>
      </c>
      <c r="E13" s="218">
        <v>8.5299999999999994</v>
      </c>
      <c r="F13" s="218">
        <v>4.45</v>
      </c>
      <c r="G13" s="218">
        <v>6.56</v>
      </c>
      <c r="H13" s="218">
        <v>5.14</v>
      </c>
      <c r="I13" s="218">
        <v>6.66</v>
      </c>
      <c r="J13" s="218">
        <v>6.69</v>
      </c>
      <c r="K13" s="218">
        <v>6.48</v>
      </c>
      <c r="L13" s="218">
        <v>7.01</v>
      </c>
      <c r="M13" s="218">
        <v>6.77</v>
      </c>
      <c r="N13" s="218">
        <v>6.26</v>
      </c>
      <c r="O13" s="218">
        <v>6.88</v>
      </c>
      <c r="P13" s="218">
        <v>7.38</v>
      </c>
      <c r="Q13" s="218">
        <v>7.35</v>
      </c>
      <c r="R13" s="218">
        <v>5.95</v>
      </c>
      <c r="S13" s="218">
        <v>7.3</v>
      </c>
      <c r="T13" s="218">
        <v>6.94</v>
      </c>
      <c r="U13" s="218">
        <v>6.9701295745170428</v>
      </c>
      <c r="V13" s="218">
        <v>7.1300231051071483</v>
      </c>
    </row>
    <row r="14" spans="1:22" ht="15" customHeight="1">
      <c r="A14" s="77"/>
      <c r="B14" s="21" t="s">
        <v>28</v>
      </c>
      <c r="C14" s="218">
        <v>3.31</v>
      </c>
      <c r="D14" s="218">
        <v>3.39</v>
      </c>
      <c r="E14" s="218">
        <v>3.64</v>
      </c>
      <c r="F14" s="218">
        <v>4.6500000000000004</v>
      </c>
      <c r="G14" s="218">
        <v>4.54</v>
      </c>
      <c r="H14" s="218">
        <v>5.66</v>
      </c>
      <c r="I14" s="218">
        <v>7.01</v>
      </c>
      <c r="J14" s="218">
        <v>6.12</v>
      </c>
      <c r="K14" s="218">
        <v>6.66</v>
      </c>
      <c r="L14" s="218">
        <v>6.79</v>
      </c>
      <c r="M14" s="218">
        <v>6.74</v>
      </c>
      <c r="N14" s="218">
        <v>6.48</v>
      </c>
      <c r="O14" s="218">
        <v>6.3</v>
      </c>
      <c r="P14" s="218">
        <v>6.3</v>
      </c>
      <c r="Q14" s="218">
        <v>7.32</v>
      </c>
      <c r="R14" s="218">
        <v>7.51</v>
      </c>
      <c r="S14" s="218">
        <v>7.45</v>
      </c>
      <c r="T14" s="218">
        <v>7.46</v>
      </c>
      <c r="U14" s="218">
        <v>7.0706860444623691</v>
      </c>
      <c r="V14" s="218">
        <v>7.1011101310319056</v>
      </c>
    </row>
    <row r="15" spans="1:22" ht="15" customHeight="1">
      <c r="A15" s="77"/>
      <c r="B15" s="21" t="s">
        <v>29</v>
      </c>
      <c r="C15" s="218">
        <v>3.3</v>
      </c>
      <c r="D15" s="218">
        <v>3.28</v>
      </c>
      <c r="E15" s="218">
        <v>3.81</v>
      </c>
      <c r="F15" s="218">
        <v>4.1100000000000003</v>
      </c>
      <c r="G15" s="218">
        <v>4.54</v>
      </c>
      <c r="H15" s="218">
        <v>3.88</v>
      </c>
      <c r="I15" s="218">
        <v>5.66</v>
      </c>
      <c r="J15" s="218">
        <v>5.83</v>
      </c>
      <c r="K15" s="218">
        <v>6.79</v>
      </c>
      <c r="L15" s="218">
        <v>5.56</v>
      </c>
      <c r="M15" s="218">
        <v>7.06</v>
      </c>
      <c r="N15" s="218">
        <v>7.23</v>
      </c>
      <c r="O15" s="218">
        <v>6.84</v>
      </c>
      <c r="P15" s="218">
        <v>7.52</v>
      </c>
      <c r="Q15" s="218">
        <v>7.41</v>
      </c>
      <c r="R15" s="218">
        <v>7.26</v>
      </c>
      <c r="S15" s="218">
        <v>6.97</v>
      </c>
      <c r="T15" s="218">
        <v>7.48</v>
      </c>
      <c r="U15" s="218">
        <v>7.5489753723359732</v>
      </c>
      <c r="V15" s="218">
        <v>7.2467937700111085</v>
      </c>
    </row>
    <row r="16" spans="1:22" ht="15" customHeight="1">
      <c r="A16" s="77"/>
      <c r="B16" s="21" t="s">
        <v>30</v>
      </c>
      <c r="C16" s="218" t="s">
        <v>73</v>
      </c>
      <c r="D16" s="218" t="s">
        <v>73</v>
      </c>
      <c r="E16" s="218" t="s">
        <v>73</v>
      </c>
      <c r="F16" s="218" t="s">
        <v>73</v>
      </c>
      <c r="G16" s="218" t="s">
        <v>73</v>
      </c>
      <c r="H16" s="218" t="s">
        <v>73</v>
      </c>
      <c r="I16" s="218" t="s">
        <v>73</v>
      </c>
      <c r="J16" s="218" t="s">
        <v>73</v>
      </c>
      <c r="K16" s="218" t="s">
        <v>73</v>
      </c>
      <c r="L16" s="218" t="s">
        <v>73</v>
      </c>
      <c r="M16" s="218" t="s">
        <v>73</v>
      </c>
      <c r="N16" s="218" t="s">
        <v>73</v>
      </c>
      <c r="O16" s="218" t="s">
        <v>73</v>
      </c>
      <c r="P16" s="218" t="s">
        <v>73</v>
      </c>
      <c r="Q16" s="218" t="s">
        <v>73</v>
      </c>
      <c r="R16" s="218" t="s">
        <v>73</v>
      </c>
      <c r="S16" s="218" t="s">
        <v>73</v>
      </c>
      <c r="T16" s="218" t="s">
        <v>73</v>
      </c>
      <c r="U16" s="218" t="s">
        <v>73</v>
      </c>
      <c r="V16" s="218" t="s">
        <v>73</v>
      </c>
    </row>
    <row r="17" spans="1:22" ht="15" customHeight="1">
      <c r="A17" s="77"/>
      <c r="B17" s="21" t="s">
        <v>31</v>
      </c>
      <c r="C17" s="218">
        <v>3.53</v>
      </c>
      <c r="D17" s="218">
        <v>3.44</v>
      </c>
      <c r="E17" s="218">
        <v>3.55</v>
      </c>
      <c r="F17" s="218">
        <v>3.58</v>
      </c>
      <c r="G17" s="218">
        <v>3.77</v>
      </c>
      <c r="H17" s="218">
        <v>4.3899999999999997</v>
      </c>
      <c r="I17" s="218">
        <v>4.76</v>
      </c>
      <c r="J17" s="218">
        <v>4.97</v>
      </c>
      <c r="K17" s="218">
        <v>6.32</v>
      </c>
      <c r="L17" s="218">
        <v>5.23</v>
      </c>
      <c r="M17" s="218">
        <v>5.87</v>
      </c>
      <c r="N17" s="218">
        <v>6.52</v>
      </c>
      <c r="O17" s="218">
        <v>6.71</v>
      </c>
      <c r="P17" s="218">
        <v>6.66</v>
      </c>
      <c r="Q17" s="218">
        <v>7.03</v>
      </c>
      <c r="R17" s="218">
        <v>7.07</v>
      </c>
      <c r="S17" s="218">
        <v>7.27</v>
      </c>
      <c r="T17" s="218">
        <v>7.2</v>
      </c>
      <c r="U17" s="218">
        <v>7.0717900897623869</v>
      </c>
      <c r="V17" s="218">
        <v>6.8904120208133772</v>
      </c>
    </row>
    <row r="18" spans="1:22" ht="15" customHeight="1">
      <c r="A18" s="77"/>
      <c r="B18" s="21" t="s">
        <v>32</v>
      </c>
      <c r="C18" s="218">
        <v>3.94</v>
      </c>
      <c r="D18" s="218">
        <v>3.3</v>
      </c>
      <c r="E18" s="218">
        <v>3.33</v>
      </c>
      <c r="F18" s="218">
        <v>3.55</v>
      </c>
      <c r="G18" s="218">
        <v>3.61</v>
      </c>
      <c r="H18" s="218">
        <v>4.17</v>
      </c>
      <c r="I18" s="218">
        <v>4.4800000000000004</v>
      </c>
      <c r="J18" s="218">
        <v>4.78</v>
      </c>
      <c r="K18" s="218">
        <v>5</v>
      </c>
      <c r="L18" s="218">
        <v>5.46</v>
      </c>
      <c r="M18" s="218">
        <v>5.62</v>
      </c>
      <c r="N18" s="218">
        <v>6.31</v>
      </c>
      <c r="O18" s="218">
        <v>6.08</v>
      </c>
      <c r="P18" s="218">
        <v>6.17</v>
      </c>
      <c r="Q18" s="218">
        <v>6.82</v>
      </c>
      <c r="R18" s="218">
        <v>7.03</v>
      </c>
      <c r="S18" s="218">
        <v>6.96</v>
      </c>
      <c r="T18" s="218">
        <v>6.91</v>
      </c>
      <c r="U18" s="218">
        <v>7.0918615450799383</v>
      </c>
      <c r="V18" s="218">
        <v>7.1033414456566337</v>
      </c>
    </row>
    <row r="19" spans="1:22" ht="15" customHeight="1">
      <c r="A19" s="77"/>
      <c r="B19" s="21" t="s">
        <v>33</v>
      </c>
      <c r="C19" s="218">
        <v>1.51</v>
      </c>
      <c r="D19" s="218">
        <v>2.0099999999999998</v>
      </c>
      <c r="E19" s="218">
        <v>2.7</v>
      </c>
      <c r="F19" s="218">
        <v>3.63</v>
      </c>
      <c r="G19" s="218">
        <v>4.78</v>
      </c>
      <c r="H19" s="218">
        <v>5.8</v>
      </c>
      <c r="I19" s="218">
        <v>4.88</v>
      </c>
      <c r="J19" s="218">
        <v>3.45</v>
      </c>
      <c r="K19" s="218">
        <v>5.1100000000000003</v>
      </c>
      <c r="L19" s="218">
        <v>4.74</v>
      </c>
      <c r="M19" s="218">
        <v>5.63</v>
      </c>
      <c r="N19" s="218">
        <v>5.77</v>
      </c>
      <c r="O19" s="218">
        <v>5.54</v>
      </c>
      <c r="P19" s="218">
        <v>6.05</v>
      </c>
      <c r="Q19" s="218">
        <v>6.91</v>
      </c>
      <c r="R19" s="218">
        <v>7.17</v>
      </c>
      <c r="S19" s="218">
        <v>7.09</v>
      </c>
      <c r="T19" s="218">
        <v>7.13</v>
      </c>
      <c r="U19" s="218">
        <v>7.1762111516390119</v>
      </c>
      <c r="V19" s="218">
        <v>7.164360645940226</v>
      </c>
    </row>
    <row r="20" spans="1:22" ht="15" customHeight="1">
      <c r="A20" s="77"/>
      <c r="B20" s="21" t="s">
        <v>34</v>
      </c>
      <c r="C20" s="218">
        <v>1.7</v>
      </c>
      <c r="D20" s="218">
        <v>2.2200000000000002</v>
      </c>
      <c r="E20" s="218">
        <v>2.67</v>
      </c>
      <c r="F20" s="218">
        <v>3.58</v>
      </c>
      <c r="G20" s="218">
        <v>5.54</v>
      </c>
      <c r="H20" s="218">
        <v>5.52</v>
      </c>
      <c r="I20" s="218">
        <v>3.43</v>
      </c>
      <c r="J20" s="218">
        <v>3.6</v>
      </c>
      <c r="K20" s="218">
        <v>5.03</v>
      </c>
      <c r="L20" s="218">
        <v>4.8</v>
      </c>
      <c r="M20" s="218">
        <v>5.47</v>
      </c>
      <c r="N20" s="218">
        <v>6.33</v>
      </c>
      <c r="O20" s="218">
        <v>5.83</v>
      </c>
      <c r="P20" s="218">
        <v>5.84</v>
      </c>
      <c r="Q20" s="218">
        <v>6.86</v>
      </c>
      <c r="R20" s="218">
        <v>6.74</v>
      </c>
      <c r="S20" s="218">
        <v>6.86</v>
      </c>
      <c r="T20" s="218">
        <v>7.07</v>
      </c>
      <c r="U20" s="218">
        <v>7.0905956209730325</v>
      </c>
      <c r="V20" s="218">
        <v>7.1227805702325462</v>
      </c>
    </row>
    <row r="21" spans="1:22" ht="15" customHeight="1">
      <c r="A21" s="77"/>
      <c r="B21" s="21" t="s">
        <v>35</v>
      </c>
      <c r="C21" s="218">
        <v>2.25</v>
      </c>
      <c r="D21" s="218">
        <v>2.35</v>
      </c>
      <c r="E21" s="218">
        <v>2.72</v>
      </c>
      <c r="F21" s="218">
        <v>2.5</v>
      </c>
      <c r="G21" s="218">
        <v>2.93</v>
      </c>
      <c r="H21" s="218">
        <v>3.88</v>
      </c>
      <c r="I21" s="218">
        <v>4.55</v>
      </c>
      <c r="J21" s="218">
        <v>5.35</v>
      </c>
      <c r="K21" s="218">
        <v>5.0599999999999996</v>
      </c>
      <c r="L21" s="218">
        <v>5.04</v>
      </c>
      <c r="M21" s="218">
        <v>5.92</v>
      </c>
      <c r="N21" s="218">
        <v>6.13</v>
      </c>
      <c r="O21" s="218">
        <v>4.76</v>
      </c>
      <c r="P21" s="218">
        <v>6.19</v>
      </c>
      <c r="Q21" s="218">
        <v>6.96</v>
      </c>
      <c r="R21" s="218">
        <v>7.21</v>
      </c>
      <c r="S21" s="218">
        <v>7.12</v>
      </c>
      <c r="T21" s="218">
        <v>7.19</v>
      </c>
      <c r="U21" s="218">
        <v>5.4341363690985078</v>
      </c>
      <c r="V21" s="218">
        <v>7.5150234276119878</v>
      </c>
    </row>
    <row r="22" spans="1:22" ht="15" customHeight="1">
      <c r="A22" s="77"/>
      <c r="B22" s="21" t="s">
        <v>36</v>
      </c>
      <c r="C22" s="218">
        <v>2.4900000000000002</v>
      </c>
      <c r="D22" s="218">
        <v>3.27</v>
      </c>
      <c r="E22" s="218">
        <v>3.12</v>
      </c>
      <c r="F22" s="218">
        <v>2.21</v>
      </c>
      <c r="G22" s="218">
        <v>3.37</v>
      </c>
      <c r="H22" s="218">
        <v>3.89</v>
      </c>
      <c r="I22" s="218">
        <v>5.7</v>
      </c>
      <c r="J22" s="218">
        <v>0</v>
      </c>
      <c r="K22" s="218">
        <v>5.73</v>
      </c>
      <c r="L22" s="218">
        <v>5.29</v>
      </c>
      <c r="M22" s="218">
        <v>6.22</v>
      </c>
      <c r="N22" s="218">
        <v>6.49</v>
      </c>
      <c r="O22" s="218">
        <v>6.43</v>
      </c>
      <c r="P22" s="218">
        <v>6.16</v>
      </c>
      <c r="Q22" s="218">
        <v>7.38</v>
      </c>
      <c r="R22" s="218">
        <v>6.05</v>
      </c>
      <c r="S22" s="218">
        <v>6.99</v>
      </c>
      <c r="T22" s="218">
        <v>6.96</v>
      </c>
      <c r="U22" s="218">
        <v>7.418706093950739</v>
      </c>
      <c r="V22" s="218">
        <v>7.5866539462802907</v>
      </c>
    </row>
    <row r="23" spans="1:22" ht="15" customHeight="1">
      <c r="A23" s="77"/>
      <c r="B23" s="21" t="s">
        <v>37</v>
      </c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 t="s">
        <v>73</v>
      </c>
      <c r="P23" s="218" t="s">
        <v>73</v>
      </c>
      <c r="Q23" s="218" t="s">
        <v>73</v>
      </c>
      <c r="R23" s="218" t="s">
        <v>73</v>
      </c>
      <c r="S23" s="218" t="s">
        <v>73</v>
      </c>
      <c r="T23" s="218" t="s">
        <v>73</v>
      </c>
      <c r="U23" s="218" t="s">
        <v>73</v>
      </c>
      <c r="V23" s="218">
        <v>0</v>
      </c>
    </row>
    <row r="24" spans="1:22" ht="15" customHeight="1">
      <c r="A24" s="77"/>
      <c r="B24" s="21" t="s">
        <v>38</v>
      </c>
      <c r="C24" s="218">
        <v>4.28</v>
      </c>
      <c r="D24" s="218">
        <v>4.08</v>
      </c>
      <c r="E24" s="218">
        <v>4.47</v>
      </c>
      <c r="F24" s="218">
        <v>5.72</v>
      </c>
      <c r="G24" s="218">
        <v>6.17</v>
      </c>
      <c r="H24" s="218">
        <v>6.22</v>
      </c>
      <c r="I24" s="218">
        <v>5.63</v>
      </c>
      <c r="J24" s="218">
        <v>2.64</v>
      </c>
      <c r="K24" s="218">
        <v>5.79</v>
      </c>
      <c r="L24" s="218">
        <v>5.24</v>
      </c>
      <c r="M24" s="218">
        <v>4.88</v>
      </c>
      <c r="N24" s="218">
        <v>4.9000000000000004</v>
      </c>
      <c r="O24" s="218">
        <v>6.11</v>
      </c>
      <c r="P24" s="218">
        <v>5.55</v>
      </c>
      <c r="Q24" s="218">
        <v>6.02</v>
      </c>
      <c r="R24" s="218">
        <v>6.29</v>
      </c>
      <c r="S24" s="218">
        <v>6.28</v>
      </c>
      <c r="T24" s="218">
        <v>6.47</v>
      </c>
      <c r="U24" s="218">
        <v>6.2427637938605889</v>
      </c>
      <c r="V24" s="218">
        <v>6.3182657547817778</v>
      </c>
    </row>
    <row r="25" spans="1:22" ht="15" customHeight="1">
      <c r="A25" s="77"/>
      <c r="B25" s="76" t="s">
        <v>39</v>
      </c>
      <c r="C25" s="218">
        <v>2.65</v>
      </c>
      <c r="D25" s="218">
        <v>3.28</v>
      </c>
      <c r="E25" s="218">
        <v>4</v>
      </c>
      <c r="F25" s="218">
        <v>5.51</v>
      </c>
      <c r="G25" s="218">
        <v>4.83</v>
      </c>
      <c r="H25" s="218">
        <v>5.64</v>
      </c>
      <c r="I25" s="218">
        <v>4.66</v>
      </c>
      <c r="J25" s="218">
        <v>5.38</v>
      </c>
      <c r="K25" s="218">
        <v>5.41</v>
      </c>
      <c r="L25" s="218">
        <v>5.19</v>
      </c>
      <c r="M25" s="218">
        <v>4.92</v>
      </c>
      <c r="N25" s="218">
        <v>5.33</v>
      </c>
      <c r="O25" s="218">
        <v>5.64</v>
      </c>
      <c r="P25" s="218">
        <v>5.95</v>
      </c>
      <c r="Q25" s="218">
        <v>6.17</v>
      </c>
      <c r="R25" s="218">
        <v>6.26</v>
      </c>
      <c r="S25" s="218">
        <v>6.31</v>
      </c>
      <c r="T25" s="218">
        <v>6.31</v>
      </c>
      <c r="U25" s="218">
        <v>6.2524303471299714</v>
      </c>
      <c r="V25" s="218">
        <v>6.2439735893283723</v>
      </c>
    </row>
    <row r="26" spans="1:22" ht="15" customHeight="1">
      <c r="A26" s="77"/>
      <c r="B26" s="21" t="s">
        <v>42</v>
      </c>
      <c r="C26" s="218">
        <v>3.78</v>
      </c>
      <c r="D26" s="218">
        <v>4.16</v>
      </c>
      <c r="E26" s="218">
        <v>5.24</v>
      </c>
      <c r="F26" s="218">
        <v>5.33</v>
      </c>
      <c r="G26" s="218">
        <v>4.3899999999999997</v>
      </c>
      <c r="H26" s="218">
        <v>5.77</v>
      </c>
      <c r="I26" s="218">
        <v>7.02</v>
      </c>
      <c r="J26" s="218">
        <v>5.84</v>
      </c>
      <c r="K26" s="218">
        <v>5.98</v>
      </c>
      <c r="L26" s="218">
        <v>4.97</v>
      </c>
      <c r="M26" s="218">
        <v>5.33</v>
      </c>
      <c r="N26" s="218">
        <v>6.17</v>
      </c>
      <c r="O26" s="218">
        <v>5.73</v>
      </c>
      <c r="P26" s="218">
        <v>5.78</v>
      </c>
      <c r="Q26" s="218">
        <v>6.13</v>
      </c>
      <c r="R26" s="218">
        <v>6.74</v>
      </c>
      <c r="S26" s="218">
        <v>6.79</v>
      </c>
      <c r="T26" s="218">
        <v>6.95</v>
      </c>
      <c r="U26" s="218">
        <v>6.9863485911027707</v>
      </c>
      <c r="V26" s="218">
        <v>7.0214606028439857</v>
      </c>
    </row>
    <row r="27" spans="1:22" ht="15" customHeight="1">
      <c r="A27" s="77"/>
      <c r="B27" s="76" t="s">
        <v>43</v>
      </c>
      <c r="C27" s="218">
        <v>4.07</v>
      </c>
      <c r="D27" s="218">
        <v>4.1399999999999997</v>
      </c>
      <c r="E27" s="218">
        <v>4.5599999999999996</v>
      </c>
      <c r="F27" s="218">
        <v>4.62</v>
      </c>
      <c r="G27" s="218">
        <v>3.43</v>
      </c>
      <c r="H27" s="218">
        <v>3.79</v>
      </c>
      <c r="I27" s="218">
        <v>4.2699999999999996</v>
      </c>
      <c r="J27" s="218">
        <v>5.55</v>
      </c>
      <c r="K27" s="218">
        <v>5.42</v>
      </c>
      <c r="L27" s="218">
        <v>5.47</v>
      </c>
      <c r="M27" s="218">
        <v>4.96</v>
      </c>
      <c r="N27" s="218">
        <v>5.42</v>
      </c>
      <c r="O27" s="218">
        <v>6.19</v>
      </c>
      <c r="P27" s="218">
        <v>6.63</v>
      </c>
      <c r="Q27" s="218">
        <v>7.11</v>
      </c>
      <c r="R27" s="218">
        <v>6.11</v>
      </c>
      <c r="S27" s="218">
        <v>6.55</v>
      </c>
      <c r="T27" s="218">
        <v>6.55</v>
      </c>
      <c r="U27" s="218">
        <v>6.5791595027145826</v>
      </c>
      <c r="V27" s="218">
        <v>6.6356113212929237</v>
      </c>
    </row>
    <row r="28" spans="1:22" ht="15" customHeight="1">
      <c r="A28" s="31"/>
      <c r="B28" s="21" t="s">
        <v>44</v>
      </c>
      <c r="C28" s="218" t="s">
        <v>73</v>
      </c>
      <c r="D28" s="218" t="s">
        <v>73</v>
      </c>
      <c r="E28" s="218" t="s">
        <v>73</v>
      </c>
      <c r="F28" s="218" t="s">
        <v>73</v>
      </c>
      <c r="G28" s="218" t="s">
        <v>73</v>
      </c>
      <c r="H28" s="218" t="s">
        <v>73</v>
      </c>
      <c r="I28" s="218" t="s">
        <v>73</v>
      </c>
      <c r="J28" s="218" t="s">
        <v>73</v>
      </c>
      <c r="K28" s="218" t="s">
        <v>73</v>
      </c>
      <c r="L28" s="218" t="s">
        <v>73</v>
      </c>
      <c r="M28" s="218" t="s">
        <v>73</v>
      </c>
      <c r="N28" s="218" t="s">
        <v>73</v>
      </c>
      <c r="O28" s="218" t="s">
        <v>73</v>
      </c>
      <c r="P28" s="218" t="s">
        <v>73</v>
      </c>
      <c r="Q28" s="218" t="s">
        <v>73</v>
      </c>
      <c r="R28" s="218" t="s">
        <v>73</v>
      </c>
      <c r="S28" s="218" t="s">
        <v>73</v>
      </c>
      <c r="T28" s="218" t="s">
        <v>73</v>
      </c>
      <c r="U28" s="218" t="s">
        <v>73</v>
      </c>
      <c r="V28" s="218" t="s">
        <v>73</v>
      </c>
    </row>
    <row r="29" spans="1:22" ht="15" customHeight="1">
      <c r="A29" s="32"/>
      <c r="B29" s="32" t="s">
        <v>45</v>
      </c>
      <c r="C29" s="218" t="s">
        <v>73</v>
      </c>
      <c r="D29" s="218" t="s">
        <v>73</v>
      </c>
      <c r="E29" s="218" t="s">
        <v>73</v>
      </c>
      <c r="F29" s="218" t="s">
        <v>73</v>
      </c>
      <c r="G29" s="218" t="s">
        <v>73</v>
      </c>
      <c r="H29" s="218" t="s">
        <v>73</v>
      </c>
      <c r="I29" s="218" t="s">
        <v>73</v>
      </c>
      <c r="J29" s="218" t="s">
        <v>73</v>
      </c>
      <c r="K29" s="218" t="s">
        <v>73</v>
      </c>
      <c r="L29" s="218" t="s">
        <v>73</v>
      </c>
      <c r="M29" s="218" t="s">
        <v>73</v>
      </c>
      <c r="N29" s="218" t="s">
        <v>73</v>
      </c>
      <c r="O29" s="218" t="s">
        <v>73</v>
      </c>
      <c r="P29" s="218" t="s">
        <v>73</v>
      </c>
      <c r="Q29" s="218" t="s">
        <v>73</v>
      </c>
      <c r="R29" s="218" t="s">
        <v>73</v>
      </c>
      <c r="S29" s="218" t="s">
        <v>73</v>
      </c>
      <c r="T29" s="218" t="s">
        <v>73</v>
      </c>
      <c r="U29" s="218" t="s">
        <v>73</v>
      </c>
      <c r="V29" s="218" t="s">
        <v>73</v>
      </c>
    </row>
    <row r="30" spans="1:22" ht="15" customHeight="1">
      <c r="A30" s="38"/>
      <c r="B30" s="38" t="s">
        <v>46</v>
      </c>
      <c r="C30" s="218" t="s">
        <v>73</v>
      </c>
      <c r="D30" s="218" t="s">
        <v>73</v>
      </c>
      <c r="E30" s="218" t="s">
        <v>73</v>
      </c>
      <c r="F30" s="218" t="s">
        <v>73</v>
      </c>
      <c r="G30" s="218" t="s">
        <v>73</v>
      </c>
      <c r="H30" s="218" t="s">
        <v>73</v>
      </c>
      <c r="I30" s="218" t="s">
        <v>73</v>
      </c>
      <c r="J30" s="218" t="s">
        <v>73</v>
      </c>
      <c r="K30" s="218" t="s">
        <v>73</v>
      </c>
      <c r="L30" s="218" t="s">
        <v>73</v>
      </c>
      <c r="M30" s="218" t="s">
        <v>73</v>
      </c>
      <c r="N30" s="218" t="s">
        <v>73</v>
      </c>
      <c r="O30" s="218" t="s">
        <v>73</v>
      </c>
      <c r="P30" s="218" t="s">
        <v>73</v>
      </c>
      <c r="Q30" s="218" t="s">
        <v>73</v>
      </c>
      <c r="R30" s="218" t="s">
        <v>73</v>
      </c>
      <c r="S30" s="218" t="s">
        <v>73</v>
      </c>
      <c r="T30" s="218" t="s">
        <v>73</v>
      </c>
      <c r="U30" s="218" t="s">
        <v>73</v>
      </c>
      <c r="V30" s="218" t="s">
        <v>73</v>
      </c>
    </row>
    <row r="31" spans="1:22" ht="15" customHeight="1" thickBot="1">
      <c r="A31" s="36"/>
      <c r="B31" s="432" t="s">
        <v>47</v>
      </c>
      <c r="C31" s="433" t="s">
        <v>73</v>
      </c>
      <c r="D31" s="433" t="s">
        <v>73</v>
      </c>
      <c r="E31" s="433" t="s">
        <v>73</v>
      </c>
      <c r="F31" s="433" t="s">
        <v>73</v>
      </c>
      <c r="G31" s="433" t="s">
        <v>73</v>
      </c>
      <c r="H31" s="433" t="s">
        <v>73</v>
      </c>
      <c r="I31" s="433" t="s">
        <v>73</v>
      </c>
      <c r="J31" s="433" t="s">
        <v>73</v>
      </c>
      <c r="K31" s="433" t="s">
        <v>73</v>
      </c>
      <c r="L31" s="433" t="s">
        <v>73</v>
      </c>
      <c r="M31" s="433" t="s">
        <v>73</v>
      </c>
      <c r="N31" s="433" t="s">
        <v>73</v>
      </c>
      <c r="O31" s="433" t="s">
        <v>73</v>
      </c>
      <c r="P31" s="433" t="s">
        <v>73</v>
      </c>
      <c r="Q31" s="433" t="s">
        <v>73</v>
      </c>
      <c r="R31" s="433" t="s">
        <v>73</v>
      </c>
      <c r="S31" s="433" t="s">
        <v>73</v>
      </c>
      <c r="T31" s="433" t="s">
        <v>73</v>
      </c>
      <c r="U31" s="433" t="s">
        <v>73</v>
      </c>
      <c r="V31" s="433" t="s">
        <v>73</v>
      </c>
    </row>
    <row r="32" spans="1:22" ht="11" customHeight="1">
      <c r="A32" s="529" t="s">
        <v>330</v>
      </c>
      <c r="B32" s="527"/>
      <c r="C32" s="833"/>
      <c r="D32" s="833"/>
      <c r="E32" s="833"/>
      <c r="F32" s="833"/>
      <c r="G32" s="833"/>
      <c r="H32" s="833"/>
      <c r="I32" s="471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</row>
    <row r="33" spans="1:22" ht="9" customHeight="1">
      <c r="A33" s="529" t="s">
        <v>304</v>
      </c>
      <c r="B33" s="527"/>
      <c r="C33" s="833"/>
      <c r="D33" s="833"/>
      <c r="E33" s="833"/>
      <c r="F33" s="833"/>
      <c r="G33" s="833"/>
      <c r="H33" s="833"/>
      <c r="I33" s="471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</row>
    <row r="34" spans="1:22" ht="9" customHeight="1">
      <c r="A34" s="527" t="s">
        <v>303</v>
      </c>
      <c r="B34" s="531"/>
      <c r="C34" s="833"/>
      <c r="D34" s="833"/>
      <c r="E34" s="833"/>
      <c r="F34" s="833"/>
      <c r="G34" s="833"/>
      <c r="H34" s="833"/>
      <c r="I34" s="471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3">
    <tabColor theme="9" tint="0.59999389629810485"/>
  </sheetPr>
  <dimension ref="A2:V62"/>
  <sheetViews>
    <sheetView showGridLines="0" zoomScaleNormal="100" workbookViewId="0">
      <selection activeCell="P13" sqref="P13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19921875" style="76" customWidth="1"/>
    <col min="24" max="16384" width="7" style="76"/>
  </cols>
  <sheetData>
    <row r="2" spans="1:22" ht="14.25" customHeight="1">
      <c r="A2" s="210" t="s">
        <v>499</v>
      </c>
      <c r="B2" s="211"/>
    </row>
    <row r="3" spans="1:22" ht="13.25" customHeight="1">
      <c r="A3" s="212" t="s">
        <v>211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2" ht="18" customHeight="1">
      <c r="A6" s="1020" t="s">
        <v>93</v>
      </c>
      <c r="B6" s="1020"/>
      <c r="C6" s="629">
        <f t="shared" ref="C6:M6" si="0">(C8+C9+C10+C11+C12+C13+C14+C15+C16+C17+C18+C19+C20+C21+C22+C23+C24+C25+C26+C27+C28+C29+C30+C31)</f>
        <v>3010724</v>
      </c>
      <c r="D6" s="629">
        <f t="shared" si="0"/>
        <v>3073855</v>
      </c>
      <c r="E6" s="630">
        <f t="shared" si="0"/>
        <v>3115772</v>
      </c>
      <c r="F6" s="630">
        <f t="shared" si="0"/>
        <v>3151406</v>
      </c>
      <c r="G6" s="630">
        <f t="shared" si="0"/>
        <v>3256809</v>
      </c>
      <c r="H6" s="630">
        <f t="shared" si="0"/>
        <v>3254412</v>
      </c>
      <c r="I6" s="630">
        <f t="shared" si="0"/>
        <v>3263254</v>
      </c>
      <c r="J6" s="630">
        <f t="shared" si="0"/>
        <v>2987315</v>
      </c>
      <c r="K6" s="630">
        <f t="shared" si="0"/>
        <v>3846115</v>
      </c>
      <c r="L6" s="630">
        <f t="shared" si="0"/>
        <v>3173016</v>
      </c>
      <c r="M6" s="630">
        <f t="shared" si="0"/>
        <v>3200715</v>
      </c>
      <c r="N6" s="630">
        <f t="shared" ref="N6:V6" si="1">(N8+N9+N10+N11+N12+N13+N14+N15+N16+N17+N18+N19+N20+N21+N22+N23+N24+N25+N26+N27+N28+N29+N30+N31)</f>
        <v>3104911</v>
      </c>
      <c r="O6" s="630">
        <f t="shared" si="1"/>
        <v>3217254</v>
      </c>
      <c r="P6" s="630">
        <f t="shared" si="1"/>
        <v>3215742</v>
      </c>
      <c r="Q6" s="630">
        <f t="shared" si="1"/>
        <v>3269537.5</v>
      </c>
      <c r="R6" s="630">
        <f t="shared" si="1"/>
        <v>3270742</v>
      </c>
      <c r="S6" s="630">
        <f t="shared" ref="S6:U6" si="2">(S8+S9+S10+S11+S12+S13+S14+S15+S16+S17+S18+S19+S20+S21+S22+S23+S24+S25+S26+S27+S28+S29+S30+S31)</f>
        <v>3342910.4624576</v>
      </c>
      <c r="T6" s="630">
        <f t="shared" si="2"/>
        <v>3455032.2312288</v>
      </c>
      <c r="U6" s="630">
        <f t="shared" si="2"/>
        <v>3465175</v>
      </c>
      <c r="V6" s="630">
        <f t="shared" si="1"/>
        <v>3519668</v>
      </c>
    </row>
    <row r="7" spans="1:22" ht="3" customHeight="1">
      <c r="A7" s="77"/>
      <c r="B7" s="78"/>
      <c r="C7" s="203"/>
      <c r="D7" s="203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</row>
    <row r="8" spans="1:22" ht="15" customHeight="1">
      <c r="A8" s="77"/>
      <c r="B8" s="21" t="s">
        <v>19</v>
      </c>
      <c r="C8" s="202">
        <v>15890</v>
      </c>
      <c r="D8" s="202">
        <v>13500</v>
      </c>
      <c r="E8" s="87">
        <v>14900</v>
      </c>
      <c r="F8" s="87">
        <v>17100</v>
      </c>
      <c r="G8" s="87">
        <v>18200</v>
      </c>
      <c r="H8" s="87">
        <v>20593</v>
      </c>
      <c r="I8" s="87">
        <v>20030</v>
      </c>
      <c r="J8" s="87">
        <v>18590</v>
      </c>
      <c r="K8" s="87">
        <v>31639</v>
      </c>
      <c r="L8" s="87">
        <v>31980</v>
      </c>
      <c r="M8" s="473">
        <v>28566</v>
      </c>
      <c r="N8" s="473">
        <v>29748</v>
      </c>
      <c r="O8" s="473">
        <v>30480</v>
      </c>
      <c r="P8" s="473">
        <v>29540</v>
      </c>
      <c r="Q8" s="473">
        <v>30010</v>
      </c>
      <c r="R8" s="473">
        <v>29015</v>
      </c>
      <c r="S8" s="473">
        <v>30512</v>
      </c>
      <c r="T8" s="473">
        <v>29763.5</v>
      </c>
      <c r="U8" s="473">
        <v>27921</v>
      </c>
      <c r="V8" s="473">
        <v>30138</v>
      </c>
    </row>
    <row r="9" spans="1:22" ht="15" customHeight="1">
      <c r="A9" s="77"/>
      <c r="B9" s="21" t="s">
        <v>20</v>
      </c>
      <c r="C9" s="202">
        <v>173054</v>
      </c>
      <c r="D9" s="202">
        <v>174000</v>
      </c>
      <c r="E9" s="87">
        <v>174958</v>
      </c>
      <c r="F9" s="87">
        <v>171344</v>
      </c>
      <c r="G9" s="87">
        <v>193831</v>
      </c>
      <c r="H9" s="87">
        <v>198118</v>
      </c>
      <c r="I9" s="87">
        <v>199520</v>
      </c>
      <c r="J9" s="87">
        <v>140298</v>
      </c>
      <c r="K9" s="87">
        <v>179945</v>
      </c>
      <c r="L9" s="87">
        <v>186647</v>
      </c>
      <c r="M9" s="473">
        <v>191114</v>
      </c>
      <c r="N9" s="473">
        <v>159009</v>
      </c>
      <c r="O9" s="473">
        <v>169531</v>
      </c>
      <c r="P9" s="473">
        <v>170860</v>
      </c>
      <c r="Q9" s="473">
        <v>167980</v>
      </c>
      <c r="R9" s="473">
        <v>157860</v>
      </c>
      <c r="S9" s="473">
        <v>177302.46245759999</v>
      </c>
      <c r="T9" s="473">
        <v>187581.2312288</v>
      </c>
      <c r="U9" s="473">
        <v>173258</v>
      </c>
      <c r="V9" s="473">
        <v>178258</v>
      </c>
    </row>
    <row r="10" spans="1:22" ht="15" customHeight="1">
      <c r="A10" s="77"/>
      <c r="B10" s="21" t="s">
        <v>21</v>
      </c>
      <c r="C10" s="202">
        <v>62000</v>
      </c>
      <c r="D10" s="202">
        <v>58400</v>
      </c>
      <c r="E10" s="87">
        <v>66583</v>
      </c>
      <c r="F10" s="87">
        <v>79393</v>
      </c>
      <c r="G10" s="87">
        <v>81100</v>
      </c>
      <c r="H10" s="87">
        <v>79495</v>
      </c>
      <c r="I10" s="87">
        <v>80365</v>
      </c>
      <c r="J10" s="87">
        <v>56964</v>
      </c>
      <c r="K10" s="87">
        <v>67510</v>
      </c>
      <c r="L10" s="87">
        <v>69264</v>
      </c>
      <c r="M10" s="87">
        <v>72480</v>
      </c>
      <c r="N10" s="87">
        <v>88160</v>
      </c>
      <c r="O10" s="87">
        <v>68810</v>
      </c>
      <c r="P10" s="87">
        <v>74560</v>
      </c>
      <c r="Q10" s="87">
        <v>73428</v>
      </c>
      <c r="R10" s="87">
        <v>70227</v>
      </c>
      <c r="S10" s="87">
        <v>71922</v>
      </c>
      <c r="T10" s="87">
        <v>68510</v>
      </c>
      <c r="U10" s="87">
        <v>65400</v>
      </c>
      <c r="V10" s="87">
        <v>70216</v>
      </c>
    </row>
    <row r="11" spans="1:22" ht="15" customHeight="1">
      <c r="A11" s="77"/>
      <c r="B11" s="21" t="s">
        <v>22</v>
      </c>
      <c r="C11" s="202">
        <v>160798</v>
      </c>
      <c r="D11" s="202">
        <v>160465</v>
      </c>
      <c r="E11" s="87">
        <v>162269</v>
      </c>
      <c r="F11" s="87">
        <v>162444</v>
      </c>
      <c r="G11" s="87">
        <v>161442</v>
      </c>
      <c r="H11" s="87">
        <v>159466</v>
      </c>
      <c r="I11" s="87">
        <v>159681</v>
      </c>
      <c r="J11" s="87">
        <v>162069</v>
      </c>
      <c r="K11" s="87">
        <v>157211</v>
      </c>
      <c r="L11" s="87">
        <v>119141</v>
      </c>
      <c r="M11" s="473">
        <v>111419</v>
      </c>
      <c r="N11" s="473">
        <v>116911</v>
      </c>
      <c r="O11" s="473">
        <v>113018</v>
      </c>
      <c r="P11" s="473">
        <v>113664</v>
      </c>
      <c r="Q11" s="473">
        <v>114462</v>
      </c>
      <c r="R11" s="473">
        <v>114850</v>
      </c>
      <c r="S11" s="473">
        <v>110020</v>
      </c>
      <c r="T11" s="473">
        <v>112435</v>
      </c>
      <c r="U11" s="473">
        <v>103302</v>
      </c>
      <c r="V11" s="473">
        <v>113846</v>
      </c>
    </row>
    <row r="12" spans="1:22" ht="15" customHeight="1">
      <c r="A12" s="77"/>
      <c r="B12" s="21" t="s">
        <v>23</v>
      </c>
      <c r="C12" s="202">
        <v>202298</v>
      </c>
      <c r="D12" s="202">
        <v>215757</v>
      </c>
      <c r="E12" s="87">
        <v>239461</v>
      </c>
      <c r="F12" s="87">
        <v>249820</v>
      </c>
      <c r="G12" s="87">
        <v>250340</v>
      </c>
      <c r="H12" s="87">
        <v>245535</v>
      </c>
      <c r="I12" s="87">
        <v>255432</v>
      </c>
      <c r="J12" s="87">
        <v>251689</v>
      </c>
      <c r="K12" s="87">
        <v>278439</v>
      </c>
      <c r="L12" s="87">
        <v>304430</v>
      </c>
      <c r="M12" s="473">
        <v>304105</v>
      </c>
      <c r="N12" s="473">
        <v>287457</v>
      </c>
      <c r="O12" s="473">
        <v>297734</v>
      </c>
      <c r="P12" s="473">
        <v>277982</v>
      </c>
      <c r="Q12" s="473">
        <v>288252</v>
      </c>
      <c r="R12" s="473">
        <v>288467</v>
      </c>
      <c r="S12" s="473">
        <v>292447</v>
      </c>
      <c r="T12" s="473">
        <v>290457</v>
      </c>
      <c r="U12" s="473">
        <v>291453</v>
      </c>
      <c r="V12" s="473">
        <v>291070</v>
      </c>
    </row>
    <row r="13" spans="1:22" ht="15" customHeight="1">
      <c r="A13" s="77"/>
      <c r="B13" s="21" t="s">
        <v>27</v>
      </c>
      <c r="C13" s="202">
        <v>45553</v>
      </c>
      <c r="D13" s="202">
        <v>50500</v>
      </c>
      <c r="E13" s="87">
        <v>53874</v>
      </c>
      <c r="F13" s="87">
        <v>58488</v>
      </c>
      <c r="G13" s="87">
        <v>59100</v>
      </c>
      <c r="H13" s="87">
        <v>64896</v>
      </c>
      <c r="I13" s="87">
        <v>70916</v>
      </c>
      <c r="J13" s="87">
        <v>71548</v>
      </c>
      <c r="K13" s="87">
        <v>74617</v>
      </c>
      <c r="L13" s="87">
        <v>75528</v>
      </c>
      <c r="M13" s="87">
        <v>77261</v>
      </c>
      <c r="N13" s="87">
        <v>84502</v>
      </c>
      <c r="O13" s="87">
        <v>85690</v>
      </c>
      <c r="P13" s="87">
        <v>83710</v>
      </c>
      <c r="Q13" s="87">
        <v>88090</v>
      </c>
      <c r="R13" s="87">
        <v>89099</v>
      </c>
      <c r="S13" s="87">
        <v>92127</v>
      </c>
      <c r="T13" s="87">
        <v>90502</v>
      </c>
      <c r="U13" s="87">
        <v>98622</v>
      </c>
      <c r="V13" s="87">
        <v>101595</v>
      </c>
    </row>
    <row r="14" spans="1:22" ht="15" customHeight="1">
      <c r="A14" s="77"/>
      <c r="B14" s="21" t="s">
        <v>28</v>
      </c>
      <c r="C14" s="202">
        <v>171696</v>
      </c>
      <c r="D14" s="202">
        <v>165436</v>
      </c>
      <c r="E14" s="87">
        <v>162067</v>
      </c>
      <c r="F14" s="87">
        <v>174756</v>
      </c>
      <c r="G14" s="87">
        <v>181032</v>
      </c>
      <c r="H14" s="87">
        <v>180997</v>
      </c>
      <c r="I14" s="87">
        <v>181021</v>
      </c>
      <c r="J14" s="87">
        <v>182009</v>
      </c>
      <c r="K14" s="87">
        <v>185348</v>
      </c>
      <c r="L14" s="87">
        <v>179640</v>
      </c>
      <c r="M14" s="473">
        <v>184777</v>
      </c>
      <c r="N14" s="473">
        <v>174016</v>
      </c>
      <c r="O14" s="473">
        <v>170334</v>
      </c>
      <c r="P14" s="473">
        <v>172620</v>
      </c>
      <c r="Q14" s="473">
        <v>171477</v>
      </c>
      <c r="R14" s="473">
        <v>170544</v>
      </c>
      <c r="S14" s="473">
        <v>171027</v>
      </c>
      <c r="T14" s="473">
        <v>180785.5</v>
      </c>
      <c r="U14" s="473">
        <v>185907</v>
      </c>
      <c r="V14" s="473">
        <v>195378</v>
      </c>
    </row>
    <row r="15" spans="1:22" ht="15" customHeight="1">
      <c r="A15" s="77"/>
      <c r="B15" s="21" t="s">
        <v>29</v>
      </c>
      <c r="C15" s="202">
        <v>417780</v>
      </c>
      <c r="D15" s="202">
        <v>415000</v>
      </c>
      <c r="E15" s="87">
        <v>391175</v>
      </c>
      <c r="F15" s="87">
        <v>390670</v>
      </c>
      <c r="G15" s="87">
        <v>395300</v>
      </c>
      <c r="H15" s="87">
        <v>402985</v>
      </c>
      <c r="I15" s="87">
        <v>404507</v>
      </c>
      <c r="J15" s="87">
        <v>455740</v>
      </c>
      <c r="K15" s="87">
        <v>430570</v>
      </c>
      <c r="L15" s="87">
        <v>457793</v>
      </c>
      <c r="M15" s="473">
        <v>462797</v>
      </c>
      <c r="N15" s="473">
        <v>450072</v>
      </c>
      <c r="O15" s="473">
        <v>460253</v>
      </c>
      <c r="P15" s="473">
        <v>469546</v>
      </c>
      <c r="Q15" s="473">
        <v>464899.5</v>
      </c>
      <c r="R15" s="473">
        <v>470025</v>
      </c>
      <c r="S15" s="473">
        <v>490151</v>
      </c>
      <c r="T15" s="473">
        <v>501088</v>
      </c>
      <c r="U15" s="473">
        <v>503561</v>
      </c>
      <c r="V15" s="473">
        <v>505821</v>
      </c>
    </row>
    <row r="16" spans="1:22" ht="15" customHeight="1">
      <c r="A16" s="77"/>
      <c r="B16" s="21" t="s">
        <v>30</v>
      </c>
      <c r="C16" s="202">
        <v>22684</v>
      </c>
      <c r="D16" s="202">
        <v>21690</v>
      </c>
      <c r="E16" s="87">
        <v>21548</v>
      </c>
      <c r="F16" s="87">
        <v>22290</v>
      </c>
      <c r="G16" s="87">
        <v>30790</v>
      </c>
      <c r="H16" s="87">
        <v>32800</v>
      </c>
      <c r="I16" s="87">
        <v>32998</v>
      </c>
      <c r="J16" s="87">
        <v>36673</v>
      </c>
      <c r="K16" s="87">
        <v>34648</v>
      </c>
      <c r="L16" s="87">
        <v>44196</v>
      </c>
      <c r="M16" s="87">
        <v>48256</v>
      </c>
      <c r="N16" s="87">
        <v>51510</v>
      </c>
      <c r="O16" s="87">
        <v>54124</v>
      </c>
      <c r="P16" s="87">
        <v>66840</v>
      </c>
      <c r="Q16" s="87">
        <v>102767</v>
      </c>
      <c r="R16" s="87">
        <v>101225</v>
      </c>
      <c r="S16" s="87">
        <v>99656</v>
      </c>
      <c r="T16" s="87">
        <v>190521</v>
      </c>
      <c r="U16" s="87">
        <v>195225</v>
      </c>
      <c r="V16" s="87">
        <v>206409</v>
      </c>
    </row>
    <row r="17" spans="1:22" ht="15" customHeight="1">
      <c r="A17" s="77"/>
      <c r="B17" s="21" t="s">
        <v>31</v>
      </c>
      <c r="C17" s="202">
        <v>352051</v>
      </c>
      <c r="D17" s="202">
        <v>388866</v>
      </c>
      <c r="E17" s="87">
        <v>407065</v>
      </c>
      <c r="F17" s="87">
        <v>379247</v>
      </c>
      <c r="G17" s="87">
        <v>380150</v>
      </c>
      <c r="H17" s="87">
        <v>371476</v>
      </c>
      <c r="I17" s="87">
        <v>339405</v>
      </c>
      <c r="J17" s="87">
        <v>219320</v>
      </c>
      <c r="K17" s="87">
        <v>318436</v>
      </c>
      <c r="L17" s="87">
        <v>392998</v>
      </c>
      <c r="M17" s="473">
        <v>402607</v>
      </c>
      <c r="N17" s="473">
        <v>403917</v>
      </c>
      <c r="O17" s="473">
        <v>405230</v>
      </c>
      <c r="P17" s="473">
        <v>406220</v>
      </c>
      <c r="Q17" s="473">
        <v>405725</v>
      </c>
      <c r="R17" s="473">
        <v>402365</v>
      </c>
      <c r="S17" s="473">
        <v>405632</v>
      </c>
      <c r="T17" s="473">
        <v>403998.5</v>
      </c>
      <c r="U17" s="473">
        <v>404816</v>
      </c>
      <c r="V17" s="473">
        <v>402369</v>
      </c>
    </row>
    <row r="18" spans="1:22" ht="15" customHeight="1">
      <c r="A18" s="77"/>
      <c r="B18" s="21" t="s">
        <v>32</v>
      </c>
      <c r="C18" s="202">
        <v>119154</v>
      </c>
      <c r="D18" s="202">
        <v>117838</v>
      </c>
      <c r="E18" s="87">
        <v>122330</v>
      </c>
      <c r="F18" s="87">
        <v>123587</v>
      </c>
      <c r="G18" s="87">
        <v>124821</v>
      </c>
      <c r="H18" s="87">
        <v>127325</v>
      </c>
      <c r="I18" s="87">
        <v>129039</v>
      </c>
      <c r="J18" s="87">
        <v>110339</v>
      </c>
      <c r="K18" s="87">
        <v>98671</v>
      </c>
      <c r="L18" s="87">
        <v>89157</v>
      </c>
      <c r="M18" s="473">
        <v>89872</v>
      </c>
      <c r="N18" s="473">
        <v>51355</v>
      </c>
      <c r="O18" s="473">
        <v>51993</v>
      </c>
      <c r="P18" s="473">
        <v>55140</v>
      </c>
      <c r="Q18" s="473">
        <v>53566.5</v>
      </c>
      <c r="R18" s="473">
        <v>52698</v>
      </c>
      <c r="S18" s="473">
        <v>53247</v>
      </c>
      <c r="T18" s="473">
        <v>52972.5</v>
      </c>
      <c r="U18" s="473">
        <v>53110</v>
      </c>
      <c r="V18" s="473">
        <v>54128</v>
      </c>
    </row>
    <row r="19" spans="1:22" ht="15" customHeight="1">
      <c r="A19" s="77"/>
      <c r="B19" s="21" t="s">
        <v>33</v>
      </c>
      <c r="C19" s="202">
        <v>107640</v>
      </c>
      <c r="D19" s="202">
        <v>105560</v>
      </c>
      <c r="E19" s="87">
        <v>106600</v>
      </c>
      <c r="F19" s="87">
        <v>106692</v>
      </c>
      <c r="G19" s="87">
        <v>110100</v>
      </c>
      <c r="H19" s="87">
        <v>117318</v>
      </c>
      <c r="I19" s="87">
        <v>121673</v>
      </c>
      <c r="J19" s="87">
        <v>146182</v>
      </c>
      <c r="K19" s="87">
        <v>158559</v>
      </c>
      <c r="L19" s="87">
        <v>142667</v>
      </c>
      <c r="M19" s="473">
        <v>152638</v>
      </c>
      <c r="N19" s="473">
        <v>154609</v>
      </c>
      <c r="O19" s="473">
        <v>168586</v>
      </c>
      <c r="P19" s="473">
        <v>175222</v>
      </c>
      <c r="Q19" s="473">
        <v>171904</v>
      </c>
      <c r="R19" s="473">
        <v>178317</v>
      </c>
      <c r="S19" s="473">
        <v>193340</v>
      </c>
      <c r="T19" s="473">
        <v>195420</v>
      </c>
      <c r="U19" s="473">
        <v>204941</v>
      </c>
      <c r="V19" s="473">
        <v>205337</v>
      </c>
    </row>
    <row r="20" spans="1:22" ht="15" customHeight="1">
      <c r="A20" s="77"/>
      <c r="B20" s="21" t="s">
        <v>34</v>
      </c>
      <c r="C20" s="202">
        <v>109121</v>
      </c>
      <c r="D20" s="202">
        <v>109259</v>
      </c>
      <c r="E20" s="87">
        <v>109257</v>
      </c>
      <c r="F20" s="87">
        <v>109776</v>
      </c>
      <c r="G20" s="87">
        <v>195256</v>
      </c>
      <c r="H20" s="87">
        <v>186534</v>
      </c>
      <c r="I20" s="87">
        <v>179537</v>
      </c>
      <c r="J20" s="87">
        <v>138085</v>
      </c>
      <c r="K20" s="87">
        <v>148793</v>
      </c>
      <c r="L20" s="87">
        <v>133152</v>
      </c>
      <c r="M20" s="473">
        <v>128103</v>
      </c>
      <c r="N20" s="473">
        <v>136938</v>
      </c>
      <c r="O20" s="473">
        <v>174439</v>
      </c>
      <c r="P20" s="473">
        <v>160430</v>
      </c>
      <c r="Q20" s="473">
        <v>157545</v>
      </c>
      <c r="R20" s="473">
        <v>155475</v>
      </c>
      <c r="S20" s="473">
        <v>156489</v>
      </c>
      <c r="T20" s="473">
        <v>155982</v>
      </c>
      <c r="U20" s="473">
        <v>156101</v>
      </c>
      <c r="V20" s="473">
        <v>156236</v>
      </c>
    </row>
    <row r="21" spans="1:22" ht="15" customHeight="1">
      <c r="A21" s="77"/>
      <c r="B21" s="21" t="s">
        <v>35</v>
      </c>
      <c r="C21" s="202">
        <v>84471</v>
      </c>
      <c r="D21" s="202">
        <v>74212</v>
      </c>
      <c r="E21" s="87">
        <v>82465</v>
      </c>
      <c r="F21" s="87">
        <v>86806</v>
      </c>
      <c r="G21" s="87">
        <v>82798</v>
      </c>
      <c r="H21" s="87">
        <v>81392</v>
      </c>
      <c r="I21" s="87">
        <v>82320</v>
      </c>
      <c r="J21" s="87">
        <v>79117</v>
      </c>
      <c r="K21" s="87">
        <v>62376</v>
      </c>
      <c r="L21" s="87">
        <v>72376</v>
      </c>
      <c r="M21" s="473">
        <v>82913</v>
      </c>
      <c r="N21" s="473">
        <v>91511</v>
      </c>
      <c r="O21" s="473">
        <v>95391</v>
      </c>
      <c r="P21" s="473">
        <v>92760</v>
      </c>
      <c r="Q21" s="473">
        <v>107120</v>
      </c>
      <c r="R21" s="473">
        <v>109210</v>
      </c>
      <c r="S21" s="473">
        <v>116838</v>
      </c>
      <c r="T21" s="473">
        <v>101411</v>
      </c>
      <c r="U21" s="473">
        <v>119024</v>
      </c>
      <c r="V21" s="473">
        <v>133853</v>
      </c>
    </row>
    <row r="22" spans="1:22" ht="15" customHeight="1">
      <c r="A22" s="77"/>
      <c r="B22" s="21" t="s">
        <v>36</v>
      </c>
      <c r="C22" s="202">
        <v>11191</v>
      </c>
      <c r="D22" s="202">
        <v>10249</v>
      </c>
      <c r="E22" s="87">
        <v>10403</v>
      </c>
      <c r="F22" s="87">
        <v>12450</v>
      </c>
      <c r="G22" s="87">
        <v>13560</v>
      </c>
      <c r="H22" s="87">
        <v>13571</v>
      </c>
      <c r="I22" s="87">
        <v>15195</v>
      </c>
      <c r="J22" s="87">
        <v>16382</v>
      </c>
      <c r="K22" s="87">
        <v>20410</v>
      </c>
      <c r="L22" s="87">
        <v>13760</v>
      </c>
      <c r="M22" s="473">
        <v>12226</v>
      </c>
      <c r="N22" s="473">
        <v>12837</v>
      </c>
      <c r="O22" s="473">
        <v>13480</v>
      </c>
      <c r="P22" s="473">
        <v>12970</v>
      </c>
      <c r="Q22" s="473">
        <v>13225</v>
      </c>
      <c r="R22" s="473">
        <v>13102</v>
      </c>
      <c r="S22" s="473">
        <v>13247</v>
      </c>
      <c r="T22" s="473">
        <v>13174.5</v>
      </c>
      <c r="U22" s="473">
        <v>13211</v>
      </c>
      <c r="V22" s="473">
        <v>13189</v>
      </c>
    </row>
    <row r="23" spans="1:22" ht="15" customHeight="1">
      <c r="A23" s="77"/>
      <c r="B23" s="21" t="s">
        <v>37</v>
      </c>
      <c r="C23" s="202">
        <v>25294</v>
      </c>
      <c r="D23" s="202">
        <v>25695</v>
      </c>
      <c r="E23" s="87">
        <v>28087</v>
      </c>
      <c r="F23" s="87">
        <v>24467</v>
      </c>
      <c r="G23" s="87">
        <v>25204</v>
      </c>
      <c r="H23" s="87">
        <v>25720</v>
      </c>
      <c r="I23" s="87">
        <v>34383</v>
      </c>
      <c r="J23" s="87">
        <v>31763</v>
      </c>
      <c r="K23" s="87">
        <v>40520</v>
      </c>
      <c r="L23" s="87">
        <v>44712</v>
      </c>
      <c r="M23" s="473">
        <v>32678</v>
      </c>
      <c r="N23" s="473">
        <v>34312</v>
      </c>
      <c r="O23" s="473">
        <v>36232</v>
      </c>
      <c r="P23" s="473">
        <v>36232</v>
      </c>
      <c r="Q23" s="473">
        <v>36232</v>
      </c>
      <c r="R23" s="473">
        <v>37050</v>
      </c>
      <c r="S23" s="473">
        <v>38942</v>
      </c>
      <c r="T23" s="473">
        <v>37996</v>
      </c>
      <c r="U23" s="473">
        <v>38469</v>
      </c>
      <c r="V23" s="473">
        <v>38937</v>
      </c>
    </row>
    <row r="24" spans="1:22" ht="15" customHeight="1">
      <c r="A24" s="77"/>
      <c r="B24" s="21" t="s">
        <v>38</v>
      </c>
      <c r="C24" s="202">
        <v>158020</v>
      </c>
      <c r="D24" s="202">
        <v>147505</v>
      </c>
      <c r="E24" s="87">
        <v>156990</v>
      </c>
      <c r="F24" s="87">
        <v>164001</v>
      </c>
      <c r="G24" s="87">
        <v>160482</v>
      </c>
      <c r="H24" s="87">
        <v>161298</v>
      </c>
      <c r="I24" s="87">
        <v>179000</v>
      </c>
      <c r="J24" s="87">
        <v>187764</v>
      </c>
      <c r="K24" s="87">
        <v>164590</v>
      </c>
      <c r="L24" s="87">
        <v>103432</v>
      </c>
      <c r="M24" s="473">
        <v>95792</v>
      </c>
      <c r="N24" s="473">
        <v>91554</v>
      </c>
      <c r="O24" s="473">
        <v>106597</v>
      </c>
      <c r="P24" s="473">
        <v>102314</v>
      </c>
      <c r="Q24" s="473">
        <v>118454</v>
      </c>
      <c r="R24" s="473">
        <v>111843</v>
      </c>
      <c r="S24" s="473">
        <v>112392</v>
      </c>
      <c r="T24" s="473">
        <v>128847</v>
      </c>
      <c r="U24" s="473">
        <v>128976</v>
      </c>
      <c r="V24" s="473">
        <v>120620</v>
      </c>
    </row>
    <row r="25" spans="1:22" ht="15" customHeight="1">
      <c r="A25" s="77"/>
      <c r="B25" s="21" t="s">
        <v>39</v>
      </c>
      <c r="C25" s="202">
        <v>130410</v>
      </c>
      <c r="D25" s="202">
        <v>146560</v>
      </c>
      <c r="E25" s="87">
        <v>147834</v>
      </c>
      <c r="F25" s="87">
        <v>153613</v>
      </c>
      <c r="G25" s="87">
        <v>157250</v>
      </c>
      <c r="H25" s="87">
        <v>155133</v>
      </c>
      <c r="I25" s="87">
        <v>150575</v>
      </c>
      <c r="J25" s="87">
        <v>123073</v>
      </c>
      <c r="K25" s="87">
        <v>118825</v>
      </c>
      <c r="L25" s="87">
        <v>120390</v>
      </c>
      <c r="M25" s="473">
        <v>122310</v>
      </c>
      <c r="N25" s="473">
        <v>128426</v>
      </c>
      <c r="O25" s="473">
        <v>134847</v>
      </c>
      <c r="P25" s="473">
        <v>131226</v>
      </c>
      <c r="Q25" s="473">
        <v>133036.5</v>
      </c>
      <c r="R25" s="473">
        <v>140538</v>
      </c>
      <c r="S25" s="473">
        <v>137715</v>
      </c>
      <c r="T25" s="473">
        <v>139126.5</v>
      </c>
      <c r="U25" s="473">
        <v>138421</v>
      </c>
      <c r="V25" s="473">
        <v>137124</v>
      </c>
    </row>
    <row r="26" spans="1:22" ht="15" customHeight="1">
      <c r="A26" s="77"/>
      <c r="B26" s="21" t="s">
        <v>42</v>
      </c>
      <c r="C26" s="202">
        <v>265338</v>
      </c>
      <c r="D26" s="202">
        <v>267100</v>
      </c>
      <c r="E26" s="87">
        <v>268350</v>
      </c>
      <c r="F26" s="87">
        <v>253263</v>
      </c>
      <c r="G26" s="87">
        <v>211104</v>
      </c>
      <c r="H26" s="87">
        <v>205975</v>
      </c>
      <c r="I26" s="87">
        <v>182940</v>
      </c>
      <c r="J26" s="87">
        <v>141726</v>
      </c>
      <c r="K26" s="87">
        <v>195864</v>
      </c>
      <c r="L26" s="87">
        <v>195646</v>
      </c>
      <c r="M26" s="473">
        <v>195861</v>
      </c>
      <c r="N26" s="473">
        <v>160877</v>
      </c>
      <c r="O26" s="473">
        <v>160173</v>
      </c>
      <c r="P26" s="473">
        <v>137479</v>
      </c>
      <c r="Q26" s="473">
        <v>127738</v>
      </c>
      <c r="R26" s="473">
        <v>123995</v>
      </c>
      <c r="S26" s="473">
        <v>121716</v>
      </c>
      <c r="T26" s="473">
        <v>122375</v>
      </c>
      <c r="U26" s="473">
        <v>122270</v>
      </c>
      <c r="V26" s="473">
        <v>122046</v>
      </c>
    </row>
    <row r="27" spans="1:22" ht="15" customHeight="1">
      <c r="A27" s="77"/>
      <c r="B27" s="21" t="s">
        <v>43</v>
      </c>
      <c r="C27" s="202">
        <v>99570</v>
      </c>
      <c r="D27" s="202">
        <v>106860</v>
      </c>
      <c r="E27" s="87">
        <v>108710</v>
      </c>
      <c r="F27" s="87">
        <v>113680</v>
      </c>
      <c r="G27" s="87">
        <v>121030</v>
      </c>
      <c r="H27" s="87">
        <v>124610</v>
      </c>
      <c r="I27" s="87">
        <v>127085</v>
      </c>
      <c r="J27" s="87">
        <v>128580</v>
      </c>
      <c r="K27" s="87">
        <v>126020</v>
      </c>
      <c r="L27" s="87">
        <v>119330</v>
      </c>
      <c r="M27" s="473">
        <v>119340</v>
      </c>
      <c r="N27" s="473">
        <v>112310</v>
      </c>
      <c r="O27" s="473">
        <v>112320</v>
      </c>
      <c r="P27" s="473">
        <v>114885</v>
      </c>
      <c r="Q27" s="473">
        <v>119760</v>
      </c>
      <c r="R27" s="473">
        <v>120306</v>
      </c>
      <c r="S27" s="473">
        <v>122635</v>
      </c>
      <c r="T27" s="473">
        <v>120520</v>
      </c>
      <c r="U27" s="473">
        <v>118775</v>
      </c>
      <c r="V27" s="473">
        <v>120010</v>
      </c>
    </row>
    <row r="28" spans="1:22" ht="15" customHeight="1">
      <c r="A28" s="77"/>
      <c r="B28" s="76" t="s">
        <v>44</v>
      </c>
      <c r="C28" s="202">
        <v>117692</v>
      </c>
      <c r="D28" s="202">
        <v>138201</v>
      </c>
      <c r="E28" s="87">
        <v>126924</v>
      </c>
      <c r="F28" s="87">
        <v>141468</v>
      </c>
      <c r="G28" s="87">
        <v>148200</v>
      </c>
      <c r="H28" s="87">
        <v>154497</v>
      </c>
      <c r="I28" s="87">
        <v>167652</v>
      </c>
      <c r="J28" s="87">
        <v>141075</v>
      </c>
      <c r="K28" s="87">
        <v>140570</v>
      </c>
      <c r="L28" s="87">
        <v>146193</v>
      </c>
      <c r="M28" s="473">
        <v>148910</v>
      </c>
      <c r="N28" s="473">
        <v>141355</v>
      </c>
      <c r="O28" s="473">
        <v>159292</v>
      </c>
      <c r="P28" s="473">
        <v>181290</v>
      </c>
      <c r="Q28" s="473">
        <v>170291</v>
      </c>
      <c r="R28" s="473">
        <v>180451</v>
      </c>
      <c r="S28" s="473">
        <v>179258</v>
      </c>
      <c r="T28" s="473">
        <v>179854.5</v>
      </c>
      <c r="U28" s="473">
        <v>189557</v>
      </c>
      <c r="V28" s="473">
        <v>179557</v>
      </c>
    </row>
    <row r="29" spans="1:22" ht="15" customHeight="1">
      <c r="A29" s="77"/>
      <c r="B29" s="21" t="s">
        <v>45</v>
      </c>
      <c r="C29" s="202">
        <v>99263</v>
      </c>
      <c r="D29" s="202">
        <v>99263</v>
      </c>
      <c r="E29" s="87">
        <v>96021</v>
      </c>
      <c r="F29" s="87">
        <v>91743</v>
      </c>
      <c r="G29" s="87">
        <v>89300</v>
      </c>
      <c r="H29" s="87">
        <v>81490</v>
      </c>
      <c r="I29" s="87">
        <v>82800</v>
      </c>
      <c r="J29" s="87">
        <v>83145</v>
      </c>
      <c r="K29" s="87">
        <v>744649</v>
      </c>
      <c r="L29" s="87">
        <v>68240</v>
      </c>
      <c r="M29" s="473">
        <v>79200</v>
      </c>
      <c r="N29" s="473">
        <v>83160</v>
      </c>
      <c r="O29" s="473">
        <v>85320</v>
      </c>
      <c r="P29" s="473">
        <v>89710</v>
      </c>
      <c r="Q29" s="473">
        <v>95430</v>
      </c>
      <c r="R29" s="473">
        <v>95430</v>
      </c>
      <c r="S29" s="473">
        <v>97342</v>
      </c>
      <c r="T29" s="473">
        <v>93896</v>
      </c>
      <c r="U29" s="473">
        <v>80560</v>
      </c>
      <c r="V29" s="473">
        <v>84245</v>
      </c>
    </row>
    <row r="30" spans="1:22" ht="15" customHeight="1">
      <c r="A30" s="77"/>
      <c r="B30" s="21" t="s">
        <v>46</v>
      </c>
      <c r="C30" s="202">
        <v>42788</v>
      </c>
      <c r="D30" s="202">
        <v>44500</v>
      </c>
      <c r="E30" s="87">
        <v>40949</v>
      </c>
      <c r="F30" s="87">
        <v>46668</v>
      </c>
      <c r="G30" s="87">
        <v>48350</v>
      </c>
      <c r="H30" s="87">
        <v>50651</v>
      </c>
      <c r="I30" s="87">
        <v>53927</v>
      </c>
      <c r="J30" s="87">
        <v>52289</v>
      </c>
      <c r="K30" s="87">
        <v>52140</v>
      </c>
      <c r="L30" s="87">
        <v>48014</v>
      </c>
      <c r="M30" s="473">
        <v>45014</v>
      </c>
      <c r="N30" s="473">
        <v>47265</v>
      </c>
      <c r="O30" s="473">
        <v>49630</v>
      </c>
      <c r="P30" s="473">
        <v>47302</v>
      </c>
      <c r="Q30" s="473">
        <v>47430</v>
      </c>
      <c r="R30" s="473">
        <v>47430</v>
      </c>
      <c r="S30" s="473">
        <v>46273</v>
      </c>
      <c r="T30" s="473">
        <v>46851.5</v>
      </c>
      <c r="U30" s="473">
        <v>43606</v>
      </c>
      <c r="V30" s="473">
        <v>46211</v>
      </c>
    </row>
    <row r="31" spans="1:22" ht="15" customHeight="1" thickBot="1">
      <c r="A31" s="82"/>
      <c r="B31" s="434" t="s">
        <v>47</v>
      </c>
      <c r="C31" s="438">
        <v>16968</v>
      </c>
      <c r="D31" s="438">
        <v>17439</v>
      </c>
      <c r="E31" s="474">
        <v>16952</v>
      </c>
      <c r="F31" s="474">
        <v>17640</v>
      </c>
      <c r="G31" s="474">
        <v>18069</v>
      </c>
      <c r="H31" s="474">
        <v>12537</v>
      </c>
      <c r="I31" s="474">
        <v>13253</v>
      </c>
      <c r="J31" s="474">
        <v>12895</v>
      </c>
      <c r="K31" s="474">
        <v>15765</v>
      </c>
      <c r="L31" s="474">
        <v>14330</v>
      </c>
      <c r="M31" s="475">
        <v>12476</v>
      </c>
      <c r="N31" s="475">
        <v>13100</v>
      </c>
      <c r="O31" s="475">
        <v>13750</v>
      </c>
      <c r="P31" s="475">
        <v>13240</v>
      </c>
      <c r="Q31" s="475">
        <v>10715</v>
      </c>
      <c r="R31" s="475">
        <v>11220</v>
      </c>
      <c r="S31" s="475">
        <v>12680</v>
      </c>
      <c r="T31" s="475">
        <v>10964</v>
      </c>
      <c r="U31" s="475">
        <v>8689</v>
      </c>
      <c r="V31" s="475">
        <v>13075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  <c r="Q35" s="78"/>
      <c r="R35" s="78"/>
      <c r="S35" s="78"/>
      <c r="T35" s="78"/>
      <c r="U35" s="78"/>
      <c r="V35" s="78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  <c r="Q36" s="78"/>
      <c r="R36" s="78"/>
      <c r="S36" s="78"/>
      <c r="T36" s="78"/>
      <c r="U36" s="78"/>
      <c r="V36" s="78"/>
    </row>
    <row r="37" spans="1:22" ht="13.25" customHeight="1">
      <c r="Q37" s="78"/>
      <c r="R37" s="78"/>
      <c r="S37" s="78"/>
      <c r="T37" s="78"/>
      <c r="U37" s="78"/>
      <c r="V37" s="78"/>
    </row>
    <row r="38" spans="1:22" ht="13.25" customHeight="1">
      <c r="Q38" s="78"/>
      <c r="R38" s="78"/>
      <c r="S38" s="78"/>
      <c r="T38" s="78"/>
      <c r="U38" s="78"/>
      <c r="V38" s="78"/>
    </row>
    <row r="39" spans="1:22" ht="13.25" customHeight="1">
      <c r="Q39" s="78"/>
      <c r="R39" s="78"/>
      <c r="S39" s="78"/>
      <c r="T39" s="78"/>
      <c r="U39" s="78"/>
      <c r="V39" s="78"/>
    </row>
    <row r="40" spans="1:22" ht="13.25" customHeight="1">
      <c r="Q40" s="78"/>
      <c r="R40" s="78"/>
      <c r="S40" s="78"/>
      <c r="T40" s="78"/>
      <c r="U40" s="78"/>
      <c r="V40" s="78"/>
    </row>
    <row r="41" spans="1:22" ht="13.25" customHeight="1">
      <c r="V41" s="78"/>
    </row>
    <row r="42" spans="1:22" ht="13.25" customHeight="1">
      <c r="V42" s="78"/>
    </row>
    <row r="43" spans="1:22" ht="13.25" customHeight="1">
      <c r="V43" s="78"/>
    </row>
    <row r="44" spans="1:22" ht="13.25" customHeight="1">
      <c r="V44" s="78"/>
    </row>
    <row r="45" spans="1:22" ht="13.25" customHeight="1">
      <c r="V45" s="78"/>
    </row>
    <row r="46" spans="1:22" ht="13.25" customHeight="1">
      <c r="V46" s="78"/>
    </row>
    <row r="47" spans="1:22" ht="13.25" customHeight="1">
      <c r="V47" s="78"/>
    </row>
    <row r="48" spans="1:22" ht="13.25" customHeight="1">
      <c r="V48" s="78"/>
    </row>
    <row r="49" spans="22:22" ht="13.25" customHeight="1">
      <c r="V49" s="78"/>
    </row>
    <row r="50" spans="22:22" ht="13.25" customHeight="1">
      <c r="V50" s="78"/>
    </row>
    <row r="51" spans="22:22" ht="13.25" customHeight="1">
      <c r="V51" s="78"/>
    </row>
    <row r="52" spans="22:22" ht="13.25" customHeight="1">
      <c r="V52" s="78"/>
    </row>
    <row r="53" spans="22:22" ht="13.25" customHeight="1">
      <c r="V53" s="78"/>
    </row>
    <row r="54" spans="22:22" ht="13.25" customHeight="1">
      <c r="V54" s="78"/>
    </row>
    <row r="55" spans="22:22" ht="13.25" customHeight="1">
      <c r="V55" s="78"/>
    </row>
    <row r="56" spans="22:22" ht="13.25" customHeight="1">
      <c r="V56" s="78"/>
    </row>
    <row r="57" spans="22:22" ht="13.25" customHeight="1">
      <c r="V57" s="78"/>
    </row>
    <row r="58" spans="22:22" ht="13.25" customHeight="1">
      <c r="V58" s="78"/>
    </row>
    <row r="59" spans="22:22" ht="13.25" customHeight="1">
      <c r="V59" s="78"/>
    </row>
    <row r="60" spans="22:22" ht="13.25" customHeight="1">
      <c r="V60" s="78"/>
    </row>
    <row r="61" spans="22:22" ht="13.25" customHeight="1">
      <c r="V61" s="78"/>
    </row>
    <row r="62" spans="22:22" ht="13.25" customHeight="1">
      <c r="V62" s="7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4">
    <tabColor theme="9" tint="0.59999389629810485"/>
  </sheetPr>
  <dimension ref="A2:V36"/>
  <sheetViews>
    <sheetView showGridLines="0" zoomScaleNormal="100" workbookViewId="0">
      <selection activeCell="S6" sqref="S6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796875" style="76" customWidth="1"/>
    <col min="24" max="16384" width="7" style="76"/>
  </cols>
  <sheetData>
    <row r="2" spans="1:22" ht="13.25" customHeight="1">
      <c r="A2" s="210" t="s">
        <v>500</v>
      </c>
      <c r="B2" s="211"/>
    </row>
    <row r="3" spans="1:22" ht="13.25" customHeight="1">
      <c r="A3" s="212" t="s">
        <v>211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2" ht="18" customHeight="1">
      <c r="A6" s="1020" t="s">
        <v>93</v>
      </c>
      <c r="B6" s="1020"/>
      <c r="C6" s="629">
        <f t="shared" ref="C6:N6" si="0">(C8+C9+C10+C11+C12+C13+C14+C15+C16+C17+C18+C19+C20+C21+C22+C23+C24+C25+C26+C27+C28+C29+C30+C31)</f>
        <v>1991346</v>
      </c>
      <c r="D6" s="629">
        <f t="shared" si="0"/>
        <v>2074715</v>
      </c>
      <c r="E6" s="630">
        <f t="shared" si="0"/>
        <v>2153141</v>
      </c>
      <c r="F6" s="630">
        <f t="shared" si="0"/>
        <v>2131518</v>
      </c>
      <c r="G6" s="630">
        <f t="shared" si="0"/>
        <v>2213057</v>
      </c>
      <c r="H6" s="630">
        <f t="shared" si="0"/>
        <v>2186978</v>
      </c>
      <c r="I6" s="630">
        <f t="shared" si="0"/>
        <v>2298432</v>
      </c>
      <c r="J6" s="630">
        <f t="shared" si="0"/>
        <v>2401633</v>
      </c>
      <c r="K6" s="630">
        <f t="shared" si="0"/>
        <v>2499032</v>
      </c>
      <c r="L6" s="630">
        <f t="shared" si="0"/>
        <v>2629566</v>
      </c>
      <c r="M6" s="630">
        <f t="shared" si="0"/>
        <v>2764884</v>
      </c>
      <c r="N6" s="630">
        <f t="shared" si="0"/>
        <v>2876803</v>
      </c>
      <c r="O6" s="630">
        <f t="shared" ref="O6:V6" si="1">(O8+O9+O10+O11+O12+O13+O14+O15+O16+O17+O18+O19+O20+O21+O22+O23+O24+O25+O26+O27+O28+O29+O30+O31)</f>
        <v>3073656</v>
      </c>
      <c r="P6" s="630">
        <f t="shared" si="1"/>
        <v>3090907</v>
      </c>
      <c r="Q6" s="630">
        <f t="shared" si="1"/>
        <v>3284607</v>
      </c>
      <c r="R6" s="630">
        <f t="shared" si="1"/>
        <v>3191164</v>
      </c>
      <c r="S6" s="630">
        <f t="shared" si="1"/>
        <v>3314890</v>
      </c>
      <c r="T6" s="630">
        <f t="shared" ref="T6:U6" si="2">(T8+T9+T10+T11+T12+T13+T14+T15+T16+T17+T18+T19+T20+T21+T22+T23+T24+T25+T26+T27+T28+T29+T30+T31)</f>
        <v>3458391</v>
      </c>
      <c r="U6" s="630">
        <f t="shared" si="2"/>
        <v>3775008</v>
      </c>
      <c r="V6" s="630">
        <f t="shared" si="1"/>
        <v>3990915</v>
      </c>
    </row>
    <row r="7" spans="1:22" ht="3" customHeight="1">
      <c r="A7" s="77"/>
      <c r="B7" s="78"/>
      <c r="C7" s="203"/>
      <c r="D7" s="203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</row>
    <row r="8" spans="1:22" ht="15" customHeight="1">
      <c r="A8" s="77"/>
      <c r="B8" s="21" t="s">
        <v>19</v>
      </c>
      <c r="C8" s="202">
        <v>5736</v>
      </c>
      <c r="D8" s="202">
        <v>7869</v>
      </c>
      <c r="E8" s="87">
        <v>9080</v>
      </c>
      <c r="F8" s="87">
        <v>10918</v>
      </c>
      <c r="G8" s="87">
        <v>11209</v>
      </c>
      <c r="H8" s="87">
        <v>14190</v>
      </c>
      <c r="I8" s="87">
        <v>15640</v>
      </c>
      <c r="J8" s="87">
        <v>19998</v>
      </c>
      <c r="K8" s="87">
        <v>24652</v>
      </c>
      <c r="L8" s="87">
        <v>21552</v>
      </c>
      <c r="M8" s="473">
        <v>20650</v>
      </c>
      <c r="N8" s="473">
        <v>6572</v>
      </c>
      <c r="O8" s="473">
        <v>7991</v>
      </c>
      <c r="P8" s="473">
        <v>6650</v>
      </c>
      <c r="Q8" s="473">
        <v>6339</v>
      </c>
      <c r="R8" s="473">
        <v>6828</v>
      </c>
      <c r="S8" s="473">
        <v>6016</v>
      </c>
      <c r="T8" s="473">
        <v>5942</v>
      </c>
      <c r="U8" s="473">
        <v>5883</v>
      </c>
      <c r="V8" s="473">
        <v>5560</v>
      </c>
    </row>
    <row r="9" spans="1:22" ht="15" customHeight="1">
      <c r="A9" s="77"/>
      <c r="B9" s="21" t="s">
        <v>20</v>
      </c>
      <c r="C9" s="202">
        <v>152979</v>
      </c>
      <c r="D9" s="202">
        <v>170014</v>
      </c>
      <c r="E9" s="87">
        <v>145669</v>
      </c>
      <c r="F9" s="87">
        <v>149359</v>
      </c>
      <c r="G9" s="87">
        <v>135724</v>
      </c>
      <c r="H9" s="87">
        <v>137639</v>
      </c>
      <c r="I9" s="87">
        <v>122597</v>
      </c>
      <c r="J9" s="87">
        <v>139342</v>
      </c>
      <c r="K9" s="87">
        <v>130455</v>
      </c>
      <c r="L9" s="87">
        <v>120101</v>
      </c>
      <c r="M9" s="473">
        <v>112784</v>
      </c>
      <c r="N9" s="473">
        <v>90860</v>
      </c>
      <c r="O9" s="473">
        <v>110734</v>
      </c>
      <c r="P9" s="473">
        <v>105011</v>
      </c>
      <c r="Q9" s="473">
        <v>113620</v>
      </c>
      <c r="R9" s="473">
        <v>114837</v>
      </c>
      <c r="S9" s="473">
        <v>116133</v>
      </c>
      <c r="T9" s="473">
        <v>114662</v>
      </c>
      <c r="U9" s="473">
        <v>114623</v>
      </c>
      <c r="V9" s="473">
        <v>116025</v>
      </c>
    </row>
    <row r="10" spans="1:22" ht="15" customHeight="1">
      <c r="A10" s="77"/>
      <c r="B10" s="21" t="s">
        <v>21</v>
      </c>
      <c r="C10" s="202">
        <v>33542</v>
      </c>
      <c r="D10" s="202">
        <v>31247</v>
      </c>
      <c r="E10" s="87">
        <v>39613</v>
      </c>
      <c r="F10" s="87">
        <v>26657</v>
      </c>
      <c r="G10" s="87">
        <v>27764</v>
      </c>
      <c r="H10" s="87">
        <v>29463</v>
      </c>
      <c r="I10" s="87">
        <v>29848</v>
      </c>
      <c r="J10" s="87">
        <v>28328</v>
      </c>
      <c r="K10" s="87">
        <v>32765</v>
      </c>
      <c r="L10" s="87">
        <v>34051</v>
      </c>
      <c r="M10" s="87">
        <v>28202</v>
      </c>
      <c r="N10" s="87">
        <v>29575</v>
      </c>
      <c r="O10" s="87">
        <v>29483</v>
      </c>
      <c r="P10" s="87">
        <v>30218</v>
      </c>
      <c r="Q10" s="87">
        <v>31654</v>
      </c>
      <c r="R10" s="87">
        <v>29989</v>
      </c>
      <c r="S10" s="87">
        <v>29328</v>
      </c>
      <c r="T10" s="87">
        <v>30240</v>
      </c>
      <c r="U10" s="87">
        <v>29125</v>
      </c>
      <c r="V10" s="87">
        <v>30744</v>
      </c>
    </row>
    <row r="11" spans="1:22" ht="15" customHeight="1">
      <c r="A11" s="77"/>
      <c r="B11" s="21" t="s">
        <v>22</v>
      </c>
      <c r="C11" s="202">
        <v>139090</v>
      </c>
      <c r="D11" s="202">
        <v>144342</v>
      </c>
      <c r="E11" s="87">
        <v>150446</v>
      </c>
      <c r="F11" s="87">
        <v>154816</v>
      </c>
      <c r="G11" s="87">
        <v>160211</v>
      </c>
      <c r="H11" s="87">
        <v>166714</v>
      </c>
      <c r="I11" s="87">
        <v>175710</v>
      </c>
      <c r="J11" s="87">
        <v>178913</v>
      </c>
      <c r="K11" s="87">
        <v>185442</v>
      </c>
      <c r="L11" s="87">
        <v>234537</v>
      </c>
      <c r="M11" s="473">
        <v>253558</v>
      </c>
      <c r="N11" s="473">
        <v>264408</v>
      </c>
      <c r="O11" s="473">
        <v>298028</v>
      </c>
      <c r="P11" s="473">
        <v>306250</v>
      </c>
      <c r="Q11" s="473">
        <v>309578</v>
      </c>
      <c r="R11" s="473">
        <v>326814</v>
      </c>
      <c r="S11" s="473">
        <v>337947</v>
      </c>
      <c r="T11" s="473">
        <v>346595</v>
      </c>
      <c r="U11" s="473">
        <v>354779</v>
      </c>
      <c r="V11" s="473">
        <v>386387</v>
      </c>
    </row>
    <row r="12" spans="1:22" ht="15" customHeight="1">
      <c r="A12" s="77"/>
      <c r="B12" s="21" t="s">
        <v>23</v>
      </c>
      <c r="C12" s="202">
        <v>84639</v>
      </c>
      <c r="D12" s="202">
        <v>98925</v>
      </c>
      <c r="E12" s="87">
        <v>105153</v>
      </c>
      <c r="F12" s="87">
        <v>105587</v>
      </c>
      <c r="G12" s="87">
        <v>108232</v>
      </c>
      <c r="H12" s="87">
        <v>116202</v>
      </c>
      <c r="I12" s="87">
        <v>119828</v>
      </c>
      <c r="J12" s="87">
        <v>119415</v>
      </c>
      <c r="K12" s="87">
        <v>142525</v>
      </c>
      <c r="L12" s="87">
        <v>148397</v>
      </c>
      <c r="M12" s="473">
        <v>162359</v>
      </c>
      <c r="N12" s="473">
        <v>155454</v>
      </c>
      <c r="O12" s="473">
        <v>147970</v>
      </c>
      <c r="P12" s="473">
        <v>145709</v>
      </c>
      <c r="Q12" s="473">
        <v>150866</v>
      </c>
      <c r="R12" s="473">
        <v>131905</v>
      </c>
      <c r="S12" s="473">
        <v>138143</v>
      </c>
      <c r="T12" s="473">
        <v>142637</v>
      </c>
      <c r="U12" s="473">
        <v>139710</v>
      </c>
      <c r="V12" s="473">
        <v>136492</v>
      </c>
    </row>
    <row r="13" spans="1:22" ht="15" customHeight="1">
      <c r="A13" s="77"/>
      <c r="B13" s="21" t="s">
        <v>27</v>
      </c>
      <c r="C13" s="202">
        <v>18668</v>
      </c>
      <c r="D13" s="202">
        <v>19397</v>
      </c>
      <c r="E13" s="87">
        <v>19950</v>
      </c>
      <c r="F13" s="87">
        <v>19849</v>
      </c>
      <c r="G13" s="87">
        <v>20993</v>
      </c>
      <c r="H13" s="87">
        <v>22991</v>
      </c>
      <c r="I13" s="87">
        <v>23235</v>
      </c>
      <c r="J13" s="87">
        <v>24958</v>
      </c>
      <c r="K13" s="87">
        <v>27777</v>
      </c>
      <c r="L13" s="87">
        <v>29076</v>
      </c>
      <c r="M13" s="87">
        <v>28474</v>
      </c>
      <c r="N13" s="87">
        <v>31085</v>
      </c>
      <c r="O13" s="87">
        <v>33563</v>
      </c>
      <c r="P13" s="87">
        <v>33636</v>
      </c>
      <c r="Q13" s="87">
        <v>34042</v>
      </c>
      <c r="R13" s="87">
        <v>30202</v>
      </c>
      <c r="S13" s="87">
        <v>28738</v>
      </c>
      <c r="T13" s="87">
        <v>32121</v>
      </c>
      <c r="U13" s="87">
        <v>35262</v>
      </c>
      <c r="V13" s="87">
        <v>38532</v>
      </c>
    </row>
    <row r="14" spans="1:22" ht="15" customHeight="1">
      <c r="A14" s="77"/>
      <c r="B14" s="21" t="s">
        <v>28</v>
      </c>
      <c r="C14" s="202">
        <v>34091</v>
      </c>
      <c r="D14" s="202">
        <v>32063</v>
      </c>
      <c r="E14" s="87">
        <v>30399</v>
      </c>
      <c r="F14" s="87">
        <v>30933</v>
      </c>
      <c r="G14" s="87">
        <v>32536</v>
      </c>
      <c r="H14" s="87">
        <v>33286</v>
      </c>
      <c r="I14" s="87">
        <v>34841</v>
      </c>
      <c r="J14" s="87">
        <v>35664</v>
      </c>
      <c r="K14" s="87">
        <v>36073</v>
      </c>
      <c r="L14" s="87">
        <v>36192</v>
      </c>
      <c r="M14" s="473">
        <v>38450</v>
      </c>
      <c r="N14" s="473">
        <v>41738</v>
      </c>
      <c r="O14" s="473">
        <v>42272</v>
      </c>
      <c r="P14" s="473">
        <v>49016</v>
      </c>
      <c r="Q14" s="473">
        <v>49555</v>
      </c>
      <c r="R14" s="473">
        <v>49768</v>
      </c>
      <c r="S14" s="473">
        <v>60397</v>
      </c>
      <c r="T14" s="473">
        <v>61807</v>
      </c>
      <c r="U14" s="473">
        <v>60603</v>
      </c>
      <c r="V14" s="473">
        <v>61258</v>
      </c>
    </row>
    <row r="15" spans="1:22" ht="15" customHeight="1">
      <c r="A15" s="77"/>
      <c r="B15" s="21" t="s">
        <v>29</v>
      </c>
      <c r="C15" s="202">
        <v>670896</v>
      </c>
      <c r="D15" s="202">
        <v>687025</v>
      </c>
      <c r="E15" s="87">
        <v>752628</v>
      </c>
      <c r="F15" s="87">
        <v>750189</v>
      </c>
      <c r="G15" s="87">
        <v>806438</v>
      </c>
      <c r="H15" s="87">
        <v>716445</v>
      </c>
      <c r="I15" s="87">
        <v>771492</v>
      </c>
      <c r="J15" s="87">
        <v>815897</v>
      </c>
      <c r="K15" s="87">
        <v>871136</v>
      </c>
      <c r="L15" s="87">
        <v>929600</v>
      </c>
      <c r="M15" s="473">
        <v>989849</v>
      </c>
      <c r="N15" s="473">
        <v>1027092</v>
      </c>
      <c r="O15" s="473">
        <v>1132149</v>
      </c>
      <c r="P15" s="473">
        <v>1127542</v>
      </c>
      <c r="Q15" s="473">
        <v>1178439</v>
      </c>
      <c r="R15" s="473">
        <v>1147786</v>
      </c>
      <c r="S15" s="473">
        <v>1182774</v>
      </c>
      <c r="T15" s="473">
        <v>1241576</v>
      </c>
      <c r="U15" s="473">
        <v>1474086</v>
      </c>
      <c r="V15" s="473">
        <v>1520451</v>
      </c>
    </row>
    <row r="16" spans="1:22" ht="15" customHeight="1">
      <c r="A16" s="77"/>
      <c r="B16" s="21" t="s">
        <v>30</v>
      </c>
      <c r="C16" s="202">
        <v>33677</v>
      </c>
      <c r="D16" s="202">
        <v>32195</v>
      </c>
      <c r="E16" s="87">
        <v>10888</v>
      </c>
      <c r="F16" s="87">
        <v>24262</v>
      </c>
      <c r="G16" s="87">
        <v>27101</v>
      </c>
      <c r="H16" s="87">
        <v>34977</v>
      </c>
      <c r="I16" s="87">
        <v>38138</v>
      </c>
      <c r="J16" s="87">
        <v>33913</v>
      </c>
      <c r="K16" s="87">
        <v>33367</v>
      </c>
      <c r="L16" s="87">
        <v>41179</v>
      </c>
      <c r="M16" s="87">
        <v>51202</v>
      </c>
      <c r="N16" s="87">
        <v>66046</v>
      </c>
      <c r="O16" s="87">
        <v>93401</v>
      </c>
      <c r="P16" s="87">
        <v>102194</v>
      </c>
      <c r="Q16" s="87">
        <v>212080</v>
      </c>
      <c r="R16" s="87">
        <v>218375</v>
      </c>
      <c r="S16" s="87">
        <v>246350</v>
      </c>
      <c r="T16" s="87">
        <v>280296</v>
      </c>
      <c r="U16" s="87">
        <v>325151</v>
      </c>
      <c r="V16" s="87">
        <v>405041</v>
      </c>
    </row>
    <row r="17" spans="1:22" ht="15" customHeight="1">
      <c r="A17" s="77"/>
      <c r="B17" s="21" t="s">
        <v>31</v>
      </c>
      <c r="C17" s="202">
        <v>207248</v>
      </c>
      <c r="D17" s="202">
        <v>212324</v>
      </c>
      <c r="E17" s="87">
        <v>213191</v>
      </c>
      <c r="F17" s="87">
        <v>208343</v>
      </c>
      <c r="G17" s="87">
        <v>216791</v>
      </c>
      <c r="H17" s="87">
        <v>211314</v>
      </c>
      <c r="I17" s="87">
        <v>186646</v>
      </c>
      <c r="J17" s="87">
        <v>168580</v>
      </c>
      <c r="K17" s="87">
        <v>157253</v>
      </c>
      <c r="L17" s="87">
        <v>178281</v>
      </c>
      <c r="M17" s="473">
        <v>186154</v>
      </c>
      <c r="N17" s="473">
        <v>195634</v>
      </c>
      <c r="O17" s="473">
        <v>207816</v>
      </c>
      <c r="P17" s="473">
        <v>219610</v>
      </c>
      <c r="Q17" s="473">
        <v>208424</v>
      </c>
      <c r="R17" s="473">
        <v>208063</v>
      </c>
      <c r="S17" s="473">
        <v>211032</v>
      </c>
      <c r="T17" s="473">
        <v>211891</v>
      </c>
      <c r="U17" s="473">
        <v>203305</v>
      </c>
      <c r="V17" s="473">
        <v>231783</v>
      </c>
    </row>
    <row r="18" spans="1:22" ht="15" customHeight="1">
      <c r="A18" s="77"/>
      <c r="B18" s="21" t="s">
        <v>32</v>
      </c>
      <c r="C18" s="202">
        <v>42504</v>
      </c>
      <c r="D18" s="202">
        <v>57967</v>
      </c>
      <c r="E18" s="87">
        <v>62155</v>
      </c>
      <c r="F18" s="87">
        <v>48615</v>
      </c>
      <c r="G18" s="87">
        <v>57733</v>
      </c>
      <c r="H18" s="87">
        <v>63216</v>
      </c>
      <c r="I18" s="87">
        <v>68788</v>
      </c>
      <c r="J18" s="87">
        <v>70533</v>
      </c>
      <c r="K18" s="87">
        <v>60559</v>
      </c>
      <c r="L18" s="87">
        <v>54680</v>
      </c>
      <c r="M18" s="473">
        <v>50254</v>
      </c>
      <c r="N18" s="473">
        <v>31465</v>
      </c>
      <c r="O18" s="473">
        <v>34316</v>
      </c>
      <c r="P18" s="473">
        <v>34195</v>
      </c>
      <c r="Q18" s="473">
        <v>36228</v>
      </c>
      <c r="R18" s="473">
        <v>36484</v>
      </c>
      <c r="S18" s="473">
        <v>38656</v>
      </c>
      <c r="T18" s="473">
        <v>38987</v>
      </c>
      <c r="U18" s="473">
        <v>38740</v>
      </c>
      <c r="V18" s="473">
        <v>39436</v>
      </c>
    </row>
    <row r="19" spans="1:22" ht="15" customHeight="1">
      <c r="A19" s="77"/>
      <c r="B19" s="21" t="s">
        <v>33</v>
      </c>
      <c r="C19" s="202">
        <v>59570</v>
      </c>
      <c r="D19" s="202">
        <v>58120</v>
      </c>
      <c r="E19" s="87">
        <v>58844</v>
      </c>
      <c r="F19" s="87">
        <v>54863</v>
      </c>
      <c r="G19" s="87">
        <v>54207</v>
      </c>
      <c r="H19" s="87">
        <v>62646</v>
      </c>
      <c r="I19" s="87">
        <v>64691</v>
      </c>
      <c r="J19" s="87">
        <v>72184</v>
      </c>
      <c r="K19" s="87">
        <v>80903</v>
      </c>
      <c r="L19" s="87">
        <v>83141</v>
      </c>
      <c r="M19" s="473">
        <v>88757</v>
      </c>
      <c r="N19" s="473">
        <v>97680</v>
      </c>
      <c r="O19" s="473">
        <v>106651</v>
      </c>
      <c r="P19" s="473">
        <v>102607</v>
      </c>
      <c r="Q19" s="473">
        <v>114371</v>
      </c>
      <c r="R19" s="473">
        <v>105858</v>
      </c>
      <c r="S19" s="473">
        <v>116573</v>
      </c>
      <c r="T19" s="473">
        <v>122779</v>
      </c>
      <c r="U19" s="473">
        <v>127223</v>
      </c>
      <c r="V19" s="473">
        <v>128833</v>
      </c>
    </row>
    <row r="20" spans="1:22" ht="15" customHeight="1">
      <c r="A20" s="77"/>
      <c r="B20" s="21" t="s">
        <v>34</v>
      </c>
      <c r="C20" s="202">
        <v>59124</v>
      </c>
      <c r="D20" s="202">
        <v>53014</v>
      </c>
      <c r="E20" s="87">
        <v>49515</v>
      </c>
      <c r="F20" s="87">
        <v>48110</v>
      </c>
      <c r="G20" s="87">
        <v>43753</v>
      </c>
      <c r="H20" s="87">
        <v>47029</v>
      </c>
      <c r="I20" s="87">
        <v>41748</v>
      </c>
      <c r="J20" s="87">
        <v>41090</v>
      </c>
      <c r="K20" s="87">
        <v>37437</v>
      </c>
      <c r="L20" s="87">
        <v>38621</v>
      </c>
      <c r="M20" s="473">
        <v>42079</v>
      </c>
      <c r="N20" s="473">
        <v>43268</v>
      </c>
      <c r="O20" s="473">
        <v>42772</v>
      </c>
      <c r="P20" s="473">
        <v>43012</v>
      </c>
      <c r="Q20" s="473">
        <v>44440</v>
      </c>
      <c r="R20" s="473">
        <v>40726</v>
      </c>
      <c r="S20" s="473">
        <v>40870</v>
      </c>
      <c r="T20" s="473">
        <v>35892</v>
      </c>
      <c r="U20" s="473">
        <v>34887</v>
      </c>
      <c r="V20" s="473">
        <v>36574</v>
      </c>
    </row>
    <row r="21" spans="1:22" ht="15" customHeight="1">
      <c r="A21" s="77"/>
      <c r="B21" s="21" t="s">
        <v>35</v>
      </c>
      <c r="C21" s="202">
        <v>74147</v>
      </c>
      <c r="D21" s="202">
        <v>75679</v>
      </c>
      <c r="E21" s="87">
        <v>71886</v>
      </c>
      <c r="F21" s="87">
        <v>72778</v>
      </c>
      <c r="G21" s="87">
        <v>72373</v>
      </c>
      <c r="H21" s="87">
        <v>79886</v>
      </c>
      <c r="I21" s="87">
        <v>115045</v>
      </c>
      <c r="J21" s="87">
        <v>136298</v>
      </c>
      <c r="K21" s="87">
        <v>140564</v>
      </c>
      <c r="L21" s="87">
        <v>153230</v>
      </c>
      <c r="M21" s="473">
        <v>179746</v>
      </c>
      <c r="N21" s="473">
        <v>209932</v>
      </c>
      <c r="O21" s="473">
        <v>202875</v>
      </c>
      <c r="P21" s="473">
        <v>210205</v>
      </c>
      <c r="Q21" s="473">
        <v>198540</v>
      </c>
      <c r="R21" s="473">
        <v>203325</v>
      </c>
      <c r="S21" s="473">
        <v>205510</v>
      </c>
      <c r="T21" s="473">
        <v>214046</v>
      </c>
      <c r="U21" s="473">
        <v>218204</v>
      </c>
      <c r="V21" s="473">
        <v>237857</v>
      </c>
    </row>
    <row r="22" spans="1:22" ht="15" customHeight="1">
      <c r="A22" s="77"/>
      <c r="B22" s="21" t="s">
        <v>36</v>
      </c>
      <c r="C22" s="202">
        <v>8360</v>
      </c>
      <c r="D22" s="202">
        <v>8564</v>
      </c>
      <c r="E22" s="87">
        <v>8440</v>
      </c>
      <c r="F22" s="87">
        <v>8278</v>
      </c>
      <c r="G22" s="87">
        <v>8228</v>
      </c>
      <c r="H22" s="87">
        <v>8362</v>
      </c>
      <c r="I22" s="87">
        <v>9442</v>
      </c>
      <c r="J22" s="87">
        <v>10196</v>
      </c>
      <c r="K22" s="87">
        <v>14259</v>
      </c>
      <c r="L22" s="87">
        <v>12897</v>
      </c>
      <c r="M22" s="473">
        <v>13571</v>
      </c>
      <c r="N22" s="473">
        <v>15778</v>
      </c>
      <c r="O22" s="473">
        <v>21597</v>
      </c>
      <c r="P22" s="473">
        <v>27007</v>
      </c>
      <c r="Q22" s="473">
        <v>26011</v>
      </c>
      <c r="R22" s="473">
        <v>21353</v>
      </c>
      <c r="S22" s="473">
        <v>25858</v>
      </c>
      <c r="T22" s="473">
        <v>26968</v>
      </c>
      <c r="U22" s="473">
        <v>27989</v>
      </c>
      <c r="V22" s="473">
        <v>28766</v>
      </c>
    </row>
    <row r="23" spans="1:22" ht="15" customHeight="1">
      <c r="A23" s="77"/>
      <c r="B23" s="21" t="s">
        <v>37</v>
      </c>
      <c r="C23" s="202">
        <v>8680</v>
      </c>
      <c r="D23" s="202">
        <v>8081</v>
      </c>
      <c r="E23" s="87">
        <v>13017</v>
      </c>
      <c r="F23" s="87">
        <v>16309</v>
      </c>
      <c r="G23" s="87">
        <v>15257</v>
      </c>
      <c r="H23" s="87">
        <v>17790</v>
      </c>
      <c r="I23" s="87">
        <v>21907</v>
      </c>
      <c r="J23" s="87">
        <v>51387</v>
      </c>
      <c r="K23" s="87">
        <v>54494</v>
      </c>
      <c r="L23" s="87">
        <v>59747</v>
      </c>
      <c r="M23" s="473">
        <v>63535</v>
      </c>
      <c r="N23" s="473">
        <v>65876</v>
      </c>
      <c r="O23" s="473">
        <v>66586</v>
      </c>
      <c r="P23" s="473">
        <v>68005</v>
      </c>
      <c r="Q23" s="473">
        <v>68881</v>
      </c>
      <c r="R23" s="473">
        <v>69594</v>
      </c>
      <c r="S23" s="473">
        <v>69763</v>
      </c>
      <c r="T23" s="473">
        <v>70732</v>
      </c>
      <c r="U23" s="473">
        <v>70781</v>
      </c>
      <c r="V23" s="473">
        <v>71337</v>
      </c>
    </row>
    <row r="24" spans="1:22" ht="15" customHeight="1">
      <c r="A24" s="77"/>
      <c r="B24" s="21" t="s">
        <v>38</v>
      </c>
      <c r="C24" s="202">
        <v>70324</v>
      </c>
      <c r="D24" s="202">
        <v>68753</v>
      </c>
      <c r="E24" s="87">
        <v>72178</v>
      </c>
      <c r="F24" s="87">
        <v>71902</v>
      </c>
      <c r="G24" s="87">
        <v>74631</v>
      </c>
      <c r="H24" s="87">
        <v>73600</v>
      </c>
      <c r="I24" s="87">
        <v>82863</v>
      </c>
      <c r="J24" s="87">
        <v>89760</v>
      </c>
      <c r="K24" s="87">
        <v>90100</v>
      </c>
      <c r="L24" s="87">
        <v>53101</v>
      </c>
      <c r="M24" s="473">
        <v>52336</v>
      </c>
      <c r="N24" s="473">
        <v>55804</v>
      </c>
      <c r="O24" s="473">
        <v>52959</v>
      </c>
      <c r="P24" s="473">
        <v>56117</v>
      </c>
      <c r="Q24" s="473">
        <v>62319</v>
      </c>
      <c r="R24" s="473">
        <v>54161</v>
      </c>
      <c r="S24" s="473">
        <v>57183</v>
      </c>
      <c r="T24" s="473">
        <v>61980</v>
      </c>
      <c r="U24" s="473">
        <v>67426</v>
      </c>
      <c r="V24" s="473">
        <v>68090</v>
      </c>
    </row>
    <row r="25" spans="1:22" ht="15" customHeight="1">
      <c r="A25" s="77"/>
      <c r="B25" s="21" t="s">
        <v>39</v>
      </c>
      <c r="C25" s="202">
        <v>50014</v>
      </c>
      <c r="D25" s="202">
        <v>49653</v>
      </c>
      <c r="E25" s="87">
        <v>56896</v>
      </c>
      <c r="F25" s="87">
        <v>57388</v>
      </c>
      <c r="G25" s="87">
        <v>60425</v>
      </c>
      <c r="H25" s="87">
        <v>68563</v>
      </c>
      <c r="I25" s="87">
        <v>78775</v>
      </c>
      <c r="J25" s="87">
        <v>68365</v>
      </c>
      <c r="K25" s="87">
        <v>68786</v>
      </c>
      <c r="L25" s="87">
        <v>68452</v>
      </c>
      <c r="M25" s="473">
        <v>68592</v>
      </c>
      <c r="N25" s="473">
        <v>69841</v>
      </c>
      <c r="O25" s="473">
        <v>70374</v>
      </c>
      <c r="P25" s="473">
        <v>67544</v>
      </c>
      <c r="Q25" s="473">
        <v>71343</v>
      </c>
      <c r="R25" s="473">
        <v>70472</v>
      </c>
      <c r="S25" s="473">
        <v>65608</v>
      </c>
      <c r="T25" s="473">
        <v>60118</v>
      </c>
      <c r="U25" s="473">
        <v>55582</v>
      </c>
      <c r="V25" s="473">
        <v>54058</v>
      </c>
    </row>
    <row r="26" spans="1:22" ht="15" customHeight="1">
      <c r="A26" s="77"/>
      <c r="B26" s="21" t="s">
        <v>42</v>
      </c>
      <c r="C26" s="202">
        <v>68518</v>
      </c>
      <c r="D26" s="202">
        <v>85572</v>
      </c>
      <c r="E26" s="87">
        <v>103885</v>
      </c>
      <c r="F26" s="87">
        <v>85657</v>
      </c>
      <c r="G26" s="87">
        <v>85163</v>
      </c>
      <c r="H26" s="87">
        <v>79138</v>
      </c>
      <c r="I26" s="87">
        <v>85945</v>
      </c>
      <c r="J26" s="87">
        <v>90217</v>
      </c>
      <c r="K26" s="87">
        <v>102863</v>
      </c>
      <c r="L26" s="87">
        <v>112898</v>
      </c>
      <c r="M26" s="473">
        <v>127768</v>
      </c>
      <c r="N26" s="473">
        <v>154212</v>
      </c>
      <c r="O26" s="473">
        <v>144583</v>
      </c>
      <c r="P26" s="473">
        <v>108714</v>
      </c>
      <c r="Q26" s="473">
        <v>120446</v>
      </c>
      <c r="R26" s="473">
        <v>91405</v>
      </c>
      <c r="S26" s="473">
        <v>104462</v>
      </c>
      <c r="T26" s="473">
        <v>128736</v>
      </c>
      <c r="U26" s="473">
        <v>148458</v>
      </c>
      <c r="V26" s="473">
        <v>149255</v>
      </c>
    </row>
    <row r="27" spans="1:22" ht="15" customHeight="1">
      <c r="A27" s="77"/>
      <c r="B27" s="21" t="s">
        <v>43</v>
      </c>
      <c r="C27" s="202">
        <v>61930</v>
      </c>
      <c r="D27" s="202">
        <v>65520</v>
      </c>
      <c r="E27" s="87">
        <v>67990</v>
      </c>
      <c r="F27" s="87">
        <v>70540</v>
      </c>
      <c r="G27" s="87">
        <v>75600</v>
      </c>
      <c r="H27" s="87">
        <v>78270</v>
      </c>
      <c r="I27" s="87">
        <v>77874</v>
      </c>
      <c r="J27" s="87">
        <v>80049</v>
      </c>
      <c r="K27" s="87">
        <v>78825</v>
      </c>
      <c r="L27" s="87">
        <v>80179</v>
      </c>
      <c r="M27" s="473">
        <v>71591</v>
      </c>
      <c r="N27" s="473">
        <v>76134</v>
      </c>
      <c r="O27" s="473">
        <v>76729</v>
      </c>
      <c r="P27" s="473">
        <v>77010</v>
      </c>
      <c r="Q27" s="473">
        <v>77140</v>
      </c>
      <c r="R27" s="473">
        <v>77325</v>
      </c>
      <c r="S27" s="473">
        <v>77120</v>
      </c>
      <c r="T27" s="473">
        <v>77210</v>
      </c>
      <c r="U27" s="473">
        <v>76790</v>
      </c>
      <c r="V27" s="473">
        <v>76055</v>
      </c>
    </row>
    <row r="28" spans="1:22" ht="15" customHeight="1">
      <c r="A28" s="77"/>
      <c r="B28" s="76" t="s">
        <v>44</v>
      </c>
      <c r="C28" s="202">
        <v>57291</v>
      </c>
      <c r="D28" s="202">
        <v>59772</v>
      </c>
      <c r="E28" s="87">
        <v>60709</v>
      </c>
      <c r="F28" s="87">
        <v>61993</v>
      </c>
      <c r="G28" s="87">
        <v>59283</v>
      </c>
      <c r="H28" s="87">
        <v>60312</v>
      </c>
      <c r="I28" s="87">
        <v>58235</v>
      </c>
      <c r="J28" s="87">
        <v>47912</v>
      </c>
      <c r="K28" s="87">
        <v>46967</v>
      </c>
      <c r="L28" s="87">
        <v>55436</v>
      </c>
      <c r="M28" s="473">
        <v>53943</v>
      </c>
      <c r="N28" s="473">
        <v>59422</v>
      </c>
      <c r="O28" s="473">
        <v>59704</v>
      </c>
      <c r="P28" s="473">
        <v>67277</v>
      </c>
      <c r="Q28" s="473">
        <v>70713</v>
      </c>
      <c r="R28" s="473">
        <v>67171</v>
      </c>
      <c r="S28" s="473">
        <v>74226</v>
      </c>
      <c r="T28" s="473">
        <v>74443</v>
      </c>
      <c r="U28" s="473">
        <v>77484</v>
      </c>
      <c r="V28" s="473">
        <v>79658</v>
      </c>
    </row>
    <row r="29" spans="1:22" ht="15" customHeight="1">
      <c r="A29" s="77"/>
      <c r="B29" s="21" t="s">
        <v>45</v>
      </c>
      <c r="C29" s="202">
        <v>30732</v>
      </c>
      <c r="D29" s="202">
        <v>28215</v>
      </c>
      <c r="E29" s="87">
        <v>29327</v>
      </c>
      <c r="F29" s="87">
        <v>31280</v>
      </c>
      <c r="G29" s="87">
        <v>32759</v>
      </c>
      <c r="H29" s="87">
        <v>37863</v>
      </c>
      <c r="I29" s="87">
        <v>45225</v>
      </c>
      <c r="J29" s="87">
        <v>47774</v>
      </c>
      <c r="K29" s="87">
        <v>49718</v>
      </c>
      <c r="L29" s="87">
        <v>50870</v>
      </c>
      <c r="M29" s="473">
        <v>46770</v>
      </c>
      <c r="N29" s="473">
        <v>49351</v>
      </c>
      <c r="O29" s="473">
        <v>55401</v>
      </c>
      <c r="P29" s="473">
        <v>65574</v>
      </c>
      <c r="Q29" s="473">
        <v>60322</v>
      </c>
      <c r="R29" s="473">
        <v>54911</v>
      </c>
      <c r="S29" s="473">
        <v>47120</v>
      </c>
      <c r="T29" s="473">
        <v>44014</v>
      </c>
      <c r="U29" s="473">
        <v>47114</v>
      </c>
      <c r="V29" s="473">
        <v>43129</v>
      </c>
    </row>
    <row r="30" spans="1:22" ht="15" customHeight="1">
      <c r="A30" s="77"/>
      <c r="B30" s="21" t="s">
        <v>46</v>
      </c>
      <c r="C30" s="202">
        <v>15411</v>
      </c>
      <c r="D30" s="202">
        <v>16336</v>
      </c>
      <c r="E30" s="87">
        <v>17156</v>
      </c>
      <c r="F30" s="87">
        <v>18211</v>
      </c>
      <c r="G30" s="87">
        <v>20564</v>
      </c>
      <c r="H30" s="87">
        <v>22341</v>
      </c>
      <c r="I30" s="87">
        <v>24618</v>
      </c>
      <c r="J30" s="87">
        <v>24595</v>
      </c>
      <c r="K30" s="87">
        <v>24998</v>
      </c>
      <c r="L30" s="87">
        <v>25440</v>
      </c>
      <c r="M30" s="473">
        <v>26496</v>
      </c>
      <c r="N30" s="473">
        <v>27683</v>
      </c>
      <c r="O30" s="473">
        <v>21547</v>
      </c>
      <c r="P30" s="473">
        <v>23330</v>
      </c>
      <c r="Q30" s="473">
        <v>21739</v>
      </c>
      <c r="R30" s="473">
        <v>16326</v>
      </c>
      <c r="S30" s="473">
        <v>16005</v>
      </c>
      <c r="T30" s="473">
        <v>15032</v>
      </c>
      <c r="U30" s="473">
        <v>20397</v>
      </c>
      <c r="V30" s="473">
        <v>24206</v>
      </c>
    </row>
    <row r="31" spans="1:22" ht="15" customHeight="1" thickBot="1">
      <c r="A31" s="82"/>
      <c r="B31" s="434" t="s">
        <v>47</v>
      </c>
      <c r="C31" s="438">
        <v>4175</v>
      </c>
      <c r="D31" s="438">
        <v>4068</v>
      </c>
      <c r="E31" s="474">
        <v>4126</v>
      </c>
      <c r="F31" s="474">
        <v>4681</v>
      </c>
      <c r="G31" s="474">
        <v>6082</v>
      </c>
      <c r="H31" s="474">
        <v>4741</v>
      </c>
      <c r="I31" s="474">
        <v>5301</v>
      </c>
      <c r="J31" s="474">
        <v>6265</v>
      </c>
      <c r="K31" s="474">
        <v>7114</v>
      </c>
      <c r="L31" s="474">
        <v>7908</v>
      </c>
      <c r="M31" s="475">
        <v>7764</v>
      </c>
      <c r="N31" s="475">
        <v>11893</v>
      </c>
      <c r="O31" s="475">
        <v>14155</v>
      </c>
      <c r="P31" s="475">
        <v>14474</v>
      </c>
      <c r="Q31" s="475">
        <v>17517</v>
      </c>
      <c r="R31" s="475">
        <v>17486</v>
      </c>
      <c r="S31" s="475">
        <v>19078</v>
      </c>
      <c r="T31" s="475">
        <v>19687</v>
      </c>
      <c r="U31" s="475">
        <v>21406</v>
      </c>
      <c r="V31" s="475">
        <v>21388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5">
    <tabColor theme="9" tint="0.59999389629810485"/>
  </sheetPr>
  <dimension ref="A2:V36"/>
  <sheetViews>
    <sheetView showGridLines="0" zoomScaleNormal="100" workbookViewId="0">
      <selection activeCell="T7" sqref="T7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796875" style="76" customWidth="1"/>
    <col min="24" max="16384" width="7" style="76"/>
  </cols>
  <sheetData>
    <row r="2" spans="1:22" ht="15.75" customHeight="1">
      <c r="A2" s="210" t="s">
        <v>501</v>
      </c>
      <c r="B2" s="211"/>
    </row>
    <row r="3" spans="1:22" ht="13.25" customHeight="1">
      <c r="A3" s="212" t="s">
        <v>210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2" ht="18" customHeight="1">
      <c r="A6" s="1020" t="s">
        <v>93</v>
      </c>
      <c r="B6" s="1020"/>
      <c r="C6" s="632">
        <f t="shared" ref="C6:N6" si="0">(C8+C9+C10+C11+C12+C13+C14+C15+C16+C17+C18+C19+C20+C21+C22+C23+C24+C25+C26+C27+C28+C29+C30+C31)</f>
        <v>104254</v>
      </c>
      <c r="D6" s="632">
        <f t="shared" si="0"/>
        <v>109012</v>
      </c>
      <c r="E6" s="629">
        <f t="shared" si="0"/>
        <v>114520</v>
      </c>
      <c r="F6" s="629">
        <f t="shared" si="0"/>
        <v>115197</v>
      </c>
      <c r="G6" s="629">
        <f t="shared" si="0"/>
        <v>114717</v>
      </c>
      <c r="H6" s="629">
        <f t="shared" si="0"/>
        <v>115654</v>
      </c>
      <c r="I6" s="629">
        <f t="shared" si="0"/>
        <v>117588</v>
      </c>
      <c r="J6" s="629">
        <f t="shared" si="0"/>
        <v>122352</v>
      </c>
      <c r="K6" s="629">
        <f t="shared" si="0"/>
        <v>127685</v>
      </c>
      <c r="L6" s="629">
        <f t="shared" si="0"/>
        <v>135393</v>
      </c>
      <c r="M6" s="629">
        <f t="shared" si="0"/>
        <v>142927</v>
      </c>
      <c r="N6" s="629">
        <f t="shared" si="0"/>
        <v>149399</v>
      </c>
      <c r="O6" s="629">
        <f t="shared" ref="O6:V6" si="1">(O8+O9+O10+O11+O12+O13+O14+O15+O16+O17+O18+O19+O20+O21+O22+O23+O24+O25+O26+O27+O28+O29+O30+O31)</f>
        <v>157823</v>
      </c>
      <c r="P6" s="629">
        <f t="shared" si="1"/>
        <v>162421</v>
      </c>
      <c r="Q6" s="629">
        <f t="shared" si="1"/>
        <v>173258.7</v>
      </c>
      <c r="R6" s="629">
        <f t="shared" si="1"/>
        <v>169804.79999999996</v>
      </c>
      <c r="S6" s="629">
        <f t="shared" si="1"/>
        <v>176149.69999999998</v>
      </c>
      <c r="T6" s="629">
        <f t="shared" ref="T6:U6" si="2">(T8+T9+T10+T11+T12+T13+T14+T15+T16+T17+T18+T19+T20+T21+T22+T23+T24+T25+T26+T27+T28+T29+T30+T31)</f>
        <v>181404.90000000002</v>
      </c>
      <c r="U6" s="629">
        <f t="shared" si="2"/>
        <v>200449.75011889712</v>
      </c>
      <c r="V6" s="629">
        <f t="shared" si="1"/>
        <v>209548.89517455015</v>
      </c>
    </row>
    <row r="7" spans="1:22" ht="3" customHeight="1">
      <c r="A7" s="77"/>
      <c r="B7" s="78"/>
      <c r="C7" s="213"/>
      <c r="D7" s="21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</row>
    <row r="8" spans="1:22" ht="15" customHeight="1">
      <c r="A8" s="77"/>
      <c r="B8" s="21" t="s">
        <v>19</v>
      </c>
      <c r="C8" s="214">
        <v>190</v>
      </c>
      <c r="D8" s="214">
        <v>228</v>
      </c>
      <c r="E8" s="202">
        <v>306</v>
      </c>
      <c r="F8" s="202">
        <v>408</v>
      </c>
      <c r="G8" s="202">
        <v>420</v>
      </c>
      <c r="H8" s="202">
        <v>582</v>
      </c>
      <c r="I8" s="202">
        <v>626</v>
      </c>
      <c r="J8" s="202">
        <v>863</v>
      </c>
      <c r="K8" s="202">
        <v>998</v>
      </c>
      <c r="L8" s="202">
        <v>827</v>
      </c>
      <c r="M8" s="163">
        <v>780</v>
      </c>
      <c r="N8" s="163">
        <v>316</v>
      </c>
      <c r="O8" s="163">
        <v>398</v>
      </c>
      <c r="P8" s="163">
        <v>279</v>
      </c>
      <c r="Q8" s="163">
        <v>344.5</v>
      </c>
      <c r="R8" s="163">
        <v>332.7</v>
      </c>
      <c r="S8" s="163">
        <v>306</v>
      </c>
      <c r="T8" s="163">
        <v>285.10000000000002</v>
      </c>
      <c r="U8" s="163">
        <v>339.85999999999996</v>
      </c>
      <c r="V8" s="163">
        <v>306.89044999999999</v>
      </c>
    </row>
    <row r="9" spans="1:22" ht="15" customHeight="1">
      <c r="A9" s="77"/>
      <c r="B9" s="21" t="s">
        <v>20</v>
      </c>
      <c r="C9" s="214">
        <v>6387</v>
      </c>
      <c r="D9" s="214">
        <v>7231</v>
      </c>
      <c r="E9" s="202">
        <v>6857</v>
      </c>
      <c r="F9" s="202">
        <v>6388</v>
      </c>
      <c r="G9" s="202">
        <v>6499</v>
      </c>
      <c r="H9" s="202">
        <v>7171</v>
      </c>
      <c r="I9" s="202">
        <v>6138</v>
      </c>
      <c r="J9" s="202">
        <v>5969</v>
      </c>
      <c r="K9" s="202">
        <v>5987</v>
      </c>
      <c r="L9" s="202">
        <v>5651</v>
      </c>
      <c r="M9" s="163">
        <v>6266</v>
      </c>
      <c r="N9" s="163">
        <v>4635</v>
      </c>
      <c r="O9" s="163">
        <v>4739</v>
      </c>
      <c r="P9" s="163">
        <v>5048</v>
      </c>
      <c r="Q9" s="163">
        <v>5825</v>
      </c>
      <c r="R9" s="163">
        <v>6007</v>
      </c>
      <c r="S9" s="163">
        <v>6077.6</v>
      </c>
      <c r="T9" s="163">
        <v>6003.7</v>
      </c>
      <c r="U9" s="163">
        <v>6027.8861767966991</v>
      </c>
      <c r="V9" s="163">
        <v>6103.0035638552081</v>
      </c>
    </row>
    <row r="10" spans="1:22" ht="15" customHeight="1">
      <c r="A10" s="77"/>
      <c r="B10" s="21" t="s">
        <v>21</v>
      </c>
      <c r="C10" s="214">
        <v>1565</v>
      </c>
      <c r="D10" s="214">
        <v>1452</v>
      </c>
      <c r="E10" s="202">
        <v>2022</v>
      </c>
      <c r="F10" s="202">
        <v>1210</v>
      </c>
      <c r="G10" s="202">
        <v>1214</v>
      </c>
      <c r="H10" s="202">
        <v>1283</v>
      </c>
      <c r="I10" s="202">
        <v>1480</v>
      </c>
      <c r="J10" s="202">
        <v>1244</v>
      </c>
      <c r="K10" s="202">
        <v>1317</v>
      </c>
      <c r="L10" s="202">
        <v>1486</v>
      </c>
      <c r="M10" s="202">
        <v>1400</v>
      </c>
      <c r="N10" s="202">
        <v>1529</v>
      </c>
      <c r="O10" s="202">
        <v>1665</v>
      </c>
      <c r="P10" s="202">
        <v>1732</v>
      </c>
      <c r="Q10" s="202">
        <v>1720.9</v>
      </c>
      <c r="R10" s="202">
        <v>1625.3</v>
      </c>
      <c r="S10" s="202">
        <v>1523</v>
      </c>
      <c r="T10" s="202">
        <v>1521.3</v>
      </c>
      <c r="U10" s="202">
        <v>1562.3037399999998</v>
      </c>
      <c r="V10" s="202">
        <v>1602.4635000000001</v>
      </c>
    </row>
    <row r="11" spans="1:22" ht="15" customHeight="1">
      <c r="A11" s="77"/>
      <c r="B11" s="21" t="s">
        <v>22</v>
      </c>
      <c r="C11" s="214">
        <v>8050</v>
      </c>
      <c r="D11" s="214">
        <v>8378</v>
      </c>
      <c r="E11" s="202">
        <v>8663</v>
      </c>
      <c r="F11" s="202">
        <v>8965</v>
      </c>
      <c r="G11" s="202">
        <v>9251</v>
      </c>
      <c r="H11" s="202">
        <v>9748</v>
      </c>
      <c r="I11" s="202">
        <v>10226</v>
      </c>
      <c r="J11" s="202">
        <v>10412</v>
      </c>
      <c r="K11" s="202">
        <v>10789</v>
      </c>
      <c r="L11" s="202">
        <v>14105</v>
      </c>
      <c r="M11" s="163">
        <v>14504</v>
      </c>
      <c r="N11" s="163">
        <v>15047</v>
      </c>
      <c r="O11" s="163">
        <v>16879</v>
      </c>
      <c r="P11" s="163">
        <v>17459</v>
      </c>
      <c r="Q11" s="163">
        <v>17654</v>
      </c>
      <c r="R11" s="163">
        <v>18996.599999999999</v>
      </c>
      <c r="S11" s="163">
        <v>19651.8</v>
      </c>
      <c r="T11" s="163">
        <v>20469.400000000001</v>
      </c>
      <c r="U11" s="163">
        <v>21036.274815000001</v>
      </c>
      <c r="V11" s="163">
        <v>23386.349489999997</v>
      </c>
    </row>
    <row r="12" spans="1:22" ht="15" customHeight="1">
      <c r="A12" s="77"/>
      <c r="B12" s="21" t="s">
        <v>23</v>
      </c>
      <c r="C12" s="214">
        <v>3547</v>
      </c>
      <c r="D12" s="214">
        <v>4158</v>
      </c>
      <c r="E12" s="202">
        <v>4663</v>
      </c>
      <c r="F12" s="202">
        <v>4426</v>
      </c>
      <c r="G12" s="202">
        <v>4781</v>
      </c>
      <c r="H12" s="202">
        <v>5128</v>
      </c>
      <c r="I12" s="202">
        <v>5122</v>
      </c>
      <c r="J12" s="202">
        <v>4931</v>
      </c>
      <c r="K12" s="202">
        <v>5786</v>
      </c>
      <c r="L12" s="202">
        <v>5981</v>
      </c>
      <c r="M12" s="163">
        <v>6169</v>
      </c>
      <c r="N12" s="163">
        <v>6590</v>
      </c>
      <c r="O12" s="163">
        <v>6393</v>
      </c>
      <c r="P12" s="163">
        <v>6251</v>
      </c>
      <c r="Q12" s="163">
        <v>6484.1</v>
      </c>
      <c r="R12" s="163">
        <v>5721.8</v>
      </c>
      <c r="S12" s="163">
        <v>5799.7</v>
      </c>
      <c r="T12" s="163">
        <v>5891.3</v>
      </c>
      <c r="U12" s="163">
        <v>5722.5219900000002</v>
      </c>
      <c r="V12" s="163">
        <v>5710.1828999999998</v>
      </c>
    </row>
    <row r="13" spans="1:22" ht="15" customHeight="1">
      <c r="A13" s="77"/>
      <c r="B13" s="21" t="s">
        <v>27</v>
      </c>
      <c r="C13" s="214">
        <v>994</v>
      </c>
      <c r="D13" s="214">
        <v>1085</v>
      </c>
      <c r="E13" s="202">
        <v>1109</v>
      </c>
      <c r="F13" s="202">
        <v>1052</v>
      </c>
      <c r="G13" s="202">
        <v>1129</v>
      </c>
      <c r="H13" s="202">
        <v>1202</v>
      </c>
      <c r="I13" s="202">
        <v>1227</v>
      </c>
      <c r="J13" s="202">
        <v>1340</v>
      </c>
      <c r="K13" s="202">
        <v>1470</v>
      </c>
      <c r="L13" s="202">
        <v>1551</v>
      </c>
      <c r="M13" s="202">
        <v>1537</v>
      </c>
      <c r="N13" s="202">
        <v>1662</v>
      </c>
      <c r="O13" s="202">
        <v>1712</v>
      </c>
      <c r="P13" s="202">
        <v>1781</v>
      </c>
      <c r="Q13" s="202">
        <v>1806.4</v>
      </c>
      <c r="R13" s="202">
        <v>1707.2</v>
      </c>
      <c r="S13" s="202">
        <v>1513.3</v>
      </c>
      <c r="T13" s="202">
        <v>1688.1</v>
      </c>
      <c r="U13" s="202">
        <v>1850.9600850000002</v>
      </c>
      <c r="V13" s="202">
        <v>2026.0926104999999</v>
      </c>
    </row>
    <row r="14" spans="1:22" ht="15" customHeight="1">
      <c r="A14" s="77"/>
      <c r="B14" s="21" t="s">
        <v>28</v>
      </c>
      <c r="C14" s="214">
        <v>1095</v>
      </c>
      <c r="D14" s="214">
        <v>1048</v>
      </c>
      <c r="E14" s="202">
        <v>976</v>
      </c>
      <c r="F14" s="202">
        <v>994</v>
      </c>
      <c r="G14" s="202">
        <v>1043</v>
      </c>
      <c r="H14" s="202">
        <v>1068</v>
      </c>
      <c r="I14" s="202">
        <v>1133</v>
      </c>
      <c r="J14" s="202">
        <v>1168</v>
      </c>
      <c r="K14" s="202">
        <v>1186</v>
      </c>
      <c r="L14" s="202">
        <v>1190</v>
      </c>
      <c r="M14" s="163">
        <v>1265</v>
      </c>
      <c r="N14" s="163">
        <v>1375</v>
      </c>
      <c r="O14" s="163">
        <v>1375</v>
      </c>
      <c r="P14" s="163">
        <v>1579</v>
      </c>
      <c r="Q14" s="163">
        <v>1593.2</v>
      </c>
      <c r="R14" s="163">
        <v>1605.4</v>
      </c>
      <c r="S14" s="163">
        <v>1799.3</v>
      </c>
      <c r="T14" s="163">
        <v>1856.9</v>
      </c>
      <c r="U14" s="163">
        <v>1905.4247989</v>
      </c>
      <c r="V14" s="163">
        <v>1983.5294420027799</v>
      </c>
    </row>
    <row r="15" spans="1:22" ht="15" customHeight="1">
      <c r="A15" s="77"/>
      <c r="B15" s="21" t="s">
        <v>29</v>
      </c>
      <c r="C15" s="214">
        <v>45295</v>
      </c>
      <c r="D15" s="214">
        <v>46669</v>
      </c>
      <c r="E15" s="202">
        <v>50069</v>
      </c>
      <c r="F15" s="202">
        <v>51802</v>
      </c>
      <c r="G15" s="202">
        <v>49670</v>
      </c>
      <c r="H15" s="202">
        <v>47735</v>
      </c>
      <c r="I15" s="202">
        <v>48882</v>
      </c>
      <c r="J15" s="202">
        <v>51971</v>
      </c>
      <c r="K15" s="202">
        <v>55446</v>
      </c>
      <c r="L15" s="202">
        <v>59187</v>
      </c>
      <c r="M15" s="163">
        <v>62813</v>
      </c>
      <c r="N15" s="163">
        <v>65479</v>
      </c>
      <c r="O15" s="163">
        <v>71500</v>
      </c>
      <c r="P15" s="163">
        <v>72791</v>
      </c>
      <c r="Q15" s="163">
        <v>74812.600000000006</v>
      </c>
      <c r="R15" s="163">
        <v>73425.7</v>
      </c>
      <c r="S15" s="163">
        <v>75883.199999999997</v>
      </c>
      <c r="T15" s="163">
        <v>78327.100000000006</v>
      </c>
      <c r="U15" s="163">
        <v>93275.560434999992</v>
      </c>
      <c r="V15" s="163">
        <v>95076.896674999996</v>
      </c>
    </row>
    <row r="16" spans="1:22" ht="15" customHeight="1">
      <c r="A16" s="77"/>
      <c r="B16" s="21" t="s">
        <v>30</v>
      </c>
      <c r="C16" s="214">
        <v>1343</v>
      </c>
      <c r="D16" s="214">
        <v>1336</v>
      </c>
      <c r="E16" s="202">
        <v>637</v>
      </c>
      <c r="F16" s="202">
        <v>1621</v>
      </c>
      <c r="G16" s="202">
        <v>1825</v>
      </c>
      <c r="H16" s="202">
        <v>1971</v>
      </c>
      <c r="I16" s="202">
        <v>2174</v>
      </c>
      <c r="J16" s="202">
        <v>2249</v>
      </c>
      <c r="K16" s="202">
        <v>2218</v>
      </c>
      <c r="L16" s="202">
        <v>2514</v>
      </c>
      <c r="M16" s="202">
        <v>3494</v>
      </c>
      <c r="N16" s="202">
        <v>3621</v>
      </c>
      <c r="O16" s="202">
        <v>3935</v>
      </c>
      <c r="P16" s="202">
        <v>4101</v>
      </c>
      <c r="Q16" s="202">
        <v>11483.8</v>
      </c>
      <c r="R16" s="202">
        <v>11271.7</v>
      </c>
      <c r="S16" s="202">
        <v>12576.5</v>
      </c>
      <c r="T16" s="202">
        <v>13365.9</v>
      </c>
      <c r="U16" s="202">
        <v>14410.951315000002</v>
      </c>
      <c r="V16" s="202">
        <v>17055.628225</v>
      </c>
    </row>
    <row r="17" spans="1:22" ht="15" customHeight="1">
      <c r="A17" s="77"/>
      <c r="B17" s="21" t="s">
        <v>31</v>
      </c>
      <c r="C17" s="214">
        <v>11654</v>
      </c>
      <c r="D17" s="214">
        <v>12043</v>
      </c>
      <c r="E17" s="202">
        <v>12160</v>
      </c>
      <c r="F17" s="202">
        <v>11073</v>
      </c>
      <c r="G17" s="202">
        <v>10418</v>
      </c>
      <c r="H17" s="202">
        <v>9920</v>
      </c>
      <c r="I17" s="202">
        <v>7964</v>
      </c>
      <c r="J17" s="202">
        <v>6312</v>
      </c>
      <c r="K17" s="202">
        <v>5409</v>
      </c>
      <c r="L17" s="202">
        <v>5745</v>
      </c>
      <c r="M17" s="163">
        <v>6100</v>
      </c>
      <c r="N17" s="163">
        <v>6628</v>
      </c>
      <c r="O17" s="163">
        <v>6784</v>
      </c>
      <c r="P17" s="163">
        <v>7946</v>
      </c>
      <c r="Q17" s="163">
        <v>8078.9</v>
      </c>
      <c r="R17" s="163">
        <v>7374.3</v>
      </c>
      <c r="S17" s="163">
        <v>8094.2</v>
      </c>
      <c r="T17" s="163">
        <v>8017.1</v>
      </c>
      <c r="U17" s="163">
        <v>7711.9101454999991</v>
      </c>
      <c r="V17" s="163">
        <v>8287.9129924999997</v>
      </c>
    </row>
    <row r="18" spans="1:22" ht="15" customHeight="1">
      <c r="A18" s="77"/>
      <c r="B18" s="21" t="s">
        <v>32</v>
      </c>
      <c r="C18" s="214">
        <v>1361</v>
      </c>
      <c r="D18" s="214">
        <v>1971</v>
      </c>
      <c r="E18" s="202">
        <v>1937</v>
      </c>
      <c r="F18" s="202">
        <v>2049</v>
      </c>
      <c r="G18" s="202">
        <v>2281</v>
      </c>
      <c r="H18" s="202">
        <v>2221</v>
      </c>
      <c r="I18" s="202">
        <v>2347</v>
      </c>
      <c r="J18" s="202">
        <v>2450</v>
      </c>
      <c r="K18" s="202">
        <v>2045</v>
      </c>
      <c r="L18" s="202">
        <v>1878</v>
      </c>
      <c r="M18" s="163">
        <v>1755</v>
      </c>
      <c r="N18" s="163">
        <v>1144</v>
      </c>
      <c r="O18" s="163">
        <v>1265</v>
      </c>
      <c r="P18" s="163">
        <v>1345</v>
      </c>
      <c r="Q18" s="163">
        <v>1328</v>
      </c>
      <c r="R18" s="163">
        <v>1334.8</v>
      </c>
      <c r="S18" s="163">
        <v>1403.4</v>
      </c>
      <c r="T18" s="163">
        <v>1451.1</v>
      </c>
      <c r="U18" s="163">
        <v>1443.5935257199292</v>
      </c>
      <c r="V18" s="163">
        <v>1452.6193993654967</v>
      </c>
    </row>
    <row r="19" spans="1:22" ht="15" customHeight="1">
      <c r="A19" s="77"/>
      <c r="B19" s="21" t="s">
        <v>33</v>
      </c>
      <c r="C19" s="214">
        <v>2414</v>
      </c>
      <c r="D19" s="214">
        <v>2351</v>
      </c>
      <c r="E19" s="202">
        <v>2407</v>
      </c>
      <c r="F19" s="202">
        <v>2227</v>
      </c>
      <c r="G19" s="202">
        <v>2346</v>
      </c>
      <c r="H19" s="202">
        <v>2576</v>
      </c>
      <c r="I19" s="202">
        <v>2678</v>
      </c>
      <c r="J19" s="202">
        <v>3045</v>
      </c>
      <c r="K19" s="202">
        <v>3434</v>
      </c>
      <c r="L19" s="202">
        <v>3479</v>
      </c>
      <c r="M19" s="163">
        <v>3695</v>
      </c>
      <c r="N19" s="163">
        <v>4081</v>
      </c>
      <c r="O19" s="163">
        <v>4447</v>
      </c>
      <c r="P19" s="163">
        <v>4347</v>
      </c>
      <c r="Q19" s="163">
        <v>4855.2</v>
      </c>
      <c r="R19" s="163">
        <v>4716.1000000000004</v>
      </c>
      <c r="S19" s="163">
        <v>5225.3</v>
      </c>
      <c r="T19" s="163">
        <v>5510.9</v>
      </c>
      <c r="U19" s="163">
        <v>5937.0712500000009</v>
      </c>
      <c r="V19" s="163">
        <v>6074.7367499999991</v>
      </c>
    </row>
    <row r="20" spans="1:22" ht="15" customHeight="1">
      <c r="A20" s="77"/>
      <c r="B20" s="21" t="s">
        <v>34</v>
      </c>
      <c r="C20" s="214">
        <v>1731</v>
      </c>
      <c r="D20" s="214">
        <v>1571</v>
      </c>
      <c r="E20" s="202">
        <v>1465</v>
      </c>
      <c r="F20" s="202">
        <v>1412</v>
      </c>
      <c r="G20" s="202">
        <v>1388</v>
      </c>
      <c r="H20" s="202">
        <v>1475</v>
      </c>
      <c r="I20" s="202">
        <v>1455</v>
      </c>
      <c r="J20" s="202">
        <v>1432</v>
      </c>
      <c r="K20" s="202">
        <v>1321</v>
      </c>
      <c r="L20" s="202">
        <v>1309</v>
      </c>
      <c r="M20" s="163">
        <v>1357</v>
      </c>
      <c r="N20" s="163">
        <v>1506</v>
      </c>
      <c r="O20" s="163">
        <v>1486</v>
      </c>
      <c r="P20" s="163">
        <v>1546</v>
      </c>
      <c r="Q20" s="163">
        <v>1632.7</v>
      </c>
      <c r="R20" s="163">
        <v>1583.3</v>
      </c>
      <c r="S20" s="163">
        <v>1536.4</v>
      </c>
      <c r="T20" s="163">
        <v>1466.5</v>
      </c>
      <c r="U20" s="163">
        <v>1402.4117200000001</v>
      </c>
      <c r="V20" s="163">
        <v>1367.586</v>
      </c>
    </row>
    <row r="21" spans="1:22" ht="15" customHeight="1">
      <c r="A21" s="77"/>
      <c r="B21" s="21" t="s">
        <v>35</v>
      </c>
      <c r="C21" s="214">
        <v>4184</v>
      </c>
      <c r="D21" s="214">
        <v>4285</v>
      </c>
      <c r="E21" s="202">
        <v>4118</v>
      </c>
      <c r="F21" s="202">
        <v>4178</v>
      </c>
      <c r="G21" s="202">
        <v>4235</v>
      </c>
      <c r="H21" s="202">
        <v>4760</v>
      </c>
      <c r="I21" s="202">
        <v>6075</v>
      </c>
      <c r="J21" s="202">
        <v>7640</v>
      </c>
      <c r="K21" s="202">
        <v>7851</v>
      </c>
      <c r="L21" s="202">
        <v>8593</v>
      </c>
      <c r="M21" s="163">
        <v>10045</v>
      </c>
      <c r="N21" s="163">
        <v>11755</v>
      </c>
      <c r="O21" s="163">
        <v>11362</v>
      </c>
      <c r="P21" s="163">
        <v>11512</v>
      </c>
      <c r="Q21" s="163">
        <v>11061.5</v>
      </c>
      <c r="R21" s="163">
        <v>11395.3</v>
      </c>
      <c r="S21" s="163">
        <v>11518.1</v>
      </c>
      <c r="T21" s="163">
        <v>11997.6</v>
      </c>
      <c r="U21" s="163">
        <v>12237.725</v>
      </c>
      <c r="V21" s="163">
        <v>13346.929</v>
      </c>
    </row>
    <row r="22" spans="1:22" ht="15" customHeight="1">
      <c r="A22" s="77"/>
      <c r="B22" s="21" t="s">
        <v>36</v>
      </c>
      <c r="C22" s="214">
        <v>376</v>
      </c>
      <c r="D22" s="214">
        <v>386</v>
      </c>
      <c r="E22" s="202">
        <v>391</v>
      </c>
      <c r="F22" s="202">
        <v>395</v>
      </c>
      <c r="G22" s="202">
        <v>457</v>
      </c>
      <c r="H22" s="202">
        <v>402</v>
      </c>
      <c r="I22" s="202">
        <v>459</v>
      </c>
      <c r="J22" s="202">
        <v>461</v>
      </c>
      <c r="K22" s="202">
        <v>562</v>
      </c>
      <c r="L22" s="202">
        <v>568</v>
      </c>
      <c r="M22" s="163">
        <v>590</v>
      </c>
      <c r="N22" s="163">
        <v>665</v>
      </c>
      <c r="O22" s="163">
        <v>885</v>
      </c>
      <c r="P22" s="163">
        <v>1200</v>
      </c>
      <c r="Q22" s="163">
        <v>1163.0999999999999</v>
      </c>
      <c r="R22" s="163">
        <v>1010.9</v>
      </c>
      <c r="S22" s="163">
        <v>1228.8</v>
      </c>
      <c r="T22" s="163">
        <v>1264.7</v>
      </c>
      <c r="U22" s="163">
        <v>1317.9349576805002</v>
      </c>
      <c r="V22" s="163">
        <v>1345.2559421600001</v>
      </c>
    </row>
    <row r="23" spans="1:22" ht="15" customHeight="1">
      <c r="A23" s="77"/>
      <c r="B23" s="21" t="s">
        <v>37</v>
      </c>
      <c r="C23" s="214">
        <v>401</v>
      </c>
      <c r="D23" s="214">
        <v>377</v>
      </c>
      <c r="E23" s="202">
        <v>623</v>
      </c>
      <c r="F23" s="202">
        <v>782</v>
      </c>
      <c r="G23" s="202">
        <v>781</v>
      </c>
      <c r="H23" s="202">
        <v>912</v>
      </c>
      <c r="I23" s="202">
        <v>1370</v>
      </c>
      <c r="J23" s="202">
        <v>2096</v>
      </c>
      <c r="K23" s="202">
        <v>2447</v>
      </c>
      <c r="L23" s="202">
        <v>2448</v>
      </c>
      <c r="M23" s="163">
        <v>2464</v>
      </c>
      <c r="N23" s="163">
        <v>2471</v>
      </c>
      <c r="O23" s="163">
        <v>2621</v>
      </c>
      <c r="P23" s="163">
        <v>2677</v>
      </c>
      <c r="Q23" s="163">
        <v>2707.4</v>
      </c>
      <c r="R23" s="163">
        <v>2793.7</v>
      </c>
      <c r="S23" s="163">
        <v>2827.5</v>
      </c>
      <c r="T23" s="163">
        <v>2888.6</v>
      </c>
      <c r="U23" s="163">
        <v>3015.9881499999997</v>
      </c>
      <c r="V23" s="163">
        <v>3143.3304166666671</v>
      </c>
    </row>
    <row r="24" spans="1:22" ht="15" customHeight="1">
      <c r="A24" s="77"/>
      <c r="B24" s="21" t="s">
        <v>38</v>
      </c>
      <c r="C24" s="214">
        <v>2705</v>
      </c>
      <c r="D24" s="214">
        <v>2632</v>
      </c>
      <c r="E24" s="202">
        <v>2714</v>
      </c>
      <c r="F24" s="202">
        <v>3142</v>
      </c>
      <c r="G24" s="202">
        <v>3268</v>
      </c>
      <c r="H24" s="202">
        <v>3179</v>
      </c>
      <c r="I24" s="202">
        <v>3476</v>
      </c>
      <c r="J24" s="202">
        <v>3766</v>
      </c>
      <c r="K24" s="202">
        <v>3773</v>
      </c>
      <c r="L24" s="202">
        <v>2252</v>
      </c>
      <c r="M24" s="163">
        <v>2251</v>
      </c>
      <c r="N24" s="163">
        <v>2394</v>
      </c>
      <c r="O24" s="163">
        <v>2332</v>
      </c>
      <c r="P24" s="163">
        <v>2480</v>
      </c>
      <c r="Q24" s="163">
        <v>2757.4</v>
      </c>
      <c r="R24" s="163">
        <v>2431.8000000000002</v>
      </c>
      <c r="S24" s="163">
        <v>2551.9</v>
      </c>
      <c r="T24" s="163">
        <v>2811.2</v>
      </c>
      <c r="U24" s="163">
        <v>3060.8287499999997</v>
      </c>
      <c r="V24" s="163">
        <v>3098.9567999999999</v>
      </c>
    </row>
    <row r="25" spans="1:22" ht="15" customHeight="1">
      <c r="A25" s="77"/>
      <c r="B25" s="21" t="s">
        <v>39</v>
      </c>
      <c r="C25" s="214">
        <v>1856</v>
      </c>
      <c r="D25" s="214">
        <v>1746</v>
      </c>
      <c r="E25" s="202">
        <v>2067</v>
      </c>
      <c r="F25" s="202">
        <v>2261</v>
      </c>
      <c r="G25" s="202">
        <v>2501</v>
      </c>
      <c r="H25" s="202">
        <v>2561</v>
      </c>
      <c r="I25" s="202">
        <v>2875</v>
      </c>
      <c r="J25" s="202">
        <v>2978</v>
      </c>
      <c r="K25" s="202">
        <v>3274</v>
      </c>
      <c r="L25" s="202">
        <v>3112</v>
      </c>
      <c r="M25" s="163">
        <v>3017</v>
      </c>
      <c r="N25" s="163">
        <v>2973</v>
      </c>
      <c r="O25" s="163">
        <v>2874</v>
      </c>
      <c r="P25" s="163">
        <v>2796</v>
      </c>
      <c r="Q25" s="163">
        <v>2774.9</v>
      </c>
      <c r="R25" s="163">
        <v>2741.1</v>
      </c>
      <c r="S25" s="163">
        <v>2655.8</v>
      </c>
      <c r="T25" s="163">
        <v>2536.4</v>
      </c>
      <c r="U25" s="163">
        <v>2396.2378399999998</v>
      </c>
      <c r="V25" s="163">
        <v>2312.2257000000004</v>
      </c>
    </row>
    <row r="26" spans="1:22" ht="15" customHeight="1">
      <c r="A26" s="77"/>
      <c r="B26" s="21" t="s">
        <v>42</v>
      </c>
      <c r="C26" s="214">
        <v>2180</v>
      </c>
      <c r="D26" s="214">
        <v>2931</v>
      </c>
      <c r="E26" s="202">
        <v>3891</v>
      </c>
      <c r="F26" s="202">
        <v>3324</v>
      </c>
      <c r="G26" s="202">
        <v>3148</v>
      </c>
      <c r="H26" s="202">
        <v>3483</v>
      </c>
      <c r="I26" s="202">
        <v>3320</v>
      </c>
      <c r="J26" s="202">
        <v>3549</v>
      </c>
      <c r="K26" s="202">
        <v>3841</v>
      </c>
      <c r="L26" s="202">
        <v>4423</v>
      </c>
      <c r="M26" s="163">
        <v>4878</v>
      </c>
      <c r="N26" s="163">
        <v>6050</v>
      </c>
      <c r="O26" s="163">
        <v>5824</v>
      </c>
      <c r="P26" s="163">
        <v>5292</v>
      </c>
      <c r="Q26" s="163">
        <v>4946.3</v>
      </c>
      <c r="R26" s="163">
        <v>3945.5</v>
      </c>
      <c r="S26" s="163">
        <v>4221.5</v>
      </c>
      <c r="T26" s="163">
        <v>4584</v>
      </c>
      <c r="U26" s="163">
        <v>5904.7282500000019</v>
      </c>
      <c r="V26" s="163">
        <v>5978.9029999999993</v>
      </c>
    </row>
    <row r="27" spans="1:22" ht="15" customHeight="1">
      <c r="A27" s="77"/>
      <c r="B27" s="21" t="s">
        <v>43</v>
      </c>
      <c r="C27" s="214">
        <v>2054</v>
      </c>
      <c r="D27" s="214">
        <v>2114</v>
      </c>
      <c r="E27" s="202">
        <v>2154</v>
      </c>
      <c r="F27" s="202">
        <v>2197</v>
      </c>
      <c r="G27" s="202">
        <v>2327</v>
      </c>
      <c r="H27" s="202">
        <v>2404</v>
      </c>
      <c r="I27" s="202">
        <v>2505</v>
      </c>
      <c r="J27" s="202">
        <v>2569</v>
      </c>
      <c r="K27" s="202">
        <v>2588</v>
      </c>
      <c r="L27" s="202">
        <v>2628</v>
      </c>
      <c r="M27" s="163">
        <v>2372</v>
      </c>
      <c r="N27" s="163">
        <v>2501</v>
      </c>
      <c r="O27" s="163">
        <v>2540</v>
      </c>
      <c r="P27" s="163">
        <v>2563</v>
      </c>
      <c r="Q27" s="163">
        <v>2578.8000000000002</v>
      </c>
      <c r="R27" s="163">
        <v>2603.1999999999998</v>
      </c>
      <c r="S27" s="163">
        <v>2611.1999999999998</v>
      </c>
      <c r="T27" s="163">
        <v>2636.1</v>
      </c>
      <c r="U27" s="163">
        <v>2632.25</v>
      </c>
      <c r="V27" s="163">
        <v>2637.7010000000005</v>
      </c>
    </row>
    <row r="28" spans="1:22" ht="15" customHeight="1">
      <c r="A28" s="77"/>
      <c r="B28" s="76" t="s">
        <v>44</v>
      </c>
      <c r="C28" s="214">
        <v>2844</v>
      </c>
      <c r="D28" s="214">
        <v>3057</v>
      </c>
      <c r="E28" s="202">
        <v>3228</v>
      </c>
      <c r="F28" s="202">
        <v>3053</v>
      </c>
      <c r="G28" s="202">
        <v>3084</v>
      </c>
      <c r="H28" s="202">
        <v>2939</v>
      </c>
      <c r="I28" s="202">
        <v>2762</v>
      </c>
      <c r="J28" s="202">
        <v>2357</v>
      </c>
      <c r="K28" s="202">
        <v>2289</v>
      </c>
      <c r="L28" s="202">
        <v>2650</v>
      </c>
      <c r="M28" s="163">
        <v>2606</v>
      </c>
      <c r="N28" s="163">
        <v>2861</v>
      </c>
      <c r="O28" s="163">
        <v>2636</v>
      </c>
      <c r="P28" s="163">
        <v>2933</v>
      </c>
      <c r="Q28" s="163">
        <v>3034.1</v>
      </c>
      <c r="R28" s="163">
        <v>2820.3</v>
      </c>
      <c r="S28" s="163">
        <v>3077.3</v>
      </c>
      <c r="T28" s="163">
        <v>3036.3</v>
      </c>
      <c r="U28" s="163">
        <v>3055.5476793000003</v>
      </c>
      <c r="V28" s="163">
        <v>3100.6275700000001</v>
      </c>
    </row>
    <row r="29" spans="1:22" ht="15" customHeight="1">
      <c r="A29" s="77"/>
      <c r="B29" s="21" t="s">
        <v>45</v>
      </c>
      <c r="C29" s="214">
        <v>1199</v>
      </c>
      <c r="D29" s="214">
        <v>1103</v>
      </c>
      <c r="E29" s="202">
        <v>1147</v>
      </c>
      <c r="F29" s="202">
        <v>1325</v>
      </c>
      <c r="G29" s="202">
        <v>1562</v>
      </c>
      <c r="H29" s="202">
        <v>1796</v>
      </c>
      <c r="I29" s="202">
        <v>2027</v>
      </c>
      <c r="J29" s="202">
        <v>2192</v>
      </c>
      <c r="K29" s="202">
        <v>2265</v>
      </c>
      <c r="L29" s="202">
        <v>2371</v>
      </c>
      <c r="M29" s="163">
        <v>2026</v>
      </c>
      <c r="N29" s="163">
        <v>2083</v>
      </c>
      <c r="O29" s="163">
        <v>2381</v>
      </c>
      <c r="P29" s="163">
        <v>2998</v>
      </c>
      <c r="Q29" s="163">
        <v>2717.8</v>
      </c>
      <c r="R29" s="163">
        <v>2515.9</v>
      </c>
      <c r="S29" s="163">
        <v>2108.6</v>
      </c>
      <c r="T29" s="163">
        <v>1824.1</v>
      </c>
      <c r="U29" s="163">
        <v>1947.5077499999998</v>
      </c>
      <c r="V29" s="163">
        <v>1847.98875</v>
      </c>
    </row>
    <row r="30" spans="1:22" ht="15" customHeight="1">
      <c r="A30" s="77"/>
      <c r="B30" s="21" t="s">
        <v>46</v>
      </c>
      <c r="C30" s="214">
        <v>668</v>
      </c>
      <c r="D30" s="214">
        <v>704</v>
      </c>
      <c r="E30" s="202">
        <v>745</v>
      </c>
      <c r="F30" s="202">
        <v>725</v>
      </c>
      <c r="G30" s="202">
        <v>821</v>
      </c>
      <c r="H30" s="202">
        <v>922</v>
      </c>
      <c r="I30" s="202">
        <v>1089</v>
      </c>
      <c r="J30" s="202">
        <v>1104</v>
      </c>
      <c r="K30" s="202">
        <v>1114</v>
      </c>
      <c r="L30" s="202">
        <v>1145</v>
      </c>
      <c r="M30" s="163">
        <v>1189</v>
      </c>
      <c r="N30" s="163">
        <v>1235</v>
      </c>
      <c r="O30" s="163">
        <v>873</v>
      </c>
      <c r="P30" s="163">
        <v>863</v>
      </c>
      <c r="Q30" s="163">
        <v>848.1</v>
      </c>
      <c r="R30" s="163">
        <v>737.3</v>
      </c>
      <c r="S30" s="163">
        <v>719.2</v>
      </c>
      <c r="T30" s="163">
        <v>712.4</v>
      </c>
      <c r="U30" s="163">
        <v>917.85877499999992</v>
      </c>
      <c r="V30" s="163">
        <v>987.55175000000008</v>
      </c>
    </row>
    <row r="31" spans="1:22" ht="15" customHeight="1" thickBot="1">
      <c r="A31" s="82"/>
      <c r="B31" s="434" t="s">
        <v>47</v>
      </c>
      <c r="C31" s="440">
        <v>161</v>
      </c>
      <c r="D31" s="440">
        <v>156</v>
      </c>
      <c r="E31" s="438">
        <v>171</v>
      </c>
      <c r="F31" s="438">
        <v>188</v>
      </c>
      <c r="G31" s="438">
        <v>268</v>
      </c>
      <c r="H31" s="438">
        <v>216</v>
      </c>
      <c r="I31" s="438">
        <v>178</v>
      </c>
      <c r="J31" s="438">
        <v>254</v>
      </c>
      <c r="K31" s="438">
        <v>275</v>
      </c>
      <c r="L31" s="438">
        <v>300</v>
      </c>
      <c r="M31" s="441">
        <v>354</v>
      </c>
      <c r="N31" s="441">
        <v>798</v>
      </c>
      <c r="O31" s="441">
        <v>917</v>
      </c>
      <c r="P31" s="441">
        <v>902</v>
      </c>
      <c r="Q31" s="441">
        <v>1050</v>
      </c>
      <c r="R31" s="441">
        <v>1107.9000000000001</v>
      </c>
      <c r="S31" s="441">
        <v>1240.0999999999999</v>
      </c>
      <c r="T31" s="441">
        <v>1259.0999999999999</v>
      </c>
      <c r="U31" s="441">
        <v>1336.4129700000001</v>
      </c>
      <c r="V31" s="441">
        <v>1315.5332474999998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6">
    <tabColor theme="9" tint="0.59999389629810485"/>
  </sheetPr>
  <dimension ref="A2:Y36"/>
  <sheetViews>
    <sheetView showGridLines="0" zoomScaleNormal="100" workbookViewId="0">
      <selection activeCell="T6" sqref="T6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59765625" style="76" customWidth="1"/>
    <col min="24" max="25" width="8.19921875" style="76" customWidth="1"/>
    <col min="26" max="16384" width="7" style="76"/>
  </cols>
  <sheetData>
    <row r="2" spans="1:25" ht="16.5" customHeight="1">
      <c r="A2" s="210" t="s">
        <v>502</v>
      </c>
      <c r="B2" s="211"/>
    </row>
    <row r="3" spans="1:25" ht="13.25" customHeight="1">
      <c r="A3" s="212" t="s">
        <v>342</v>
      </c>
      <c r="B3" s="212"/>
    </row>
    <row r="4" spans="1:25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5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 t="s">
        <v>484</v>
      </c>
      <c r="V5" s="735" t="s">
        <v>485</v>
      </c>
    </row>
    <row r="6" spans="1:25" ht="18" customHeight="1">
      <c r="A6" s="1020" t="s">
        <v>100</v>
      </c>
      <c r="B6" s="1020"/>
      <c r="C6" s="631">
        <v>3.43</v>
      </c>
      <c r="D6" s="631">
        <v>3.47</v>
      </c>
      <c r="E6" s="631">
        <v>3.5</v>
      </c>
      <c r="F6" s="631">
        <v>3.8</v>
      </c>
      <c r="G6" s="631">
        <v>4.12</v>
      </c>
      <c r="H6" s="631">
        <v>4.25</v>
      </c>
      <c r="I6" s="631">
        <v>5.05</v>
      </c>
      <c r="J6" s="631">
        <v>5.24</v>
      </c>
      <c r="K6" s="631">
        <v>5.91</v>
      </c>
      <c r="L6" s="631">
        <v>6.08</v>
      </c>
      <c r="M6" s="631">
        <v>6.43</v>
      </c>
      <c r="N6" s="631">
        <v>6.8</v>
      </c>
      <c r="O6" s="631">
        <v>6.97</v>
      </c>
      <c r="P6" s="631">
        <v>7.05</v>
      </c>
      <c r="Q6" s="631">
        <v>6.95</v>
      </c>
      <c r="R6" s="631">
        <v>6.95</v>
      </c>
      <c r="S6" s="631">
        <v>6.95</v>
      </c>
      <c r="T6" s="631">
        <v>7.05</v>
      </c>
      <c r="U6" s="631">
        <v>7.1917169662497269</v>
      </c>
      <c r="V6" s="631">
        <v>7.3371273104837744</v>
      </c>
      <c r="X6" s="152"/>
      <c r="Y6" s="152"/>
    </row>
    <row r="7" spans="1:25" ht="3" customHeight="1">
      <c r="A7" s="77"/>
      <c r="B7" s="78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</row>
    <row r="8" spans="1:25" ht="15" customHeight="1">
      <c r="A8" s="77"/>
      <c r="B8" s="21" t="s">
        <v>19</v>
      </c>
      <c r="C8" s="218">
        <v>3.6</v>
      </c>
      <c r="D8" s="218">
        <v>3.49</v>
      </c>
      <c r="E8" s="218">
        <v>3.47</v>
      </c>
      <c r="F8" s="218">
        <v>3.67</v>
      </c>
      <c r="G8" s="218">
        <v>3.75</v>
      </c>
      <c r="H8" s="218">
        <v>3.42</v>
      </c>
      <c r="I8" s="218">
        <v>3.45</v>
      </c>
      <c r="J8" s="218">
        <v>3.75</v>
      </c>
      <c r="K8" s="218">
        <v>4.99</v>
      </c>
      <c r="L8" s="218">
        <v>6.56</v>
      </c>
      <c r="M8" s="218">
        <v>6.61</v>
      </c>
      <c r="N8" s="218">
        <v>6.45</v>
      </c>
      <c r="O8" s="218">
        <v>6.21</v>
      </c>
      <c r="P8" s="218">
        <v>5.9</v>
      </c>
      <c r="Q8" s="218">
        <v>5.91</v>
      </c>
      <c r="R8" s="218">
        <v>5.91</v>
      </c>
      <c r="S8" s="218">
        <v>6.88</v>
      </c>
      <c r="T8" s="218">
        <v>6.97</v>
      </c>
      <c r="U8" s="218">
        <v>7.1535325428117478</v>
      </c>
      <c r="V8" s="218">
        <v>6.3711751383922186</v>
      </c>
      <c r="X8" s="152"/>
      <c r="Y8" s="152"/>
    </row>
    <row r="9" spans="1:25" ht="15" customHeight="1">
      <c r="A9" s="77"/>
      <c r="B9" s="21" t="s">
        <v>20</v>
      </c>
      <c r="C9" s="218">
        <v>3.11</v>
      </c>
      <c r="D9" s="218">
        <v>3.22</v>
      </c>
      <c r="E9" s="218">
        <v>3.27</v>
      </c>
      <c r="F9" s="218">
        <v>3.93</v>
      </c>
      <c r="G9" s="218">
        <v>4.05</v>
      </c>
      <c r="H9" s="218">
        <v>3.45</v>
      </c>
      <c r="I9" s="218">
        <v>3.58</v>
      </c>
      <c r="J9" s="218">
        <v>4.21</v>
      </c>
      <c r="K9" s="218">
        <v>4.38</v>
      </c>
      <c r="L9" s="218">
        <v>6.6</v>
      </c>
      <c r="M9" s="218">
        <v>6.38</v>
      </c>
      <c r="N9" s="218">
        <v>6.81</v>
      </c>
      <c r="O9" s="218">
        <v>6.61</v>
      </c>
      <c r="P9" s="218">
        <v>6.75</v>
      </c>
      <c r="Q9" s="218">
        <v>6.76</v>
      </c>
      <c r="R9" s="218">
        <v>6.76</v>
      </c>
      <c r="S9" s="218">
        <v>6.15</v>
      </c>
      <c r="T9" s="218">
        <v>6.36</v>
      </c>
      <c r="U9" s="218">
        <v>6.6181502568556834</v>
      </c>
      <c r="V9" s="218">
        <v>6.851019314678588</v>
      </c>
      <c r="X9" s="152"/>
      <c r="Y9" s="152"/>
    </row>
    <row r="10" spans="1:25" ht="15" customHeight="1">
      <c r="A10" s="77"/>
      <c r="B10" s="21" t="s">
        <v>21</v>
      </c>
      <c r="C10" s="218">
        <v>3.36</v>
      </c>
      <c r="D10" s="218">
        <v>3.74</v>
      </c>
      <c r="E10" s="218">
        <v>3.59</v>
      </c>
      <c r="F10" s="218">
        <v>3.5</v>
      </c>
      <c r="G10" s="218">
        <v>4</v>
      </c>
      <c r="H10" s="218">
        <v>3.84</v>
      </c>
      <c r="I10" s="218">
        <v>4.1500000000000004</v>
      </c>
      <c r="J10" s="218">
        <v>4.32</v>
      </c>
      <c r="K10" s="218">
        <v>4.46</v>
      </c>
      <c r="L10" s="218">
        <v>6.72</v>
      </c>
      <c r="M10" s="218">
        <v>6.53</v>
      </c>
      <c r="N10" s="218">
        <v>6.7</v>
      </c>
      <c r="O10" s="218">
        <v>6.68</v>
      </c>
      <c r="P10" s="218">
        <v>6.88</v>
      </c>
      <c r="Q10" s="218">
        <v>6.88</v>
      </c>
      <c r="R10" s="218">
        <v>6.88</v>
      </c>
      <c r="S10" s="218">
        <v>6.17</v>
      </c>
      <c r="T10" s="218">
        <v>6.32</v>
      </c>
      <c r="U10" s="218">
        <v>6.5616891139235207</v>
      </c>
      <c r="V10" s="218">
        <v>6.6608167849064888</v>
      </c>
      <c r="X10" s="152"/>
      <c r="Y10" s="152"/>
    </row>
    <row r="11" spans="1:25" ht="15" customHeight="1">
      <c r="A11" s="77"/>
      <c r="B11" s="21" t="s">
        <v>22</v>
      </c>
      <c r="C11" s="218">
        <v>3.51</v>
      </c>
      <c r="D11" s="218">
        <v>3.31</v>
      </c>
      <c r="E11" s="218">
        <v>3.39</v>
      </c>
      <c r="F11" s="218">
        <v>3.75</v>
      </c>
      <c r="G11" s="218">
        <v>3.67</v>
      </c>
      <c r="H11" s="218">
        <v>3.67</v>
      </c>
      <c r="I11" s="218">
        <v>3.82</v>
      </c>
      <c r="J11" s="218">
        <v>4.58</v>
      </c>
      <c r="K11" s="218">
        <v>7.19</v>
      </c>
      <c r="L11" s="218">
        <v>7.19</v>
      </c>
      <c r="M11" s="218">
        <v>7.16</v>
      </c>
      <c r="N11" s="218">
        <v>7.15</v>
      </c>
      <c r="O11" s="218">
        <v>7.82</v>
      </c>
      <c r="P11" s="218">
        <v>7.72</v>
      </c>
      <c r="Q11" s="218">
        <v>7.69</v>
      </c>
      <c r="R11" s="218">
        <v>7.69</v>
      </c>
      <c r="S11" s="218">
        <v>7</v>
      </c>
      <c r="T11" s="218">
        <v>7.15</v>
      </c>
      <c r="U11" s="218">
        <v>7.3627388872157358</v>
      </c>
      <c r="V11" s="218">
        <v>7.4530599463956797</v>
      </c>
      <c r="X11" s="152"/>
      <c r="Y11" s="152"/>
    </row>
    <row r="12" spans="1:25" ht="15" customHeight="1">
      <c r="A12" s="77"/>
      <c r="B12" s="21" t="s">
        <v>23</v>
      </c>
      <c r="C12" s="218">
        <v>3.67</v>
      </c>
      <c r="D12" s="218">
        <v>3.57</v>
      </c>
      <c r="E12" s="218">
        <v>3.62</v>
      </c>
      <c r="F12" s="218">
        <v>3.81</v>
      </c>
      <c r="G12" s="218">
        <v>3.95</v>
      </c>
      <c r="H12" s="218">
        <v>4.4400000000000004</v>
      </c>
      <c r="I12" s="218">
        <v>4</v>
      </c>
      <c r="J12" s="218">
        <v>4.32</v>
      </c>
      <c r="K12" s="218">
        <v>4.5599999999999996</v>
      </c>
      <c r="L12" s="218">
        <v>5.81</v>
      </c>
      <c r="M12" s="218">
        <v>6.07</v>
      </c>
      <c r="N12" s="218">
        <v>6.38</v>
      </c>
      <c r="O12" s="218">
        <v>6.1</v>
      </c>
      <c r="P12" s="218">
        <v>6.19</v>
      </c>
      <c r="Q12" s="218">
        <v>5.92</v>
      </c>
      <c r="R12" s="218">
        <v>5.92</v>
      </c>
      <c r="S12" s="218">
        <v>6.38</v>
      </c>
      <c r="T12" s="218">
        <v>6.2</v>
      </c>
      <c r="U12" s="218">
        <v>6.394058614651124</v>
      </c>
      <c r="V12" s="218">
        <v>6.4680892434461255</v>
      </c>
      <c r="X12" s="152"/>
      <c r="Y12" s="152"/>
    </row>
    <row r="13" spans="1:25" ht="15" customHeight="1">
      <c r="A13" s="77"/>
      <c r="B13" s="21" t="s">
        <v>27</v>
      </c>
      <c r="C13" s="218">
        <v>3.61</v>
      </c>
      <c r="D13" s="218">
        <v>3.61</v>
      </c>
      <c r="E13" s="218">
        <v>3.77</v>
      </c>
      <c r="F13" s="218">
        <v>3.75</v>
      </c>
      <c r="G13" s="218">
        <v>3.94</v>
      </c>
      <c r="H13" s="218">
        <v>3.95</v>
      </c>
      <c r="I13" s="218">
        <v>4.79</v>
      </c>
      <c r="J13" s="218">
        <v>4.4000000000000004</v>
      </c>
      <c r="K13" s="218">
        <v>4.58</v>
      </c>
      <c r="L13" s="218">
        <v>6.2</v>
      </c>
      <c r="M13" s="218">
        <v>5.25</v>
      </c>
      <c r="N13" s="218">
        <v>5.63</v>
      </c>
      <c r="O13" s="218">
        <v>5.76</v>
      </c>
      <c r="P13" s="218">
        <v>6.1</v>
      </c>
      <c r="Q13" s="218">
        <v>6.15</v>
      </c>
      <c r="R13" s="218">
        <v>6.15</v>
      </c>
      <c r="S13" s="218">
        <v>6.36</v>
      </c>
      <c r="T13" s="218">
        <v>6.51</v>
      </c>
      <c r="U13" s="218">
        <v>6.7028612127770444</v>
      </c>
      <c r="V13" s="218">
        <v>6.7877942712142882</v>
      </c>
      <c r="X13" s="152"/>
      <c r="Y13" s="152"/>
    </row>
    <row r="14" spans="1:25" ht="15" customHeight="1">
      <c r="A14" s="77"/>
      <c r="B14" s="21" t="s">
        <v>28</v>
      </c>
      <c r="C14" s="218">
        <v>3.32</v>
      </c>
      <c r="D14" s="218">
        <v>3.35</v>
      </c>
      <c r="E14" s="218">
        <v>3.69</v>
      </c>
      <c r="F14" s="218">
        <v>3.83</v>
      </c>
      <c r="G14" s="218">
        <v>4.09</v>
      </c>
      <c r="H14" s="218">
        <v>4.43</v>
      </c>
      <c r="I14" s="218">
        <v>4.1500000000000004</v>
      </c>
      <c r="J14" s="218">
        <v>4.28</v>
      </c>
      <c r="K14" s="218">
        <v>5.57</v>
      </c>
      <c r="L14" s="218">
        <v>7.23</v>
      </c>
      <c r="M14" s="218">
        <v>6.79</v>
      </c>
      <c r="N14" s="218">
        <v>6.66</v>
      </c>
      <c r="O14" s="218">
        <v>6.27</v>
      </c>
      <c r="P14" s="218">
        <v>7.02</v>
      </c>
      <c r="Q14" s="218">
        <v>6.97</v>
      </c>
      <c r="R14" s="218">
        <v>6.97</v>
      </c>
      <c r="S14" s="218">
        <v>6.93</v>
      </c>
      <c r="T14" s="218">
        <v>6.9</v>
      </c>
      <c r="U14" s="218">
        <v>7.1230519737440954</v>
      </c>
      <c r="V14" s="218">
        <v>7.2658019973709598</v>
      </c>
      <c r="X14" s="152"/>
      <c r="Y14" s="152"/>
    </row>
    <row r="15" spans="1:25" ht="15" customHeight="1">
      <c r="A15" s="77"/>
      <c r="B15" s="21" t="s">
        <v>29</v>
      </c>
      <c r="C15" s="218">
        <v>3.53</v>
      </c>
      <c r="D15" s="218">
        <v>3.6</v>
      </c>
      <c r="E15" s="218">
        <v>3.55</v>
      </c>
      <c r="F15" s="218">
        <v>3.85</v>
      </c>
      <c r="G15" s="218">
        <v>4.3</v>
      </c>
      <c r="H15" s="218">
        <v>4.3</v>
      </c>
      <c r="I15" s="218">
        <v>5.22</v>
      </c>
      <c r="J15" s="218">
        <v>5.33</v>
      </c>
      <c r="K15" s="218">
        <v>6.03</v>
      </c>
      <c r="L15" s="218">
        <v>5.67</v>
      </c>
      <c r="M15" s="218">
        <v>5.78</v>
      </c>
      <c r="N15" s="218">
        <v>6.32</v>
      </c>
      <c r="O15" s="218">
        <v>6.49</v>
      </c>
      <c r="P15" s="218">
        <v>6.72</v>
      </c>
      <c r="Q15" s="218">
        <v>6.71</v>
      </c>
      <c r="R15" s="218">
        <v>6.71</v>
      </c>
      <c r="S15" s="218">
        <v>6.93</v>
      </c>
      <c r="T15" s="218">
        <v>7.13</v>
      </c>
      <c r="U15" s="218">
        <v>7.4041220986620369</v>
      </c>
      <c r="V15" s="218">
        <v>7.5699722539954806</v>
      </c>
      <c r="X15" s="152"/>
      <c r="Y15" s="152"/>
    </row>
    <row r="16" spans="1:25" ht="15" customHeight="1">
      <c r="A16" s="77"/>
      <c r="B16" s="21" t="s">
        <v>30</v>
      </c>
      <c r="C16" s="218">
        <v>2.38</v>
      </c>
      <c r="D16" s="218">
        <v>2.4900000000000002</v>
      </c>
      <c r="E16" s="218">
        <v>2.94</v>
      </c>
      <c r="F16" s="218">
        <v>4.03</v>
      </c>
      <c r="G16" s="218">
        <v>4.34</v>
      </c>
      <c r="H16" s="218">
        <v>4.6900000000000004</v>
      </c>
      <c r="I16" s="218">
        <v>6.32</v>
      </c>
      <c r="J16" s="218">
        <v>6.9</v>
      </c>
      <c r="K16" s="218">
        <v>7.55</v>
      </c>
      <c r="L16" s="218">
        <v>5.92</v>
      </c>
      <c r="M16" s="218">
        <v>6.04</v>
      </c>
      <c r="N16" s="218">
        <v>7.14</v>
      </c>
      <c r="O16" s="218">
        <v>6.15</v>
      </c>
      <c r="P16" s="218">
        <v>6.47</v>
      </c>
      <c r="Q16" s="218">
        <v>6.39</v>
      </c>
      <c r="R16" s="218">
        <v>6.39</v>
      </c>
      <c r="S16" s="218">
        <v>6.57</v>
      </c>
      <c r="T16" s="218">
        <v>6.77</v>
      </c>
      <c r="U16" s="218">
        <v>6.9983443806672785</v>
      </c>
      <c r="V16" s="218">
        <v>7.142655891693197</v>
      </c>
      <c r="X16" s="152"/>
      <c r="Y16" s="152"/>
    </row>
    <row r="17" spans="1:25" ht="15" customHeight="1">
      <c r="A17" s="77"/>
      <c r="B17" s="21" t="s">
        <v>31</v>
      </c>
      <c r="C17" s="218">
        <v>3.5</v>
      </c>
      <c r="D17" s="218">
        <v>3.46</v>
      </c>
      <c r="E17" s="218">
        <v>3.54</v>
      </c>
      <c r="F17" s="218">
        <v>3.62</v>
      </c>
      <c r="G17" s="218">
        <v>4.0199999999999996</v>
      </c>
      <c r="H17" s="218">
        <v>4.3600000000000003</v>
      </c>
      <c r="I17" s="218">
        <v>6.21</v>
      </c>
      <c r="J17" s="218">
        <v>5.87</v>
      </c>
      <c r="K17" s="218">
        <v>6.13</v>
      </c>
      <c r="L17" s="218">
        <v>6.68</v>
      </c>
      <c r="M17" s="218">
        <v>7.29</v>
      </c>
      <c r="N17" s="218">
        <v>7.12</v>
      </c>
      <c r="O17" s="218">
        <v>6.84</v>
      </c>
      <c r="P17" s="218">
        <v>7.12</v>
      </c>
      <c r="Q17" s="218">
        <v>7.06</v>
      </c>
      <c r="R17" s="218">
        <v>7.06</v>
      </c>
      <c r="S17" s="218">
        <v>6.95</v>
      </c>
      <c r="T17" s="218">
        <v>7.01</v>
      </c>
      <c r="U17" s="218">
        <v>7.134294991972169</v>
      </c>
      <c r="V17" s="218">
        <v>7.2278317042408613</v>
      </c>
      <c r="X17" s="152"/>
      <c r="Y17" s="152"/>
    </row>
    <row r="18" spans="1:25" ht="15" customHeight="1">
      <c r="A18" s="77"/>
      <c r="B18" s="21" t="s">
        <v>32</v>
      </c>
      <c r="C18" s="218">
        <v>2.63</v>
      </c>
      <c r="D18" s="218">
        <v>2.75</v>
      </c>
      <c r="E18" s="218">
        <v>3.39</v>
      </c>
      <c r="F18" s="218">
        <v>3.62</v>
      </c>
      <c r="G18" s="218">
        <v>3.84</v>
      </c>
      <c r="H18" s="218">
        <v>4.1399999999999997</v>
      </c>
      <c r="I18" s="218">
        <v>5.64</v>
      </c>
      <c r="J18" s="218">
        <v>5.92</v>
      </c>
      <c r="K18" s="218">
        <v>5.69</v>
      </c>
      <c r="L18" s="218">
        <v>6.69</v>
      </c>
      <c r="M18" s="218">
        <v>6.22</v>
      </c>
      <c r="N18" s="218">
        <v>6.1</v>
      </c>
      <c r="O18" s="218">
        <v>6.22</v>
      </c>
      <c r="P18" s="218">
        <v>6.4</v>
      </c>
      <c r="Q18" s="218">
        <v>6.31</v>
      </c>
      <c r="R18" s="218">
        <v>6.31</v>
      </c>
      <c r="S18" s="218">
        <v>6.35</v>
      </c>
      <c r="T18" s="218">
        <v>6.44</v>
      </c>
      <c r="U18" s="218">
        <v>6.5592129994045445</v>
      </c>
      <c r="V18" s="218">
        <v>6.6523368068971749</v>
      </c>
      <c r="X18" s="152"/>
      <c r="Y18" s="152"/>
    </row>
    <row r="19" spans="1:25" ht="15" customHeight="1">
      <c r="A19" s="77"/>
      <c r="B19" s="21" t="s">
        <v>33</v>
      </c>
      <c r="C19" s="218">
        <v>2.82</v>
      </c>
      <c r="D19" s="218">
        <v>2.91</v>
      </c>
      <c r="E19" s="218">
        <v>3.13</v>
      </c>
      <c r="F19" s="218">
        <v>4.07</v>
      </c>
      <c r="G19" s="218">
        <v>3.96</v>
      </c>
      <c r="H19" s="218">
        <v>5.04</v>
      </c>
      <c r="I19" s="218">
        <v>6.48</v>
      </c>
      <c r="J19" s="218">
        <v>5.17</v>
      </c>
      <c r="K19" s="218">
        <v>5.58</v>
      </c>
      <c r="L19" s="218">
        <v>5.72</v>
      </c>
      <c r="M19" s="218">
        <v>6.35</v>
      </c>
      <c r="N19" s="218">
        <v>7.15</v>
      </c>
      <c r="O19" s="218">
        <v>6.8</v>
      </c>
      <c r="P19" s="218">
        <v>6.75</v>
      </c>
      <c r="Q19" s="218">
        <v>6.73</v>
      </c>
      <c r="R19" s="218">
        <v>6.73</v>
      </c>
      <c r="S19" s="218">
        <v>6.9</v>
      </c>
      <c r="T19" s="218">
        <v>6.98</v>
      </c>
      <c r="U19" s="218">
        <v>7.1480606271147593</v>
      </c>
      <c r="V19" s="218">
        <v>7.2886437913544171</v>
      </c>
      <c r="X19" s="152"/>
      <c r="Y19" s="152"/>
    </row>
    <row r="20" spans="1:25" ht="15" customHeight="1">
      <c r="A20" s="77"/>
      <c r="B20" s="21" t="s">
        <v>34</v>
      </c>
      <c r="C20" s="218">
        <v>3.61</v>
      </c>
      <c r="D20" s="218">
        <v>3.72</v>
      </c>
      <c r="E20" s="218">
        <v>3.25</v>
      </c>
      <c r="F20" s="218">
        <v>3.85</v>
      </c>
      <c r="G20" s="218">
        <v>3.73</v>
      </c>
      <c r="H20" s="218">
        <v>3.86</v>
      </c>
      <c r="I20" s="218">
        <v>5.21</v>
      </c>
      <c r="J20" s="218">
        <v>4.88</v>
      </c>
      <c r="K20" s="218">
        <v>5.57</v>
      </c>
      <c r="L20" s="218">
        <v>5.56</v>
      </c>
      <c r="M20" s="218">
        <v>5.53</v>
      </c>
      <c r="N20" s="218">
        <v>5.79</v>
      </c>
      <c r="O20" s="218">
        <v>5.64</v>
      </c>
      <c r="P20" s="218">
        <v>5.83</v>
      </c>
      <c r="Q20" s="218">
        <v>5.79</v>
      </c>
      <c r="R20" s="218">
        <v>5.79</v>
      </c>
      <c r="S20" s="218">
        <v>5.83</v>
      </c>
      <c r="T20" s="218">
        <v>5.89</v>
      </c>
      <c r="U20" s="218">
        <v>6.0259670247193871</v>
      </c>
      <c r="V20" s="218">
        <v>6.2432761427800516</v>
      </c>
      <c r="X20" s="152"/>
      <c r="Y20" s="152"/>
    </row>
    <row r="21" spans="1:25" ht="15" customHeight="1">
      <c r="A21" s="77"/>
      <c r="B21" s="21" t="s">
        <v>35</v>
      </c>
      <c r="C21" s="218">
        <v>3.67</v>
      </c>
      <c r="D21" s="218">
        <v>3.62</v>
      </c>
      <c r="E21" s="218">
        <v>3.26</v>
      </c>
      <c r="F21" s="218">
        <v>3.79</v>
      </c>
      <c r="G21" s="218">
        <v>4.09</v>
      </c>
      <c r="H21" s="218">
        <v>4.7300000000000004</v>
      </c>
      <c r="I21" s="218">
        <v>4.6900000000000004</v>
      </c>
      <c r="J21" s="218">
        <v>5.29</v>
      </c>
      <c r="K21" s="218">
        <v>6.39</v>
      </c>
      <c r="L21" s="218">
        <v>5.67</v>
      </c>
      <c r="M21" s="218">
        <v>6.02</v>
      </c>
      <c r="N21" s="218">
        <v>6.17</v>
      </c>
      <c r="O21" s="218">
        <v>5.88</v>
      </c>
      <c r="P21" s="218">
        <v>5.93</v>
      </c>
      <c r="Q21" s="218">
        <v>5.95</v>
      </c>
      <c r="R21" s="218">
        <v>5.95</v>
      </c>
      <c r="S21" s="218">
        <v>5.99</v>
      </c>
      <c r="T21" s="218">
        <v>6.12</v>
      </c>
      <c r="U21" s="218">
        <v>6.3416347902898611</v>
      </c>
      <c r="V21" s="218">
        <v>6.6613743075279732</v>
      </c>
      <c r="X21" s="152"/>
      <c r="Y21" s="152"/>
    </row>
    <row r="22" spans="1:25" ht="15" customHeight="1">
      <c r="A22" s="77"/>
      <c r="B22" s="21" t="s">
        <v>36</v>
      </c>
      <c r="C22" s="218">
        <v>3.24</v>
      </c>
      <c r="D22" s="218">
        <v>3.29</v>
      </c>
      <c r="E22" s="218">
        <v>3.3</v>
      </c>
      <c r="F22" s="218">
        <v>3.57</v>
      </c>
      <c r="G22" s="218">
        <v>4.01</v>
      </c>
      <c r="H22" s="218">
        <v>4.17</v>
      </c>
      <c r="I22" s="218">
        <v>5.33</v>
      </c>
      <c r="J22" s="218">
        <v>4.82</v>
      </c>
      <c r="K22" s="218">
        <v>5.0199999999999996</v>
      </c>
      <c r="L22" s="218">
        <v>5.05</v>
      </c>
      <c r="M22" s="218">
        <v>5.52</v>
      </c>
      <c r="N22" s="218">
        <v>5.64</v>
      </c>
      <c r="O22" s="218">
        <v>5.6</v>
      </c>
      <c r="P22" s="218">
        <v>5.64</v>
      </c>
      <c r="Q22" s="218">
        <v>5.73</v>
      </c>
      <c r="R22" s="218">
        <v>5.73</v>
      </c>
      <c r="S22" s="218">
        <v>5.8</v>
      </c>
      <c r="T22" s="218">
        <v>5.88</v>
      </c>
      <c r="U22" s="218">
        <v>6.0014876566082282</v>
      </c>
      <c r="V22" s="218">
        <v>6.0978236737383114</v>
      </c>
      <c r="X22" s="152"/>
      <c r="Y22" s="152"/>
    </row>
    <row r="23" spans="1:25" ht="15" customHeight="1">
      <c r="A23" s="77"/>
      <c r="B23" s="21" t="s">
        <v>37</v>
      </c>
      <c r="C23" s="218">
        <v>3.59</v>
      </c>
      <c r="D23" s="218">
        <v>3.34</v>
      </c>
      <c r="E23" s="218">
        <v>3.48</v>
      </c>
      <c r="F23" s="218">
        <v>3.59</v>
      </c>
      <c r="G23" s="218">
        <v>4.0199999999999996</v>
      </c>
      <c r="H23" s="218">
        <v>4.33</v>
      </c>
      <c r="I23" s="218">
        <v>4.54</v>
      </c>
      <c r="J23" s="218">
        <v>4.88</v>
      </c>
      <c r="K23" s="218">
        <v>5.12</v>
      </c>
      <c r="L23" s="218">
        <v>5.24</v>
      </c>
      <c r="M23" s="218">
        <v>5.93</v>
      </c>
      <c r="N23" s="218">
        <v>6.21</v>
      </c>
      <c r="O23" s="218">
        <v>5.93</v>
      </c>
      <c r="P23" s="218">
        <v>6.2</v>
      </c>
      <c r="Q23" s="218">
        <v>6.24</v>
      </c>
      <c r="R23" s="218">
        <v>6.24</v>
      </c>
      <c r="S23" s="218">
        <v>6.32</v>
      </c>
      <c r="T23" s="218">
        <v>6.49</v>
      </c>
      <c r="U23" s="218">
        <v>6.7162003667521049</v>
      </c>
      <c r="V23" s="218">
        <v>6.815294355570054</v>
      </c>
      <c r="X23" s="152"/>
      <c r="Y23" s="152"/>
    </row>
    <row r="24" spans="1:25" ht="15" customHeight="1">
      <c r="A24" s="77"/>
      <c r="B24" s="21" t="s">
        <v>38</v>
      </c>
      <c r="C24" s="218">
        <v>3.6</v>
      </c>
      <c r="D24" s="218">
        <v>3.65</v>
      </c>
      <c r="E24" s="218">
        <v>3.7</v>
      </c>
      <c r="F24" s="218">
        <v>3.82</v>
      </c>
      <c r="G24" s="218">
        <v>4.09</v>
      </c>
      <c r="H24" s="218">
        <v>4.3099999999999996</v>
      </c>
      <c r="I24" s="218">
        <v>5.66</v>
      </c>
      <c r="J24" s="218">
        <v>5.48</v>
      </c>
      <c r="K24" s="218">
        <v>5.33</v>
      </c>
      <c r="L24" s="218">
        <v>6.08</v>
      </c>
      <c r="M24" s="218">
        <v>6.34</v>
      </c>
      <c r="N24" s="218">
        <v>6.55</v>
      </c>
      <c r="O24" s="218">
        <v>6.23</v>
      </c>
      <c r="P24" s="218">
        <v>6.27</v>
      </c>
      <c r="Q24" s="218">
        <v>6.22</v>
      </c>
      <c r="R24" s="218">
        <v>6.22</v>
      </c>
      <c r="S24" s="218">
        <v>6.24</v>
      </c>
      <c r="T24" s="218">
        <v>6.34</v>
      </c>
      <c r="U24" s="218">
        <v>6.4502349541361941</v>
      </c>
      <c r="V24" s="218">
        <v>6.5150081487421829</v>
      </c>
      <c r="X24" s="152"/>
      <c r="Y24" s="152"/>
    </row>
    <row r="25" spans="1:25" ht="15" customHeight="1">
      <c r="A25" s="77"/>
      <c r="B25" s="21" t="s">
        <v>39</v>
      </c>
      <c r="C25" s="218">
        <v>3.5</v>
      </c>
      <c r="D25" s="218">
        <v>3.53</v>
      </c>
      <c r="E25" s="218">
        <v>3.56</v>
      </c>
      <c r="F25" s="218">
        <v>3.74</v>
      </c>
      <c r="G25" s="218">
        <v>3.79</v>
      </c>
      <c r="H25" s="218">
        <v>4.24</v>
      </c>
      <c r="I25" s="218">
        <v>5.31</v>
      </c>
      <c r="J25" s="218">
        <v>5</v>
      </c>
      <c r="K25" s="218">
        <v>4.87</v>
      </c>
      <c r="L25" s="218">
        <v>5.28</v>
      </c>
      <c r="M25" s="218">
        <v>6.37</v>
      </c>
      <c r="N25" s="218">
        <v>5.85</v>
      </c>
      <c r="O25" s="218">
        <v>5.75</v>
      </c>
      <c r="P25" s="218">
        <v>6.12</v>
      </c>
      <c r="Q25" s="218">
        <v>6.15</v>
      </c>
      <c r="R25" s="218">
        <v>6.15</v>
      </c>
      <c r="S25" s="218">
        <v>5.2</v>
      </c>
      <c r="T25" s="218">
        <v>5.3</v>
      </c>
      <c r="U25" s="218">
        <v>5.4032158911738071</v>
      </c>
      <c r="V25" s="218">
        <v>5.458411416541213</v>
      </c>
      <c r="X25" s="152"/>
      <c r="Y25" s="152"/>
    </row>
    <row r="26" spans="1:25" ht="15" customHeight="1">
      <c r="A26" s="77"/>
      <c r="B26" s="21" t="s">
        <v>42</v>
      </c>
      <c r="C26" s="218">
        <v>3.67</v>
      </c>
      <c r="D26" s="218">
        <v>3.64</v>
      </c>
      <c r="E26" s="218">
        <v>3.79</v>
      </c>
      <c r="F26" s="218">
        <v>3.84</v>
      </c>
      <c r="G26" s="218">
        <v>3.98</v>
      </c>
      <c r="H26" s="218">
        <v>4.66</v>
      </c>
      <c r="I26" s="218">
        <v>5.37</v>
      </c>
      <c r="J26" s="218">
        <v>5.94</v>
      </c>
      <c r="K26" s="218">
        <v>5.92</v>
      </c>
      <c r="L26" s="218">
        <v>6.79</v>
      </c>
      <c r="M26" s="218">
        <v>7.15</v>
      </c>
      <c r="N26" s="218">
        <v>8.18</v>
      </c>
      <c r="O26" s="218">
        <v>7.57</v>
      </c>
      <c r="P26" s="218">
        <v>7.37</v>
      </c>
      <c r="Q26" s="218">
        <v>7.37</v>
      </c>
      <c r="R26" s="218">
        <v>7.37</v>
      </c>
      <c r="S26" s="218">
        <v>7.97</v>
      </c>
      <c r="T26" s="218">
        <v>7.98</v>
      </c>
      <c r="U26" s="218">
        <v>7.5787448681063339</v>
      </c>
      <c r="V26" s="218">
        <v>7.6730829812759964</v>
      </c>
      <c r="X26" s="152"/>
      <c r="Y26" s="152"/>
    </row>
    <row r="27" spans="1:25" ht="15" customHeight="1">
      <c r="A27" s="77"/>
      <c r="B27" s="21" t="s">
        <v>43</v>
      </c>
      <c r="C27" s="218">
        <v>2.77</v>
      </c>
      <c r="D27" s="218">
        <v>3.13</v>
      </c>
      <c r="E27" s="218">
        <v>3.37</v>
      </c>
      <c r="F27" s="218">
        <v>3.97</v>
      </c>
      <c r="G27" s="218">
        <v>4.33</v>
      </c>
      <c r="H27" s="218">
        <v>4.41</v>
      </c>
      <c r="I27" s="218">
        <v>4.95</v>
      </c>
      <c r="J27" s="218">
        <v>5.66</v>
      </c>
      <c r="K27" s="218">
        <v>6.25</v>
      </c>
      <c r="L27" s="218">
        <v>7.12</v>
      </c>
      <c r="M27" s="218">
        <v>7.93</v>
      </c>
      <c r="N27" s="218">
        <v>7.64</v>
      </c>
      <c r="O27" s="218">
        <v>7.1</v>
      </c>
      <c r="P27" s="218">
        <v>7.23</v>
      </c>
      <c r="Q27" s="218">
        <v>7.28</v>
      </c>
      <c r="R27" s="218">
        <v>7.28</v>
      </c>
      <c r="S27" s="218">
        <v>7.26</v>
      </c>
      <c r="T27" s="218">
        <v>7.3</v>
      </c>
      <c r="U27" s="218">
        <v>7.4579491841580383</v>
      </c>
      <c r="V27" s="218">
        <v>7.5267098237252821</v>
      </c>
      <c r="X27" s="152"/>
      <c r="Y27" s="152"/>
    </row>
    <row r="28" spans="1:25" ht="15" customHeight="1">
      <c r="A28" s="77"/>
      <c r="B28" s="76" t="s">
        <v>44</v>
      </c>
      <c r="C28" s="218">
        <v>2.76</v>
      </c>
      <c r="D28" s="218">
        <v>3.02</v>
      </c>
      <c r="E28" s="218">
        <v>3.19</v>
      </c>
      <c r="F28" s="218">
        <v>3.41</v>
      </c>
      <c r="G28" s="218">
        <v>4.1100000000000003</v>
      </c>
      <c r="H28" s="218">
        <v>4.57</v>
      </c>
      <c r="I28" s="218">
        <v>6.93</v>
      </c>
      <c r="J28" s="218">
        <v>7.52</v>
      </c>
      <c r="K28" s="218">
        <v>7.6</v>
      </c>
      <c r="L28" s="218">
        <v>8</v>
      </c>
      <c r="M28" s="218">
        <v>6.56</v>
      </c>
      <c r="N28" s="218">
        <v>7.03</v>
      </c>
      <c r="O28" s="218">
        <v>7.3</v>
      </c>
      <c r="P28" s="218">
        <v>7.2</v>
      </c>
      <c r="Q28" s="218">
        <v>7.26</v>
      </c>
      <c r="R28" s="218">
        <v>7.26</v>
      </c>
      <c r="S28" s="218">
        <v>6.65</v>
      </c>
      <c r="T28" s="218">
        <v>6.78</v>
      </c>
      <c r="U28" s="218">
        <v>6.9442066740958346</v>
      </c>
      <c r="V28" s="218">
        <v>7.0388436456732997</v>
      </c>
      <c r="X28" s="152"/>
      <c r="Y28" s="152"/>
    </row>
    <row r="29" spans="1:25" ht="15" customHeight="1">
      <c r="A29" s="77"/>
      <c r="B29" s="21" t="s">
        <v>45</v>
      </c>
      <c r="C29" s="218">
        <v>3.22</v>
      </c>
      <c r="D29" s="218">
        <v>3.15</v>
      </c>
      <c r="E29" s="218">
        <v>3.37</v>
      </c>
      <c r="F29" s="218">
        <v>3.85</v>
      </c>
      <c r="G29" s="218">
        <v>4.05</v>
      </c>
      <c r="H29" s="218">
        <v>4.3899999999999997</v>
      </c>
      <c r="I29" s="218">
        <v>4.67</v>
      </c>
      <c r="J29" s="218">
        <v>4.87</v>
      </c>
      <c r="K29" s="218">
        <v>5.32</v>
      </c>
      <c r="L29" s="218">
        <v>5.9</v>
      </c>
      <c r="M29" s="218">
        <v>5.29</v>
      </c>
      <c r="N29" s="218">
        <v>6.24</v>
      </c>
      <c r="O29" s="218">
        <v>5.13</v>
      </c>
      <c r="P29" s="218">
        <v>5.44</v>
      </c>
      <c r="Q29" s="218">
        <v>5.57</v>
      </c>
      <c r="R29" s="218">
        <v>5.57</v>
      </c>
      <c r="S29" s="218">
        <v>6.65</v>
      </c>
      <c r="T29" s="218">
        <v>6.73</v>
      </c>
      <c r="U29" s="218">
        <v>6.9149856940235548</v>
      </c>
      <c r="V29" s="218">
        <v>7.0334884500108572</v>
      </c>
      <c r="X29" s="152"/>
      <c r="Y29" s="152"/>
    </row>
    <row r="30" spans="1:25" ht="15" customHeight="1">
      <c r="A30" s="77"/>
      <c r="B30" s="21" t="s">
        <v>46</v>
      </c>
      <c r="C30" s="218">
        <v>3.02</v>
      </c>
      <c r="D30" s="218">
        <v>3.09</v>
      </c>
      <c r="E30" s="218">
        <v>3.63</v>
      </c>
      <c r="F30" s="218">
        <v>3.98</v>
      </c>
      <c r="G30" s="218">
        <v>4.34</v>
      </c>
      <c r="H30" s="218">
        <v>4.71</v>
      </c>
      <c r="I30" s="218">
        <v>5.08</v>
      </c>
      <c r="J30" s="218">
        <v>5.39</v>
      </c>
      <c r="K30" s="218">
        <v>5.6</v>
      </c>
      <c r="L30" s="218">
        <v>5.82</v>
      </c>
      <c r="M30" s="218">
        <v>6.05</v>
      </c>
      <c r="N30" s="218">
        <v>6.33</v>
      </c>
      <c r="O30" s="218">
        <v>6.79</v>
      </c>
      <c r="P30" s="218">
        <v>7</v>
      </c>
      <c r="Q30" s="218">
        <v>6.67</v>
      </c>
      <c r="R30" s="218">
        <v>6.67</v>
      </c>
      <c r="S30" s="218">
        <v>6.79</v>
      </c>
      <c r="T30" s="218">
        <v>6.86</v>
      </c>
      <c r="U30" s="218">
        <v>6.9438463474405427</v>
      </c>
      <c r="V30" s="218">
        <v>7.0528154995421755</v>
      </c>
      <c r="X30" s="152"/>
      <c r="Y30" s="152"/>
    </row>
    <row r="31" spans="1:25" ht="15" customHeight="1" thickBot="1">
      <c r="A31" s="82"/>
      <c r="B31" s="434" t="s">
        <v>47</v>
      </c>
      <c r="C31" s="433">
        <v>3.88</v>
      </c>
      <c r="D31" s="433">
        <v>3.89</v>
      </c>
      <c r="E31" s="433">
        <v>3.95</v>
      </c>
      <c r="F31" s="433">
        <v>4.01</v>
      </c>
      <c r="G31" s="433">
        <v>4.3600000000000003</v>
      </c>
      <c r="H31" s="433">
        <v>4.6100000000000003</v>
      </c>
      <c r="I31" s="433">
        <v>6.14</v>
      </c>
      <c r="J31" s="433">
        <v>6.85</v>
      </c>
      <c r="K31" s="433">
        <v>6.28</v>
      </c>
      <c r="L31" s="433">
        <v>6.22</v>
      </c>
      <c r="M31" s="433">
        <v>6.59</v>
      </c>
      <c r="N31" s="433">
        <v>6.47</v>
      </c>
      <c r="O31" s="433">
        <v>6.47</v>
      </c>
      <c r="P31" s="433">
        <v>6.32</v>
      </c>
      <c r="Q31" s="433">
        <v>6.37</v>
      </c>
      <c r="R31" s="433">
        <v>6.37</v>
      </c>
      <c r="S31" s="433">
        <v>6.29</v>
      </c>
      <c r="T31" s="433">
        <v>6.44</v>
      </c>
      <c r="U31" s="433">
        <v>6.6465532396958089</v>
      </c>
      <c r="V31" s="433">
        <v>6.7448882232925111</v>
      </c>
      <c r="X31" s="152"/>
      <c r="Y31" s="152"/>
    </row>
    <row r="32" spans="1:25" ht="11" customHeight="1">
      <c r="A32" s="529" t="s">
        <v>330</v>
      </c>
      <c r="B32" s="527"/>
      <c r="C32" s="528"/>
      <c r="D32" s="528"/>
      <c r="E32" s="528"/>
      <c r="F32" s="528"/>
      <c r="G32" s="528"/>
      <c r="H32" s="836" t="s">
        <v>346</v>
      </c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7">
    <tabColor theme="9" tint="0.59999389629810485"/>
  </sheetPr>
  <dimension ref="A2:V61"/>
  <sheetViews>
    <sheetView showGridLines="0" zoomScaleNormal="100" workbookViewId="0">
      <selection activeCell="Q14" sqref="Q14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796875" style="76" customWidth="1"/>
    <col min="24" max="25" width="8.19921875" style="76" customWidth="1"/>
    <col min="26" max="16384" width="7" style="76"/>
  </cols>
  <sheetData>
    <row r="2" spans="1:22" ht="16.5" customHeight="1">
      <c r="A2" s="210" t="s">
        <v>503</v>
      </c>
      <c r="B2" s="211"/>
    </row>
    <row r="3" spans="1:22" ht="13.25" customHeight="1">
      <c r="A3" s="212" t="s">
        <v>211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2" ht="18" customHeight="1">
      <c r="A6" s="1020" t="s">
        <v>93</v>
      </c>
      <c r="B6" s="1020"/>
      <c r="C6" s="629">
        <f>(C8+C9+C10+C11+C12+C13+C14+C15+C16+C17+C18+C19+C20+C21+C22+C23+C24+C25+C26+C27+C28+C29+C30+C31)</f>
        <v>3594515</v>
      </c>
      <c r="D6" s="629">
        <f>(D8+D9+D10+D11+D12+D13+D14+D15+D16+D17+D18+D19+D20+D21+D22+D23+D24+D25+D26+D27+D28+D29+D30+D31)</f>
        <v>3625627</v>
      </c>
      <c r="E6" s="630">
        <v>3687340</v>
      </c>
      <c r="F6" s="630">
        <v>3780806</v>
      </c>
      <c r="G6" s="630">
        <v>4105582</v>
      </c>
      <c r="H6" s="630">
        <v>4177499</v>
      </c>
      <c r="I6" s="630">
        <v>4322258</v>
      </c>
      <c r="J6" s="630">
        <v>3927361</v>
      </c>
      <c r="K6" s="630">
        <v>4005315</v>
      </c>
      <c r="L6" s="630">
        <v>4315793</v>
      </c>
      <c r="M6" s="630">
        <v>4318457</v>
      </c>
      <c r="N6" s="630">
        <v>4319228</v>
      </c>
      <c r="O6" s="630">
        <v>4330710</v>
      </c>
      <c r="P6" s="630">
        <v>4384848</v>
      </c>
      <c r="Q6" s="630">
        <v>4449505</v>
      </c>
      <c r="R6" s="630">
        <v>4492025</v>
      </c>
      <c r="S6" s="630">
        <f>SUM(S8:S27)</f>
        <v>4484888</v>
      </c>
      <c r="T6" s="630">
        <f>SUM(T8:T27)</f>
        <v>4533921</v>
      </c>
      <c r="U6" s="630">
        <f>SUM(U8:U27)</f>
        <v>4483838</v>
      </c>
      <c r="V6" s="630">
        <f>SUM(V8:V27)</f>
        <v>4545820</v>
      </c>
    </row>
    <row r="7" spans="1:22" ht="3" customHeight="1">
      <c r="A7" s="77"/>
      <c r="B7" s="78"/>
      <c r="C7" s="203"/>
      <c r="D7" s="203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</row>
    <row r="8" spans="1:22" ht="15" customHeight="1">
      <c r="A8" s="77"/>
      <c r="B8" s="21" t="s">
        <v>19</v>
      </c>
      <c r="C8" s="202">
        <v>0</v>
      </c>
      <c r="D8" s="202">
        <v>0</v>
      </c>
      <c r="E8" s="571" t="s">
        <v>395</v>
      </c>
      <c r="F8" s="571" t="s">
        <v>395</v>
      </c>
      <c r="G8" s="571" t="s">
        <v>395</v>
      </c>
      <c r="H8" s="571" t="s">
        <v>395</v>
      </c>
      <c r="I8" s="571" t="s">
        <v>395</v>
      </c>
      <c r="J8" s="571" t="s">
        <v>395</v>
      </c>
      <c r="K8" s="571" t="s">
        <v>395</v>
      </c>
      <c r="L8" s="571" t="s">
        <v>395</v>
      </c>
      <c r="M8" s="571" t="s">
        <v>395</v>
      </c>
      <c r="N8" s="571" t="s">
        <v>395</v>
      </c>
      <c r="O8" s="571" t="s">
        <v>395</v>
      </c>
      <c r="P8" s="571" t="s">
        <v>395</v>
      </c>
      <c r="Q8" s="571" t="s">
        <v>395</v>
      </c>
      <c r="R8" s="571" t="s">
        <v>395</v>
      </c>
      <c r="S8" s="571" t="s">
        <v>395</v>
      </c>
      <c r="T8" s="571" t="s">
        <v>395</v>
      </c>
      <c r="U8" s="571" t="s">
        <v>395</v>
      </c>
      <c r="V8" s="571" t="s">
        <v>395</v>
      </c>
    </row>
    <row r="9" spans="1:22" ht="15" customHeight="1">
      <c r="A9" s="77"/>
      <c r="B9" s="21" t="s">
        <v>20</v>
      </c>
      <c r="C9" s="202">
        <v>0</v>
      </c>
      <c r="D9" s="202">
        <v>0</v>
      </c>
      <c r="E9" s="571" t="s">
        <v>395</v>
      </c>
      <c r="F9" s="571" t="s">
        <v>395</v>
      </c>
      <c r="G9" s="571" t="s">
        <v>395</v>
      </c>
      <c r="H9" s="571" t="s">
        <v>395</v>
      </c>
      <c r="I9" s="571" t="s">
        <v>395</v>
      </c>
      <c r="J9" s="571" t="s">
        <v>395</v>
      </c>
      <c r="K9" s="571" t="s">
        <v>395</v>
      </c>
      <c r="L9" s="571" t="s">
        <v>395</v>
      </c>
      <c r="M9" s="473">
        <v>135</v>
      </c>
      <c r="N9" s="473">
        <v>82</v>
      </c>
      <c r="O9" s="473">
        <v>79</v>
      </c>
      <c r="P9" s="473">
        <v>97</v>
      </c>
      <c r="Q9" s="473">
        <v>100</v>
      </c>
      <c r="R9" s="473">
        <v>92</v>
      </c>
      <c r="S9" s="473">
        <v>98</v>
      </c>
      <c r="T9" s="473">
        <v>95</v>
      </c>
      <c r="U9" s="473">
        <v>105</v>
      </c>
      <c r="V9" s="473">
        <v>118</v>
      </c>
    </row>
    <row r="10" spans="1:22" ht="15" customHeight="1">
      <c r="A10" s="77"/>
      <c r="B10" s="21" t="s">
        <v>21</v>
      </c>
      <c r="C10" s="202">
        <v>0</v>
      </c>
      <c r="D10" s="202">
        <v>0</v>
      </c>
      <c r="E10" s="571" t="s">
        <v>395</v>
      </c>
      <c r="F10" s="571" t="s">
        <v>395</v>
      </c>
      <c r="G10" s="571" t="s">
        <v>395</v>
      </c>
      <c r="H10" s="571" t="s">
        <v>395</v>
      </c>
      <c r="I10" s="571" t="s">
        <v>395</v>
      </c>
      <c r="J10" s="571" t="s">
        <v>395</v>
      </c>
      <c r="K10" s="571" t="s">
        <v>395</v>
      </c>
      <c r="L10" s="571" t="s">
        <v>395</v>
      </c>
      <c r="M10" s="571" t="s">
        <v>395</v>
      </c>
      <c r="N10" s="571" t="s">
        <v>395</v>
      </c>
      <c r="O10" s="571" t="s">
        <v>395</v>
      </c>
      <c r="P10" s="571" t="s">
        <v>395</v>
      </c>
      <c r="Q10" s="571" t="s">
        <v>395</v>
      </c>
      <c r="R10" s="571" t="s">
        <v>395</v>
      </c>
      <c r="S10" s="571" t="s">
        <v>395</v>
      </c>
      <c r="T10" s="571" t="s">
        <v>395</v>
      </c>
      <c r="U10" s="571" t="s">
        <v>395</v>
      </c>
      <c r="V10" s="571" t="s">
        <v>395</v>
      </c>
    </row>
    <row r="11" spans="1:22" ht="15" customHeight="1">
      <c r="A11" s="77"/>
      <c r="B11" s="21" t="s">
        <v>22</v>
      </c>
      <c r="C11" s="202">
        <v>7505</v>
      </c>
      <c r="D11" s="202">
        <v>7529</v>
      </c>
      <c r="E11" s="87">
        <v>7913</v>
      </c>
      <c r="F11" s="87">
        <v>7815</v>
      </c>
      <c r="G11" s="87">
        <v>7740</v>
      </c>
      <c r="H11" s="87">
        <v>7624</v>
      </c>
      <c r="I11" s="87">
        <v>8018</v>
      </c>
      <c r="J11" s="87">
        <v>7767</v>
      </c>
      <c r="K11" s="87">
        <v>7878</v>
      </c>
      <c r="L11" s="87">
        <v>7902</v>
      </c>
      <c r="M11" s="473">
        <v>7998</v>
      </c>
      <c r="N11" s="473">
        <v>7999</v>
      </c>
      <c r="O11" s="473">
        <v>7851</v>
      </c>
      <c r="P11" s="473">
        <v>7562</v>
      </c>
      <c r="Q11" s="473">
        <v>7710</v>
      </c>
      <c r="R11" s="473">
        <v>7650</v>
      </c>
      <c r="S11" s="473">
        <v>7131</v>
      </c>
      <c r="T11" s="473">
        <v>7390</v>
      </c>
      <c r="U11" s="473">
        <v>8015</v>
      </c>
      <c r="V11" s="473">
        <v>7669</v>
      </c>
    </row>
    <row r="12" spans="1:22" ht="15" customHeight="1">
      <c r="A12" s="77"/>
      <c r="B12" s="21" t="s">
        <v>23</v>
      </c>
      <c r="C12" s="202">
        <v>1333</v>
      </c>
      <c r="D12" s="202">
        <v>1285</v>
      </c>
      <c r="E12" s="87">
        <v>1380</v>
      </c>
      <c r="F12" s="87">
        <v>1200</v>
      </c>
      <c r="G12" s="87">
        <v>1280</v>
      </c>
      <c r="H12" s="87">
        <v>1296</v>
      </c>
      <c r="I12" s="87">
        <v>1120</v>
      </c>
      <c r="J12" s="87">
        <v>1120</v>
      </c>
      <c r="K12" s="87">
        <v>1210</v>
      </c>
      <c r="L12" s="87">
        <v>1165</v>
      </c>
      <c r="M12" s="473">
        <v>1190</v>
      </c>
      <c r="N12" s="473">
        <v>1150</v>
      </c>
      <c r="O12" s="473">
        <v>1180</v>
      </c>
      <c r="P12" s="473">
        <v>1173</v>
      </c>
      <c r="Q12" s="473">
        <v>1190</v>
      </c>
      <c r="R12" s="473">
        <v>1181</v>
      </c>
      <c r="S12" s="473">
        <v>1196</v>
      </c>
      <c r="T12" s="473">
        <v>1188</v>
      </c>
      <c r="U12" s="473">
        <v>1193</v>
      </c>
      <c r="V12" s="473">
        <v>1206</v>
      </c>
    </row>
    <row r="13" spans="1:22" ht="15" customHeight="1">
      <c r="A13" s="77"/>
      <c r="B13" s="21" t="s">
        <v>27</v>
      </c>
      <c r="C13" s="202">
        <v>0</v>
      </c>
      <c r="D13" s="202">
        <v>0</v>
      </c>
      <c r="E13" s="571" t="s">
        <v>395</v>
      </c>
      <c r="F13" s="571" t="s">
        <v>395</v>
      </c>
      <c r="G13" s="571" t="s">
        <v>395</v>
      </c>
      <c r="H13" s="571" t="s">
        <v>395</v>
      </c>
      <c r="I13" s="571" t="s">
        <v>395</v>
      </c>
      <c r="J13" s="571" t="s">
        <v>395</v>
      </c>
      <c r="K13" s="571" t="s">
        <v>395</v>
      </c>
      <c r="L13" s="571" t="s">
        <v>395</v>
      </c>
      <c r="M13" s="571" t="s">
        <v>395</v>
      </c>
      <c r="N13" s="571" t="s">
        <v>395</v>
      </c>
      <c r="O13" s="571" t="s">
        <v>395</v>
      </c>
      <c r="P13" s="571" t="s">
        <v>395</v>
      </c>
      <c r="Q13" s="571" t="s">
        <v>395</v>
      </c>
      <c r="R13" s="571" t="s">
        <v>395</v>
      </c>
      <c r="S13" s="571" t="s">
        <v>395</v>
      </c>
      <c r="T13" s="571" t="s">
        <v>395</v>
      </c>
      <c r="U13" s="571" t="s">
        <v>395</v>
      </c>
      <c r="V13" s="571" t="s">
        <v>395</v>
      </c>
    </row>
    <row r="14" spans="1:22" ht="15" customHeight="1">
      <c r="A14" s="77"/>
      <c r="B14" s="21" t="s">
        <v>28</v>
      </c>
      <c r="C14" s="202">
        <v>12142</v>
      </c>
      <c r="D14" s="202">
        <v>11815</v>
      </c>
      <c r="E14" s="87">
        <v>12085</v>
      </c>
      <c r="F14" s="87">
        <v>12071</v>
      </c>
      <c r="G14" s="87">
        <v>11547</v>
      </c>
      <c r="H14" s="87">
        <v>11932</v>
      </c>
      <c r="I14" s="87">
        <v>11844</v>
      </c>
      <c r="J14" s="87">
        <v>10120</v>
      </c>
      <c r="K14" s="87">
        <v>8310</v>
      </c>
      <c r="L14" s="87">
        <v>10294</v>
      </c>
      <c r="M14" s="473">
        <v>9715</v>
      </c>
      <c r="N14" s="473">
        <v>10201</v>
      </c>
      <c r="O14" s="473">
        <v>10320</v>
      </c>
      <c r="P14" s="473">
        <v>10080</v>
      </c>
      <c r="Q14" s="473">
        <v>10200</v>
      </c>
      <c r="R14" s="473">
        <v>11654</v>
      </c>
      <c r="S14" s="473">
        <v>10940</v>
      </c>
      <c r="T14" s="473">
        <v>11297</v>
      </c>
      <c r="U14" s="473">
        <v>11119</v>
      </c>
      <c r="V14" s="473">
        <v>11114</v>
      </c>
    </row>
    <row r="15" spans="1:22" ht="15" customHeight="1">
      <c r="A15" s="77"/>
      <c r="B15" s="21" t="s">
        <v>29</v>
      </c>
      <c r="C15" s="202">
        <v>34173</v>
      </c>
      <c r="D15" s="202">
        <v>31300</v>
      </c>
      <c r="E15" s="87">
        <v>33948</v>
      </c>
      <c r="F15" s="87">
        <v>33888</v>
      </c>
      <c r="G15" s="87">
        <v>32560</v>
      </c>
      <c r="H15" s="87">
        <v>33174</v>
      </c>
      <c r="I15" s="87">
        <v>37345</v>
      </c>
      <c r="J15" s="87">
        <v>35259</v>
      </c>
      <c r="K15" s="87">
        <v>36140</v>
      </c>
      <c r="L15" s="87">
        <v>37044</v>
      </c>
      <c r="M15" s="473">
        <v>39756</v>
      </c>
      <c r="N15" s="473">
        <v>40511</v>
      </c>
      <c r="O15" s="473">
        <v>46625</v>
      </c>
      <c r="P15" s="473">
        <v>46870</v>
      </c>
      <c r="Q15" s="473">
        <v>46747.5</v>
      </c>
      <c r="R15" s="473">
        <v>46625</v>
      </c>
      <c r="S15" s="473">
        <v>46625</v>
      </c>
      <c r="T15" s="473">
        <v>46890</v>
      </c>
      <c r="U15" s="473">
        <v>46625</v>
      </c>
      <c r="V15" s="473">
        <v>48722</v>
      </c>
    </row>
    <row r="16" spans="1:22" ht="15" customHeight="1">
      <c r="A16" s="77"/>
      <c r="B16" s="21" t="s">
        <v>30</v>
      </c>
      <c r="C16" s="202">
        <v>0</v>
      </c>
      <c r="D16" s="202">
        <v>0</v>
      </c>
      <c r="E16" s="571" t="s">
        <v>395</v>
      </c>
      <c r="F16" s="571" t="s">
        <v>395</v>
      </c>
      <c r="G16" s="571" t="s">
        <v>395</v>
      </c>
      <c r="H16" s="571" t="s">
        <v>395</v>
      </c>
      <c r="I16" s="571" t="s">
        <v>395</v>
      </c>
      <c r="J16" s="571" t="s">
        <v>395</v>
      </c>
      <c r="K16" s="571" t="s">
        <v>395</v>
      </c>
      <c r="L16" s="571" t="s">
        <v>395</v>
      </c>
      <c r="M16" s="571" t="s">
        <v>395</v>
      </c>
      <c r="N16" s="571" t="s">
        <v>395</v>
      </c>
      <c r="O16" s="571" t="s">
        <v>395</v>
      </c>
      <c r="P16" s="571" t="s">
        <v>395</v>
      </c>
      <c r="Q16" s="571" t="s">
        <v>395</v>
      </c>
      <c r="R16" s="571" t="s">
        <v>395</v>
      </c>
      <c r="S16" s="571" t="s">
        <v>395</v>
      </c>
      <c r="T16" s="571" t="s">
        <v>395</v>
      </c>
      <c r="U16" s="571" t="s">
        <v>395</v>
      </c>
      <c r="V16" s="571" t="s">
        <v>395</v>
      </c>
    </row>
    <row r="17" spans="1:22" ht="15" customHeight="1">
      <c r="A17" s="77"/>
      <c r="B17" s="21" t="s">
        <v>31</v>
      </c>
      <c r="C17" s="202">
        <v>2637</v>
      </c>
      <c r="D17" s="202">
        <v>2583</v>
      </c>
      <c r="E17" s="87">
        <v>4386</v>
      </c>
      <c r="F17" s="87">
        <v>4343</v>
      </c>
      <c r="G17" s="87">
        <v>4200</v>
      </c>
      <c r="H17" s="87">
        <v>3630</v>
      </c>
      <c r="I17" s="87">
        <v>3250</v>
      </c>
      <c r="J17" s="87">
        <v>4151</v>
      </c>
      <c r="K17" s="87">
        <v>5072</v>
      </c>
      <c r="L17" s="87">
        <v>5173</v>
      </c>
      <c r="M17" s="473">
        <v>5915</v>
      </c>
      <c r="N17" s="473">
        <v>6967</v>
      </c>
      <c r="O17" s="473">
        <v>6850</v>
      </c>
      <c r="P17" s="473">
        <v>6670</v>
      </c>
      <c r="Q17" s="473">
        <v>6760</v>
      </c>
      <c r="R17" s="473">
        <v>6648</v>
      </c>
      <c r="S17" s="473">
        <v>6701</v>
      </c>
      <c r="T17" s="473">
        <v>6674</v>
      </c>
      <c r="U17" s="473">
        <v>6988</v>
      </c>
      <c r="V17" s="473">
        <v>6932</v>
      </c>
    </row>
    <row r="18" spans="1:22" ht="15" customHeight="1">
      <c r="A18" s="77"/>
      <c r="B18" s="21" t="s">
        <v>32</v>
      </c>
      <c r="C18" s="202">
        <v>31823</v>
      </c>
      <c r="D18" s="202">
        <v>32205</v>
      </c>
      <c r="E18" s="87">
        <v>35557</v>
      </c>
      <c r="F18" s="87">
        <v>44657</v>
      </c>
      <c r="G18" s="87">
        <v>48902</v>
      </c>
      <c r="H18" s="87">
        <v>66112</v>
      </c>
      <c r="I18" s="87">
        <v>69640</v>
      </c>
      <c r="J18" s="87">
        <v>89091</v>
      </c>
      <c r="K18" s="87">
        <v>97491</v>
      </c>
      <c r="L18" s="87">
        <v>108023</v>
      </c>
      <c r="M18" s="473">
        <v>116664</v>
      </c>
      <c r="N18" s="473">
        <v>125956</v>
      </c>
      <c r="O18" s="473">
        <v>133225</v>
      </c>
      <c r="P18" s="473">
        <v>128330</v>
      </c>
      <c r="Q18" s="473">
        <v>130777.5</v>
      </c>
      <c r="R18" s="473">
        <v>131241</v>
      </c>
      <c r="S18" s="473">
        <v>131020</v>
      </c>
      <c r="T18" s="473">
        <v>131130</v>
      </c>
      <c r="U18" s="473">
        <v>131076</v>
      </c>
      <c r="V18" s="473">
        <v>132253</v>
      </c>
    </row>
    <row r="19" spans="1:22" ht="15" customHeight="1">
      <c r="A19" s="77"/>
      <c r="B19" s="21" t="s">
        <v>33</v>
      </c>
      <c r="C19" s="202">
        <v>36687</v>
      </c>
      <c r="D19" s="202">
        <v>38717</v>
      </c>
      <c r="E19" s="87">
        <v>40707</v>
      </c>
      <c r="F19" s="87">
        <v>35115</v>
      </c>
      <c r="G19" s="87">
        <v>36000</v>
      </c>
      <c r="H19" s="87">
        <v>39445</v>
      </c>
      <c r="I19" s="87">
        <v>45498</v>
      </c>
      <c r="J19" s="87">
        <v>84791</v>
      </c>
      <c r="K19" s="87">
        <v>88418</v>
      </c>
      <c r="L19" s="87">
        <v>90222</v>
      </c>
      <c r="M19" s="473">
        <v>81434</v>
      </c>
      <c r="N19" s="473">
        <v>82535</v>
      </c>
      <c r="O19" s="473">
        <v>91678</v>
      </c>
      <c r="P19" s="473">
        <v>96543</v>
      </c>
      <c r="Q19" s="473">
        <v>100532</v>
      </c>
      <c r="R19" s="473">
        <v>100923</v>
      </c>
      <c r="S19" s="473">
        <v>105903</v>
      </c>
      <c r="T19" s="473">
        <v>108413</v>
      </c>
      <c r="U19" s="473">
        <v>121987</v>
      </c>
      <c r="V19" s="473">
        <v>124380</v>
      </c>
    </row>
    <row r="20" spans="1:22" ht="15" customHeight="1">
      <c r="A20" s="77"/>
      <c r="B20" s="21" t="s">
        <v>34</v>
      </c>
      <c r="C20" s="202">
        <v>223704</v>
      </c>
      <c r="D20" s="202">
        <v>224045</v>
      </c>
      <c r="E20" s="87">
        <v>224720</v>
      </c>
      <c r="F20" s="87">
        <v>220709</v>
      </c>
      <c r="G20" s="87">
        <v>246980</v>
      </c>
      <c r="H20" s="87">
        <v>243032</v>
      </c>
      <c r="I20" s="87">
        <v>245816</v>
      </c>
      <c r="J20" s="87">
        <v>225470</v>
      </c>
      <c r="K20" s="87">
        <v>269650</v>
      </c>
      <c r="L20" s="87">
        <v>258403</v>
      </c>
      <c r="M20" s="473">
        <v>264220</v>
      </c>
      <c r="N20" s="473">
        <v>273249</v>
      </c>
      <c r="O20" s="473">
        <v>252713</v>
      </c>
      <c r="P20" s="473">
        <v>263410</v>
      </c>
      <c r="Q20" s="473">
        <v>270053</v>
      </c>
      <c r="R20" s="473">
        <v>268457</v>
      </c>
      <c r="S20" s="473">
        <v>269324</v>
      </c>
      <c r="T20" s="473">
        <v>268890</v>
      </c>
      <c r="U20" s="473">
        <v>269108</v>
      </c>
      <c r="V20" s="473">
        <v>268724</v>
      </c>
    </row>
    <row r="21" spans="1:22" ht="15" customHeight="1">
      <c r="A21" s="77"/>
      <c r="B21" s="21" t="s">
        <v>35</v>
      </c>
      <c r="C21" s="202">
        <v>346625</v>
      </c>
      <c r="D21" s="202">
        <v>357461</v>
      </c>
      <c r="E21" s="87">
        <v>356776</v>
      </c>
      <c r="F21" s="87">
        <v>357866</v>
      </c>
      <c r="G21" s="87">
        <v>491768</v>
      </c>
      <c r="H21" s="87">
        <v>486110</v>
      </c>
      <c r="I21" s="87">
        <v>494004</v>
      </c>
      <c r="J21" s="87">
        <v>500211</v>
      </c>
      <c r="K21" s="87">
        <v>466010</v>
      </c>
      <c r="L21" s="87">
        <v>465020</v>
      </c>
      <c r="M21" s="473">
        <v>442336</v>
      </c>
      <c r="N21" s="473">
        <v>430271</v>
      </c>
      <c r="O21" s="473">
        <v>421292</v>
      </c>
      <c r="P21" s="473">
        <v>422680</v>
      </c>
      <c r="Q21" s="473">
        <v>430134</v>
      </c>
      <c r="R21" s="473">
        <v>430134</v>
      </c>
      <c r="S21" s="473">
        <v>471546</v>
      </c>
      <c r="T21" s="473">
        <v>478172</v>
      </c>
      <c r="U21" s="473">
        <v>471885</v>
      </c>
      <c r="V21" s="473">
        <v>487250</v>
      </c>
    </row>
    <row r="22" spans="1:22" ht="15" customHeight="1">
      <c r="A22" s="77"/>
      <c r="B22" s="21" t="s">
        <v>36</v>
      </c>
      <c r="C22" s="202">
        <v>75189</v>
      </c>
      <c r="D22" s="202">
        <v>83042</v>
      </c>
      <c r="E22" s="87">
        <v>97966</v>
      </c>
      <c r="F22" s="87">
        <v>88220</v>
      </c>
      <c r="G22" s="87">
        <v>89200</v>
      </c>
      <c r="H22" s="87">
        <v>88723</v>
      </c>
      <c r="I22" s="87">
        <v>93947</v>
      </c>
      <c r="J22" s="87">
        <v>91335</v>
      </c>
      <c r="K22" s="87">
        <v>92410</v>
      </c>
      <c r="L22" s="87">
        <v>147535</v>
      </c>
      <c r="M22" s="473">
        <v>140718</v>
      </c>
      <c r="N22" s="473">
        <v>147754</v>
      </c>
      <c r="O22" s="473">
        <v>145310</v>
      </c>
      <c r="P22" s="473">
        <v>144630</v>
      </c>
      <c r="Q22" s="473">
        <v>144970</v>
      </c>
      <c r="R22" s="473">
        <v>143658</v>
      </c>
      <c r="S22" s="473">
        <v>144322</v>
      </c>
      <c r="T22" s="473">
        <v>143990</v>
      </c>
      <c r="U22" s="473">
        <v>146156</v>
      </c>
      <c r="V22" s="473">
        <v>145767</v>
      </c>
    </row>
    <row r="23" spans="1:22" ht="15" customHeight="1">
      <c r="A23" s="77"/>
      <c r="B23" s="21" t="s">
        <v>37</v>
      </c>
      <c r="C23" s="202">
        <v>40000</v>
      </c>
      <c r="D23" s="202">
        <v>40830</v>
      </c>
      <c r="E23" s="87">
        <v>39670</v>
      </c>
      <c r="F23" s="87">
        <v>40736</v>
      </c>
      <c r="G23" s="87">
        <v>44282</v>
      </c>
      <c r="H23" s="87">
        <v>54328</v>
      </c>
      <c r="I23" s="87">
        <v>55078</v>
      </c>
      <c r="J23" s="87">
        <v>54141</v>
      </c>
      <c r="K23" s="87">
        <v>77515</v>
      </c>
      <c r="L23" s="87">
        <v>80352</v>
      </c>
      <c r="M23" s="473">
        <v>74512</v>
      </c>
      <c r="N23" s="473">
        <v>78238</v>
      </c>
      <c r="O23" s="473">
        <v>78245</v>
      </c>
      <c r="P23" s="473">
        <v>75869</v>
      </c>
      <c r="Q23" s="473">
        <v>77057</v>
      </c>
      <c r="R23" s="473">
        <v>76980</v>
      </c>
      <c r="S23" s="473">
        <v>77128</v>
      </c>
      <c r="T23" s="473">
        <v>77054</v>
      </c>
      <c r="U23" s="473">
        <v>79091</v>
      </c>
      <c r="V23" s="473">
        <v>79882</v>
      </c>
    </row>
    <row r="24" spans="1:22" ht="15" customHeight="1">
      <c r="A24" s="77"/>
      <c r="B24" s="21" t="s">
        <v>38</v>
      </c>
      <c r="C24" s="202">
        <v>193467</v>
      </c>
      <c r="D24" s="202">
        <v>156155</v>
      </c>
      <c r="E24" s="87">
        <v>166666</v>
      </c>
      <c r="F24" s="87">
        <v>191739</v>
      </c>
      <c r="G24" s="87">
        <v>203016</v>
      </c>
      <c r="H24" s="87">
        <v>194281</v>
      </c>
      <c r="I24" s="87">
        <v>220945</v>
      </c>
      <c r="J24" s="87">
        <v>203520</v>
      </c>
      <c r="K24" s="87">
        <v>209947</v>
      </c>
      <c r="L24" s="87">
        <v>261049</v>
      </c>
      <c r="M24" s="473">
        <v>267950</v>
      </c>
      <c r="N24" s="473">
        <v>255377</v>
      </c>
      <c r="O24" s="473">
        <v>209143</v>
      </c>
      <c r="P24" s="473">
        <v>259727</v>
      </c>
      <c r="Q24" s="473">
        <v>309833</v>
      </c>
      <c r="R24" s="473">
        <v>295233</v>
      </c>
      <c r="S24" s="473">
        <v>296478</v>
      </c>
      <c r="T24" s="473">
        <v>294675</v>
      </c>
      <c r="U24" s="473">
        <v>267415</v>
      </c>
      <c r="V24" s="473">
        <v>323317</v>
      </c>
    </row>
    <row r="25" spans="1:22" ht="15" customHeight="1">
      <c r="A25" s="77"/>
      <c r="B25" s="21" t="s">
        <v>39</v>
      </c>
      <c r="C25" s="202">
        <v>149250</v>
      </c>
      <c r="D25" s="202">
        <v>188860</v>
      </c>
      <c r="E25" s="87">
        <v>184766</v>
      </c>
      <c r="F25" s="87">
        <v>191249</v>
      </c>
      <c r="G25" s="87">
        <v>193122</v>
      </c>
      <c r="H25" s="87">
        <v>191449</v>
      </c>
      <c r="I25" s="87">
        <v>188587</v>
      </c>
      <c r="J25" s="87">
        <v>203967</v>
      </c>
      <c r="K25" s="87">
        <v>212360</v>
      </c>
      <c r="L25" s="87">
        <v>207969</v>
      </c>
      <c r="M25" s="473">
        <v>215490</v>
      </c>
      <c r="N25" s="473">
        <v>216265</v>
      </c>
      <c r="O25" s="473">
        <v>215050</v>
      </c>
      <c r="P25" s="473">
        <v>215600</v>
      </c>
      <c r="Q25" s="473">
        <v>215340</v>
      </c>
      <c r="R25" s="473">
        <v>214727</v>
      </c>
      <c r="S25" s="473">
        <v>212220</v>
      </c>
      <c r="T25" s="473">
        <v>213473</v>
      </c>
      <c r="U25" s="473">
        <v>213848</v>
      </c>
      <c r="V25" s="473">
        <v>213451</v>
      </c>
    </row>
    <row r="26" spans="1:22" ht="15" customHeight="1">
      <c r="A26" s="77"/>
      <c r="B26" s="21" t="s">
        <v>42</v>
      </c>
      <c r="C26" s="202">
        <v>453190</v>
      </c>
      <c r="D26" s="202">
        <v>450200</v>
      </c>
      <c r="E26" s="87">
        <v>454200</v>
      </c>
      <c r="F26" s="87">
        <v>485468</v>
      </c>
      <c r="G26" s="87">
        <v>553985</v>
      </c>
      <c r="H26" s="87">
        <v>584483</v>
      </c>
      <c r="I26" s="87">
        <v>654726</v>
      </c>
      <c r="J26" s="87">
        <v>608978</v>
      </c>
      <c r="K26" s="87">
        <v>552509</v>
      </c>
      <c r="L26" s="87">
        <v>569352</v>
      </c>
      <c r="M26" s="473">
        <v>577964</v>
      </c>
      <c r="N26" s="473">
        <v>610184</v>
      </c>
      <c r="O26" s="473">
        <v>674939</v>
      </c>
      <c r="P26" s="473">
        <v>671585</v>
      </c>
      <c r="Q26" s="473">
        <v>669365</v>
      </c>
      <c r="R26" s="473">
        <v>675889</v>
      </c>
      <c r="S26" s="473">
        <v>673731</v>
      </c>
      <c r="T26" s="473">
        <v>673455</v>
      </c>
      <c r="U26" s="473">
        <v>672042</v>
      </c>
      <c r="V26" s="473">
        <v>677045</v>
      </c>
    </row>
    <row r="27" spans="1:22" ht="15" customHeight="1">
      <c r="A27" s="77"/>
      <c r="B27" s="21" t="s">
        <v>43</v>
      </c>
      <c r="C27" s="202">
        <v>1986790</v>
      </c>
      <c r="D27" s="202">
        <v>1999600</v>
      </c>
      <c r="E27" s="87">
        <v>2026600</v>
      </c>
      <c r="F27" s="87">
        <v>2065730</v>
      </c>
      <c r="G27" s="87">
        <v>2141000</v>
      </c>
      <c r="H27" s="87">
        <v>2171880</v>
      </c>
      <c r="I27" s="87">
        <v>2192440</v>
      </c>
      <c r="J27" s="87">
        <v>1807440</v>
      </c>
      <c r="K27" s="87">
        <v>1880395</v>
      </c>
      <c r="L27" s="87">
        <v>2066290</v>
      </c>
      <c r="M27" s="473">
        <v>2072460</v>
      </c>
      <c r="N27" s="473">
        <v>2032490</v>
      </c>
      <c r="O27" s="473">
        <v>2036210</v>
      </c>
      <c r="P27" s="473">
        <v>2034020</v>
      </c>
      <c r="Q27" s="473">
        <v>2035280</v>
      </c>
      <c r="R27" s="473">
        <v>2039330</v>
      </c>
      <c r="S27" s="473">
        <v>2030525</v>
      </c>
      <c r="T27" s="473">
        <v>2071135</v>
      </c>
      <c r="U27" s="473">
        <v>2037185</v>
      </c>
      <c r="V27" s="473">
        <v>2017990</v>
      </c>
    </row>
    <row r="28" spans="1:22" ht="15" customHeight="1">
      <c r="A28" s="77"/>
      <c r="B28" s="76" t="s">
        <v>44</v>
      </c>
      <c r="C28" s="202">
        <v>0</v>
      </c>
      <c r="D28" s="202">
        <v>0</v>
      </c>
      <c r="E28" s="571" t="s">
        <v>395</v>
      </c>
      <c r="F28" s="571" t="s">
        <v>395</v>
      </c>
      <c r="G28" s="571" t="s">
        <v>395</v>
      </c>
      <c r="H28" s="571" t="s">
        <v>395</v>
      </c>
      <c r="I28" s="571" t="s">
        <v>395</v>
      </c>
      <c r="J28" s="571" t="s">
        <v>395</v>
      </c>
      <c r="K28" s="571" t="s">
        <v>395</v>
      </c>
      <c r="L28" s="571" t="s">
        <v>395</v>
      </c>
      <c r="M28" s="571" t="s">
        <v>395</v>
      </c>
      <c r="N28" s="571" t="s">
        <v>395</v>
      </c>
      <c r="O28" s="571" t="s">
        <v>395</v>
      </c>
      <c r="P28" s="571" t="s">
        <v>395</v>
      </c>
      <c r="Q28" s="571" t="s">
        <v>395</v>
      </c>
      <c r="R28" s="571" t="s">
        <v>395</v>
      </c>
      <c r="S28" s="571" t="s">
        <v>395</v>
      </c>
      <c r="T28" s="571" t="s">
        <v>395</v>
      </c>
      <c r="U28" s="571" t="s">
        <v>395</v>
      </c>
      <c r="V28" s="571" t="s">
        <v>395</v>
      </c>
    </row>
    <row r="29" spans="1:22" ht="15" customHeight="1">
      <c r="A29" s="77"/>
      <c r="B29" s="21" t="s">
        <v>45</v>
      </c>
      <c r="C29" s="202">
        <v>0</v>
      </c>
      <c r="D29" s="202">
        <v>0</v>
      </c>
      <c r="E29" s="571" t="s">
        <v>395</v>
      </c>
      <c r="F29" s="571" t="s">
        <v>395</v>
      </c>
      <c r="G29" s="571" t="s">
        <v>395</v>
      </c>
      <c r="H29" s="571" t="s">
        <v>395</v>
      </c>
      <c r="I29" s="571" t="s">
        <v>395</v>
      </c>
      <c r="J29" s="571" t="s">
        <v>395</v>
      </c>
      <c r="K29" s="571" t="s">
        <v>395</v>
      </c>
      <c r="L29" s="571" t="s">
        <v>395</v>
      </c>
      <c r="M29" s="571" t="s">
        <v>395</v>
      </c>
      <c r="N29" s="571" t="s">
        <v>395</v>
      </c>
      <c r="O29" s="571" t="s">
        <v>395</v>
      </c>
      <c r="P29" s="571" t="s">
        <v>395</v>
      </c>
      <c r="Q29" s="571" t="s">
        <v>395</v>
      </c>
      <c r="R29" s="571" t="s">
        <v>395</v>
      </c>
      <c r="S29" s="571" t="s">
        <v>395</v>
      </c>
      <c r="T29" s="571" t="s">
        <v>395</v>
      </c>
      <c r="U29" s="571" t="s">
        <v>395</v>
      </c>
      <c r="V29" s="571" t="s">
        <v>395</v>
      </c>
    </row>
    <row r="30" spans="1:22" ht="15" customHeight="1">
      <c r="A30" s="77"/>
      <c r="B30" s="21" t="s">
        <v>46</v>
      </c>
      <c r="C30" s="202">
        <v>0</v>
      </c>
      <c r="D30" s="202">
        <v>0</v>
      </c>
      <c r="E30" s="571" t="s">
        <v>395</v>
      </c>
      <c r="F30" s="571" t="s">
        <v>395</v>
      </c>
      <c r="G30" s="571" t="s">
        <v>395</v>
      </c>
      <c r="H30" s="571" t="s">
        <v>395</v>
      </c>
      <c r="I30" s="571" t="s">
        <v>395</v>
      </c>
      <c r="J30" s="571" t="s">
        <v>395</v>
      </c>
      <c r="K30" s="571" t="s">
        <v>395</v>
      </c>
      <c r="L30" s="571" t="s">
        <v>395</v>
      </c>
      <c r="M30" s="571" t="s">
        <v>395</v>
      </c>
      <c r="N30" s="571" t="s">
        <v>395</v>
      </c>
      <c r="O30" s="571" t="s">
        <v>395</v>
      </c>
      <c r="P30" s="571" t="s">
        <v>395</v>
      </c>
      <c r="Q30" s="571" t="s">
        <v>395</v>
      </c>
      <c r="R30" s="571" t="s">
        <v>395</v>
      </c>
      <c r="S30" s="571" t="s">
        <v>395</v>
      </c>
      <c r="T30" s="571" t="s">
        <v>395</v>
      </c>
      <c r="U30" s="571" t="s">
        <v>395</v>
      </c>
      <c r="V30" s="571" t="s">
        <v>395</v>
      </c>
    </row>
    <row r="31" spans="1:22" ht="15" customHeight="1" thickBot="1">
      <c r="A31" s="82"/>
      <c r="B31" s="434" t="s">
        <v>47</v>
      </c>
      <c r="C31" s="438">
        <v>0</v>
      </c>
      <c r="D31" s="438">
        <v>0</v>
      </c>
      <c r="E31" s="572" t="s">
        <v>395</v>
      </c>
      <c r="F31" s="572" t="s">
        <v>395</v>
      </c>
      <c r="G31" s="572" t="s">
        <v>395</v>
      </c>
      <c r="H31" s="572" t="s">
        <v>395</v>
      </c>
      <c r="I31" s="572" t="s">
        <v>395</v>
      </c>
      <c r="J31" s="572" t="s">
        <v>395</v>
      </c>
      <c r="K31" s="572" t="s">
        <v>395</v>
      </c>
      <c r="L31" s="572" t="s">
        <v>395</v>
      </c>
      <c r="M31" s="572" t="s">
        <v>395</v>
      </c>
      <c r="N31" s="572" t="s">
        <v>395</v>
      </c>
      <c r="O31" s="572" t="s">
        <v>395</v>
      </c>
      <c r="P31" s="572" t="s">
        <v>395</v>
      </c>
      <c r="Q31" s="572" t="s">
        <v>395</v>
      </c>
      <c r="R31" s="572" t="s">
        <v>395</v>
      </c>
      <c r="S31" s="572" t="s">
        <v>395</v>
      </c>
      <c r="T31" s="572" t="s">
        <v>395</v>
      </c>
      <c r="U31" s="572" t="s">
        <v>395</v>
      </c>
      <c r="V31" s="572" t="s">
        <v>395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  <c r="R35" s="78"/>
      <c r="S35" s="78"/>
      <c r="T35" s="78"/>
      <c r="U35" s="78"/>
      <c r="V35" s="78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  <c r="R36" s="78"/>
      <c r="S36" s="78"/>
      <c r="T36" s="78"/>
      <c r="U36" s="78"/>
      <c r="V36" s="78"/>
    </row>
    <row r="37" spans="1:22" ht="13.25" customHeight="1">
      <c r="R37" s="78"/>
      <c r="S37" s="78"/>
      <c r="T37" s="78"/>
      <c r="U37" s="78"/>
      <c r="V37" s="78"/>
    </row>
    <row r="38" spans="1:22" ht="13.25" customHeight="1">
      <c r="V38" s="78"/>
    </row>
    <row r="39" spans="1:22" ht="13.25" customHeight="1">
      <c r="V39" s="78"/>
    </row>
    <row r="40" spans="1:22" ht="13.25" customHeight="1">
      <c r="V40" s="78"/>
    </row>
    <row r="41" spans="1:22" ht="13.25" customHeight="1">
      <c r="V41" s="78"/>
    </row>
    <row r="42" spans="1:22" ht="13.25" customHeight="1">
      <c r="V42" s="78"/>
    </row>
    <row r="43" spans="1:22" ht="13.25" customHeight="1">
      <c r="V43" s="78"/>
    </row>
    <row r="44" spans="1:22" ht="13.25" customHeight="1">
      <c r="V44" s="78"/>
    </row>
    <row r="45" spans="1:22" ht="13.25" customHeight="1">
      <c r="V45" s="78"/>
    </row>
    <row r="46" spans="1:22" ht="13.25" customHeight="1">
      <c r="V46" s="78"/>
    </row>
    <row r="47" spans="1:22" ht="13.25" customHeight="1">
      <c r="V47" s="78"/>
    </row>
    <row r="48" spans="1:22" ht="13.25" customHeight="1">
      <c r="V48" s="78"/>
    </row>
    <row r="49" spans="22:22" ht="13.25" customHeight="1">
      <c r="V49" s="78"/>
    </row>
    <row r="50" spans="22:22" ht="13.25" customHeight="1">
      <c r="V50" s="78"/>
    </row>
    <row r="51" spans="22:22" ht="13.25" customHeight="1">
      <c r="V51" s="78"/>
    </row>
    <row r="52" spans="22:22" ht="13.25" customHeight="1">
      <c r="V52" s="78"/>
    </row>
    <row r="53" spans="22:22" ht="13.25" customHeight="1">
      <c r="V53" s="78"/>
    </row>
    <row r="54" spans="22:22" ht="13.25" customHeight="1">
      <c r="V54" s="78"/>
    </row>
    <row r="55" spans="22:22" ht="13.25" customHeight="1">
      <c r="V55" s="78"/>
    </row>
    <row r="56" spans="22:22" ht="13.25" customHeight="1">
      <c r="V56" s="78"/>
    </row>
    <row r="57" spans="22:22" ht="13.25" customHeight="1">
      <c r="V57" s="78"/>
    </row>
    <row r="58" spans="22:22" ht="13.25" customHeight="1">
      <c r="V58" s="78"/>
    </row>
    <row r="59" spans="22:22" ht="13.25" customHeight="1">
      <c r="V59" s="78"/>
    </row>
    <row r="60" spans="22:22" ht="13.25" customHeight="1">
      <c r="V60" s="78"/>
    </row>
    <row r="61" spans="22:22" ht="13.25" customHeight="1">
      <c r="V61" s="7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38">
    <tabColor theme="9" tint="0.59999389629810485"/>
  </sheetPr>
  <dimension ref="A2:X38"/>
  <sheetViews>
    <sheetView showGridLines="0" zoomScaleNormal="100" workbookViewId="0">
      <selection activeCell="T6" sqref="T6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6.796875" style="76" customWidth="1"/>
    <col min="23" max="29" width="8.19921875" style="76" customWidth="1"/>
    <col min="30" max="16384" width="7" style="76"/>
  </cols>
  <sheetData>
    <row r="2" spans="1:24" ht="18" customHeight="1">
      <c r="A2" s="210" t="s">
        <v>504</v>
      </c>
      <c r="B2" s="211"/>
    </row>
    <row r="3" spans="1:24" ht="13.25" customHeight="1">
      <c r="A3" s="212" t="s">
        <v>211</v>
      </c>
      <c r="B3" s="212"/>
    </row>
    <row r="4" spans="1:24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4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4" ht="18" customHeight="1">
      <c r="A6" s="1020" t="s">
        <v>93</v>
      </c>
      <c r="B6" s="1020"/>
      <c r="C6" s="632">
        <f>(C8+C9+C10+C11+C12+C13+C14+C15+C16+C17+C18+C19+C20+C21+C22+C23+C24+C25+C26+C27+C28+C29+C30+C31)</f>
        <v>321478</v>
      </c>
      <c r="D6" s="632">
        <f>(D8+D9+D10+D11+D12+D13+D14+D15+D16+D17+D18+D19+D20+D21+D22+D23+D24+D25+D26+D27+D28+D29+D30+D31)</f>
        <v>330072</v>
      </c>
      <c r="E6" s="629">
        <v>355174</v>
      </c>
      <c r="F6" s="629">
        <v>365555</v>
      </c>
      <c r="G6" s="629">
        <v>387980</v>
      </c>
      <c r="H6" s="629">
        <v>410085</v>
      </c>
      <c r="I6" s="629">
        <v>424100</v>
      </c>
      <c r="J6" s="629">
        <v>455558</v>
      </c>
      <c r="K6" s="629">
        <v>463354</v>
      </c>
      <c r="L6" s="629">
        <v>481847</v>
      </c>
      <c r="M6" s="629">
        <v>446199</v>
      </c>
      <c r="N6" s="629">
        <v>474135</v>
      </c>
      <c r="O6" s="629">
        <v>479063</v>
      </c>
      <c r="P6" s="629">
        <v>470464</v>
      </c>
      <c r="Q6" s="629">
        <v>473283</v>
      </c>
      <c r="R6" s="629">
        <v>464229.4</v>
      </c>
      <c r="S6" s="629">
        <v>469624.4</v>
      </c>
      <c r="T6" s="629">
        <v>476210</v>
      </c>
      <c r="U6" s="630">
        <f>SUM(U8:U27)</f>
        <v>483247</v>
      </c>
      <c r="V6" s="630">
        <f>SUM(V8:V27)</f>
        <v>481194</v>
      </c>
      <c r="X6" s="152"/>
    </row>
    <row r="7" spans="1:24" ht="3" customHeight="1">
      <c r="A7" s="77"/>
      <c r="B7" s="78"/>
      <c r="C7" s="213"/>
      <c r="D7" s="21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</row>
    <row r="8" spans="1:24" ht="15" customHeight="1">
      <c r="A8" s="77"/>
      <c r="B8" s="21" t="s">
        <v>19</v>
      </c>
      <c r="C8" s="219">
        <v>0</v>
      </c>
      <c r="D8" s="219">
        <v>0</v>
      </c>
      <c r="E8" s="204" t="s">
        <v>213</v>
      </c>
      <c r="F8" s="204" t="s">
        <v>213</v>
      </c>
      <c r="G8" s="204" t="s">
        <v>213</v>
      </c>
      <c r="H8" s="204" t="s">
        <v>213</v>
      </c>
      <c r="I8" s="204" t="s">
        <v>213</v>
      </c>
      <c r="J8" s="204" t="s">
        <v>213</v>
      </c>
      <c r="K8" s="204" t="s">
        <v>213</v>
      </c>
      <c r="L8" s="204" t="s">
        <v>213</v>
      </c>
      <c r="M8" s="204" t="s">
        <v>213</v>
      </c>
      <c r="N8" s="204" t="s">
        <v>213</v>
      </c>
      <c r="O8" s="204" t="s">
        <v>213</v>
      </c>
      <c r="P8" s="204" t="s">
        <v>213</v>
      </c>
      <c r="Q8" s="204" t="s">
        <v>213</v>
      </c>
      <c r="R8" s="204" t="s">
        <v>213</v>
      </c>
      <c r="S8" s="204" t="s">
        <v>213</v>
      </c>
      <c r="T8" s="204" t="s">
        <v>213</v>
      </c>
      <c r="U8" s="204" t="s">
        <v>213</v>
      </c>
      <c r="V8" s="204" t="s">
        <v>213</v>
      </c>
    </row>
    <row r="9" spans="1:24" ht="15" customHeight="1">
      <c r="A9" s="77"/>
      <c r="B9" s="21" t="s">
        <v>20</v>
      </c>
      <c r="C9" s="219">
        <v>0</v>
      </c>
      <c r="D9" s="219">
        <v>0</v>
      </c>
      <c r="E9" s="204" t="s">
        <v>213</v>
      </c>
      <c r="F9" s="204" t="s">
        <v>213</v>
      </c>
      <c r="G9" s="204" t="s">
        <v>213</v>
      </c>
      <c r="H9" s="204" t="s">
        <v>213</v>
      </c>
      <c r="I9" s="204" t="s">
        <v>213</v>
      </c>
      <c r="J9" s="204" t="s">
        <v>213</v>
      </c>
      <c r="K9" s="204" t="s">
        <v>213</v>
      </c>
      <c r="L9" s="204" t="s">
        <v>213</v>
      </c>
      <c r="M9" s="204" t="s">
        <v>213</v>
      </c>
      <c r="N9" s="204" t="s">
        <v>213</v>
      </c>
      <c r="O9" s="204" t="s">
        <v>213</v>
      </c>
      <c r="P9" s="204" t="s">
        <v>213</v>
      </c>
      <c r="Q9" s="204" t="s">
        <v>213</v>
      </c>
      <c r="R9" s="204" t="s">
        <v>213</v>
      </c>
      <c r="S9" s="204" t="s">
        <v>213</v>
      </c>
      <c r="T9" s="204" t="s">
        <v>213</v>
      </c>
      <c r="U9" s="204" t="s">
        <v>213</v>
      </c>
      <c r="V9" s="204" t="s">
        <v>213</v>
      </c>
      <c r="X9" s="84"/>
    </row>
    <row r="10" spans="1:24" ht="15" customHeight="1">
      <c r="A10" s="77"/>
      <c r="B10" s="21" t="s">
        <v>21</v>
      </c>
      <c r="C10" s="219">
        <v>0</v>
      </c>
      <c r="D10" s="219">
        <v>0</v>
      </c>
      <c r="E10" s="204" t="s">
        <v>213</v>
      </c>
      <c r="F10" s="204" t="s">
        <v>213</v>
      </c>
      <c r="G10" s="204" t="s">
        <v>213</v>
      </c>
      <c r="H10" s="204" t="s">
        <v>213</v>
      </c>
      <c r="I10" s="204" t="s">
        <v>213</v>
      </c>
      <c r="J10" s="204" t="s">
        <v>213</v>
      </c>
      <c r="K10" s="204" t="s">
        <v>213</v>
      </c>
      <c r="L10" s="204" t="s">
        <v>213</v>
      </c>
      <c r="M10" s="204" t="s">
        <v>213</v>
      </c>
      <c r="N10" s="204" t="s">
        <v>213</v>
      </c>
      <c r="O10" s="204" t="s">
        <v>213</v>
      </c>
      <c r="P10" s="204" t="s">
        <v>213</v>
      </c>
      <c r="Q10" s="204" t="s">
        <v>213</v>
      </c>
      <c r="R10" s="204" t="s">
        <v>213</v>
      </c>
      <c r="S10" s="204" t="s">
        <v>213</v>
      </c>
      <c r="T10" s="204" t="s">
        <v>213</v>
      </c>
      <c r="U10" s="204" t="s">
        <v>213</v>
      </c>
      <c r="V10" s="204" t="s">
        <v>213</v>
      </c>
      <c r="X10" s="84"/>
    </row>
    <row r="11" spans="1:24" ht="15" customHeight="1">
      <c r="A11" s="77"/>
      <c r="B11" s="21" t="s">
        <v>22</v>
      </c>
      <c r="C11" s="219">
        <v>203</v>
      </c>
      <c r="D11" s="219">
        <v>241</v>
      </c>
      <c r="E11" s="204">
        <v>358</v>
      </c>
      <c r="F11" s="204">
        <v>381</v>
      </c>
      <c r="G11" s="204">
        <v>435</v>
      </c>
      <c r="H11" s="204">
        <v>480</v>
      </c>
      <c r="I11" s="204">
        <v>610</v>
      </c>
      <c r="J11" s="204">
        <v>742</v>
      </c>
      <c r="K11" s="204">
        <v>725</v>
      </c>
      <c r="L11" s="204">
        <v>828</v>
      </c>
      <c r="M11" s="204">
        <v>868</v>
      </c>
      <c r="N11" s="204">
        <v>949</v>
      </c>
      <c r="O11" s="204">
        <v>1144</v>
      </c>
      <c r="P11" s="204">
        <v>1259</v>
      </c>
      <c r="Q11" s="204">
        <v>1377</v>
      </c>
      <c r="R11" s="204">
        <v>1394</v>
      </c>
      <c r="S11" s="204">
        <v>1412</v>
      </c>
      <c r="T11" s="204">
        <v>1322.9</v>
      </c>
      <c r="U11" s="204">
        <v>1403</v>
      </c>
      <c r="V11" s="204">
        <v>1649</v>
      </c>
      <c r="X11" s="84"/>
    </row>
    <row r="12" spans="1:24" ht="15" customHeight="1">
      <c r="A12" s="77"/>
      <c r="B12" s="21" t="s">
        <v>23</v>
      </c>
      <c r="C12" s="219">
        <v>0</v>
      </c>
      <c r="D12" s="219">
        <v>0</v>
      </c>
      <c r="E12" s="204" t="s">
        <v>213</v>
      </c>
      <c r="F12" s="204" t="s">
        <v>213</v>
      </c>
      <c r="G12" s="204" t="s">
        <v>213</v>
      </c>
      <c r="H12" s="204" t="s">
        <v>213</v>
      </c>
      <c r="I12" s="204" t="s">
        <v>213</v>
      </c>
      <c r="J12" s="204" t="s">
        <v>213</v>
      </c>
      <c r="K12" s="204" t="s">
        <v>213</v>
      </c>
      <c r="L12" s="204" t="s">
        <v>213</v>
      </c>
      <c r="M12" s="204" t="s">
        <v>213</v>
      </c>
      <c r="N12" s="204" t="s">
        <v>213</v>
      </c>
      <c r="O12" s="204" t="s">
        <v>213</v>
      </c>
      <c r="P12" s="204" t="s">
        <v>213</v>
      </c>
      <c r="Q12" s="204" t="s">
        <v>213</v>
      </c>
      <c r="R12" s="204" t="s">
        <v>213</v>
      </c>
      <c r="S12" s="204" t="s">
        <v>213</v>
      </c>
      <c r="T12" s="204" t="s">
        <v>213</v>
      </c>
      <c r="U12" s="204" t="s">
        <v>213</v>
      </c>
      <c r="V12" s="204" t="s">
        <v>213</v>
      </c>
      <c r="X12" s="84"/>
    </row>
    <row r="13" spans="1:24" ht="15" customHeight="1">
      <c r="A13" s="77"/>
      <c r="B13" s="21" t="s">
        <v>27</v>
      </c>
      <c r="C13" s="219">
        <v>0</v>
      </c>
      <c r="D13" s="219">
        <v>0</v>
      </c>
      <c r="E13" s="204" t="s">
        <v>213</v>
      </c>
      <c r="F13" s="204" t="s">
        <v>213</v>
      </c>
      <c r="G13" s="204" t="s">
        <v>213</v>
      </c>
      <c r="H13" s="204" t="s">
        <v>213</v>
      </c>
      <c r="I13" s="204" t="s">
        <v>213</v>
      </c>
      <c r="J13" s="204" t="s">
        <v>213</v>
      </c>
      <c r="K13" s="204" t="s">
        <v>213</v>
      </c>
      <c r="L13" s="204" t="s">
        <v>213</v>
      </c>
      <c r="M13" s="204" t="s">
        <v>213</v>
      </c>
      <c r="N13" s="204" t="s">
        <v>213</v>
      </c>
      <c r="O13" s="204" t="s">
        <v>213</v>
      </c>
      <c r="P13" s="204" t="s">
        <v>213</v>
      </c>
      <c r="Q13" s="204" t="s">
        <v>213</v>
      </c>
      <c r="R13" s="204" t="s">
        <v>213</v>
      </c>
      <c r="S13" s="204" t="s">
        <v>213</v>
      </c>
      <c r="T13" s="204" t="s">
        <v>213</v>
      </c>
      <c r="U13" s="204" t="s">
        <v>213</v>
      </c>
      <c r="V13" s="204" t="s">
        <v>213</v>
      </c>
      <c r="X13" s="84"/>
    </row>
    <row r="14" spans="1:24" ht="15" customHeight="1">
      <c r="A14" s="77"/>
      <c r="B14" s="21" t="s">
        <v>28</v>
      </c>
      <c r="C14" s="219">
        <v>424</v>
      </c>
      <c r="D14" s="219">
        <v>332</v>
      </c>
      <c r="E14" s="204">
        <v>588</v>
      </c>
      <c r="F14" s="204">
        <v>323</v>
      </c>
      <c r="G14" s="204">
        <v>478</v>
      </c>
      <c r="H14" s="204">
        <v>395</v>
      </c>
      <c r="I14" s="204">
        <v>412</v>
      </c>
      <c r="J14" s="204">
        <v>275</v>
      </c>
      <c r="K14" s="204">
        <v>356</v>
      </c>
      <c r="L14" s="204">
        <v>412</v>
      </c>
      <c r="M14" s="204">
        <v>377</v>
      </c>
      <c r="N14" s="204">
        <v>242</v>
      </c>
      <c r="O14" s="204">
        <v>348</v>
      </c>
      <c r="P14" s="204">
        <v>381</v>
      </c>
      <c r="Q14" s="204">
        <v>390</v>
      </c>
      <c r="R14" s="204">
        <v>391</v>
      </c>
      <c r="S14" s="204">
        <v>433</v>
      </c>
      <c r="T14" s="204">
        <v>479</v>
      </c>
      <c r="U14" s="204">
        <v>523</v>
      </c>
      <c r="V14" s="204">
        <v>578</v>
      </c>
      <c r="X14" s="84"/>
    </row>
    <row r="15" spans="1:24" ht="15" customHeight="1">
      <c r="A15" s="77"/>
      <c r="B15" s="21" t="s">
        <v>29</v>
      </c>
      <c r="C15" s="219">
        <v>4575</v>
      </c>
      <c r="D15" s="219">
        <v>4911</v>
      </c>
      <c r="E15" s="204">
        <v>5099</v>
      </c>
      <c r="F15" s="204">
        <v>4855</v>
      </c>
      <c r="G15" s="204">
        <v>4467</v>
      </c>
      <c r="H15" s="204">
        <v>3352</v>
      </c>
      <c r="I15" s="204">
        <v>2519</v>
      </c>
      <c r="J15" s="204">
        <v>3165</v>
      </c>
      <c r="K15" s="204">
        <v>3829</v>
      </c>
      <c r="L15" s="204">
        <v>3956</v>
      </c>
      <c r="M15" s="204">
        <v>3099</v>
      </c>
      <c r="N15" s="204">
        <v>2452</v>
      </c>
      <c r="O15" s="204">
        <v>2939</v>
      </c>
      <c r="P15" s="204">
        <v>2841</v>
      </c>
      <c r="Q15" s="204">
        <v>2831</v>
      </c>
      <c r="R15" s="204">
        <v>2694</v>
      </c>
      <c r="S15" s="204">
        <v>3031</v>
      </c>
      <c r="T15" s="204">
        <v>2849</v>
      </c>
      <c r="U15" s="204">
        <v>3449</v>
      </c>
      <c r="V15" s="204">
        <v>3513</v>
      </c>
      <c r="X15" s="84"/>
    </row>
    <row r="16" spans="1:24" ht="15" customHeight="1">
      <c r="A16" s="77"/>
      <c r="B16" s="21" t="s">
        <v>30</v>
      </c>
      <c r="C16" s="219">
        <v>0</v>
      </c>
      <c r="D16" s="219">
        <v>0</v>
      </c>
      <c r="E16" s="204" t="s">
        <v>213</v>
      </c>
      <c r="F16" s="204" t="s">
        <v>213</v>
      </c>
      <c r="G16" s="204" t="s">
        <v>213</v>
      </c>
      <c r="H16" s="204" t="s">
        <v>213</v>
      </c>
      <c r="I16" s="204" t="s">
        <v>213</v>
      </c>
      <c r="J16" s="204" t="s">
        <v>213</v>
      </c>
      <c r="K16" s="204" t="s">
        <v>213</v>
      </c>
      <c r="L16" s="204" t="s">
        <v>213</v>
      </c>
      <c r="M16" s="204" t="s">
        <v>213</v>
      </c>
      <c r="N16" s="204" t="s">
        <v>213</v>
      </c>
      <c r="O16" s="204" t="s">
        <v>213</v>
      </c>
      <c r="P16" s="204" t="s">
        <v>213</v>
      </c>
      <c r="Q16" s="204" t="s">
        <v>213</v>
      </c>
      <c r="R16" s="204" t="s">
        <v>213</v>
      </c>
      <c r="S16" s="204" t="s">
        <v>213</v>
      </c>
      <c r="T16" s="204" t="s">
        <v>213</v>
      </c>
      <c r="U16" s="204" t="s">
        <v>213</v>
      </c>
      <c r="V16" s="204" t="s">
        <v>213</v>
      </c>
      <c r="X16" s="84"/>
    </row>
    <row r="17" spans="1:24" ht="15" customHeight="1">
      <c r="A17" s="77"/>
      <c r="B17" s="21" t="s">
        <v>31</v>
      </c>
      <c r="C17" s="219">
        <v>0</v>
      </c>
      <c r="D17" s="219">
        <v>0</v>
      </c>
      <c r="E17" s="204" t="s">
        <v>213</v>
      </c>
      <c r="F17" s="204" t="s">
        <v>213</v>
      </c>
      <c r="G17" s="204" t="s">
        <v>213</v>
      </c>
      <c r="H17" s="204" t="s">
        <v>213</v>
      </c>
      <c r="I17" s="204">
        <v>247</v>
      </c>
      <c r="J17" s="204">
        <v>217</v>
      </c>
      <c r="K17" s="204">
        <v>586</v>
      </c>
      <c r="L17" s="204">
        <v>568</v>
      </c>
      <c r="M17" s="204">
        <v>650</v>
      </c>
      <c r="N17" s="204">
        <v>837</v>
      </c>
      <c r="O17" s="204">
        <v>978</v>
      </c>
      <c r="P17" s="204">
        <v>1137</v>
      </c>
      <c r="Q17" s="204">
        <v>1256</v>
      </c>
      <c r="R17" s="204">
        <v>1317</v>
      </c>
      <c r="S17" s="204">
        <v>1641</v>
      </c>
      <c r="T17" s="204">
        <v>1665</v>
      </c>
      <c r="U17" s="204">
        <v>1643</v>
      </c>
      <c r="V17" s="204">
        <v>1788</v>
      </c>
      <c r="X17" s="84"/>
    </row>
    <row r="18" spans="1:24" ht="15" customHeight="1">
      <c r="A18" s="77"/>
      <c r="B18" s="21" t="s">
        <v>32</v>
      </c>
      <c r="C18" s="219">
        <v>3119</v>
      </c>
      <c r="D18" s="219">
        <v>3180</v>
      </c>
      <c r="E18" s="204">
        <v>4917</v>
      </c>
      <c r="F18" s="204">
        <v>5641</v>
      </c>
      <c r="G18" s="204">
        <v>6186</v>
      </c>
      <c r="H18" s="204">
        <v>6174</v>
      </c>
      <c r="I18" s="204">
        <v>7044</v>
      </c>
      <c r="J18" s="204">
        <v>5939</v>
      </c>
      <c r="K18" s="204">
        <v>6102</v>
      </c>
      <c r="L18" s="204">
        <v>6687</v>
      </c>
      <c r="M18" s="204">
        <v>6847</v>
      </c>
      <c r="N18" s="204">
        <v>12923</v>
      </c>
      <c r="O18" s="204">
        <v>13273</v>
      </c>
      <c r="P18" s="204">
        <v>15428</v>
      </c>
      <c r="Q18" s="204">
        <v>15701</v>
      </c>
      <c r="R18" s="204">
        <v>16380</v>
      </c>
      <c r="S18" s="204">
        <v>17614</v>
      </c>
      <c r="T18" s="204">
        <v>17941</v>
      </c>
      <c r="U18" s="204">
        <v>18075</v>
      </c>
      <c r="V18" s="204">
        <v>18555</v>
      </c>
      <c r="X18" s="84"/>
    </row>
    <row r="19" spans="1:24" ht="15" customHeight="1">
      <c r="A19" s="77"/>
      <c r="B19" s="21" t="s">
        <v>33</v>
      </c>
      <c r="C19" s="219">
        <v>3360</v>
      </c>
      <c r="D19" s="219">
        <v>2740</v>
      </c>
      <c r="E19" s="204">
        <v>3035</v>
      </c>
      <c r="F19" s="204">
        <v>2989</v>
      </c>
      <c r="G19" s="204">
        <v>4024</v>
      </c>
      <c r="H19" s="204">
        <v>5036</v>
      </c>
      <c r="I19" s="204">
        <v>8817</v>
      </c>
      <c r="J19" s="204">
        <v>10245</v>
      </c>
      <c r="K19" s="204">
        <v>11050</v>
      </c>
      <c r="L19" s="204">
        <v>12225</v>
      </c>
      <c r="M19" s="204">
        <v>12240</v>
      </c>
      <c r="N19" s="204">
        <v>13619</v>
      </c>
      <c r="O19" s="204">
        <v>14982</v>
      </c>
      <c r="P19" s="204">
        <v>11575</v>
      </c>
      <c r="Q19" s="204">
        <v>12751</v>
      </c>
      <c r="R19" s="204">
        <v>11213</v>
      </c>
      <c r="S19" s="204">
        <v>12866</v>
      </c>
      <c r="T19" s="204">
        <v>14265</v>
      </c>
      <c r="U19" s="204">
        <v>14741</v>
      </c>
      <c r="V19" s="204">
        <v>15345</v>
      </c>
      <c r="X19" s="84"/>
    </row>
    <row r="20" spans="1:24" ht="15" customHeight="1">
      <c r="A20" s="77"/>
      <c r="B20" s="21" t="s">
        <v>34</v>
      </c>
      <c r="C20" s="219">
        <v>26885</v>
      </c>
      <c r="D20" s="219">
        <v>25401</v>
      </c>
      <c r="E20" s="204">
        <v>26263</v>
      </c>
      <c r="F20" s="204">
        <v>26101</v>
      </c>
      <c r="G20" s="204">
        <v>28126</v>
      </c>
      <c r="H20" s="204">
        <v>26254</v>
      </c>
      <c r="I20" s="204">
        <v>28424</v>
      </c>
      <c r="J20" s="204">
        <v>33367</v>
      </c>
      <c r="K20" s="204">
        <v>36809</v>
      </c>
      <c r="L20" s="204">
        <v>38518</v>
      </c>
      <c r="M20" s="204">
        <v>31243</v>
      </c>
      <c r="N20" s="204">
        <v>33803</v>
      </c>
      <c r="O20" s="204">
        <v>30246</v>
      </c>
      <c r="P20" s="204">
        <v>25355</v>
      </c>
      <c r="Q20" s="204">
        <v>22349</v>
      </c>
      <c r="R20" s="204">
        <v>20190</v>
      </c>
      <c r="S20" s="204">
        <v>20305</v>
      </c>
      <c r="T20" s="204">
        <v>19986</v>
      </c>
      <c r="U20" s="204">
        <v>20114</v>
      </c>
      <c r="V20" s="204">
        <v>19399</v>
      </c>
      <c r="X20" s="84"/>
    </row>
    <row r="21" spans="1:24" ht="15" customHeight="1">
      <c r="A21" s="77"/>
      <c r="B21" s="21" t="s">
        <v>35</v>
      </c>
      <c r="C21" s="219">
        <v>30228</v>
      </c>
      <c r="D21" s="219">
        <v>34095</v>
      </c>
      <c r="E21" s="204">
        <v>40960</v>
      </c>
      <c r="F21" s="204">
        <v>41512</v>
      </c>
      <c r="G21" s="204">
        <v>46576</v>
      </c>
      <c r="H21" s="204">
        <v>52215</v>
      </c>
      <c r="I21" s="204">
        <v>45146</v>
      </c>
      <c r="J21" s="204">
        <v>55690</v>
      </c>
      <c r="K21" s="204">
        <v>58999</v>
      </c>
      <c r="L21" s="204">
        <v>61350</v>
      </c>
      <c r="M21" s="204">
        <v>50317</v>
      </c>
      <c r="N21" s="204">
        <v>49467</v>
      </c>
      <c r="O21" s="204">
        <v>47101</v>
      </c>
      <c r="P21" s="204">
        <v>41142</v>
      </c>
      <c r="Q21" s="204">
        <v>37588</v>
      </c>
      <c r="R21" s="204">
        <v>41394</v>
      </c>
      <c r="S21" s="204">
        <v>43535</v>
      </c>
      <c r="T21" s="204">
        <v>45975</v>
      </c>
      <c r="U21" s="204">
        <v>48628</v>
      </c>
      <c r="V21" s="204">
        <v>49512</v>
      </c>
      <c r="X21" s="84"/>
    </row>
    <row r="22" spans="1:24" ht="15" customHeight="1">
      <c r="A22" s="77"/>
      <c r="B22" s="21" t="s">
        <v>36</v>
      </c>
      <c r="C22" s="219">
        <v>3386</v>
      </c>
      <c r="D22" s="219">
        <v>3209</v>
      </c>
      <c r="E22" s="204">
        <v>3243</v>
      </c>
      <c r="F22" s="204">
        <v>2811</v>
      </c>
      <c r="G22" s="204">
        <v>3661</v>
      </c>
      <c r="H22" s="204">
        <v>3860</v>
      </c>
      <c r="I22" s="204">
        <v>4289</v>
      </c>
      <c r="J22" s="204">
        <v>4477</v>
      </c>
      <c r="K22" s="204">
        <v>4718</v>
      </c>
      <c r="L22" s="204">
        <v>3772</v>
      </c>
      <c r="M22" s="204">
        <v>3332</v>
      </c>
      <c r="N22" s="204">
        <v>3597</v>
      </c>
      <c r="O22" s="204">
        <v>4653</v>
      </c>
      <c r="P22" s="204">
        <v>4610</v>
      </c>
      <c r="Q22" s="204">
        <v>4117</v>
      </c>
      <c r="R22" s="204">
        <v>3828</v>
      </c>
      <c r="S22" s="204">
        <v>4395</v>
      </c>
      <c r="T22" s="204">
        <v>4667</v>
      </c>
      <c r="U22" s="204">
        <v>4933</v>
      </c>
      <c r="V22" s="204">
        <v>5252</v>
      </c>
      <c r="X22" s="84"/>
    </row>
    <row r="23" spans="1:24" ht="15" customHeight="1">
      <c r="A23" s="77"/>
      <c r="B23" s="21" t="s">
        <v>37</v>
      </c>
      <c r="C23" s="219">
        <v>6513</v>
      </c>
      <c r="D23" s="219">
        <v>6426</v>
      </c>
      <c r="E23" s="204">
        <v>5465</v>
      </c>
      <c r="F23" s="204">
        <v>5332</v>
      </c>
      <c r="G23" s="204">
        <v>5427</v>
      </c>
      <c r="H23" s="204">
        <v>5516</v>
      </c>
      <c r="I23" s="204">
        <v>5337</v>
      </c>
      <c r="J23" s="204">
        <v>5567</v>
      </c>
      <c r="K23" s="204">
        <v>5493</v>
      </c>
      <c r="L23" s="204">
        <v>5874</v>
      </c>
      <c r="M23" s="204">
        <v>5907</v>
      </c>
      <c r="N23" s="204">
        <v>6258</v>
      </c>
      <c r="O23" s="204">
        <v>6322</v>
      </c>
      <c r="P23" s="204">
        <v>7332</v>
      </c>
      <c r="Q23" s="204">
        <v>7956</v>
      </c>
      <c r="R23" s="204">
        <v>8252</v>
      </c>
      <c r="S23" s="204">
        <v>8516</v>
      </c>
      <c r="T23" s="204">
        <v>8763</v>
      </c>
      <c r="U23" s="204">
        <v>9574</v>
      </c>
      <c r="V23" s="204">
        <v>10169</v>
      </c>
      <c r="X23" s="84"/>
    </row>
    <row r="24" spans="1:24" ht="15" customHeight="1">
      <c r="A24" s="77"/>
      <c r="B24" s="21" t="s">
        <v>38</v>
      </c>
      <c r="C24" s="219">
        <v>19912</v>
      </c>
      <c r="D24" s="219">
        <v>16481</v>
      </c>
      <c r="E24" s="204">
        <v>19620</v>
      </c>
      <c r="F24" s="204">
        <v>21273</v>
      </c>
      <c r="G24" s="204">
        <v>22465</v>
      </c>
      <c r="H24" s="204">
        <v>22429</v>
      </c>
      <c r="I24" s="204">
        <v>22306</v>
      </c>
      <c r="J24" s="204">
        <v>23382</v>
      </c>
      <c r="K24" s="204">
        <v>22130</v>
      </c>
      <c r="L24" s="204">
        <v>28373</v>
      </c>
      <c r="M24" s="204">
        <v>30588</v>
      </c>
      <c r="N24" s="204">
        <v>36425</v>
      </c>
      <c r="O24" s="204">
        <v>42540</v>
      </c>
      <c r="P24" s="204">
        <v>41197</v>
      </c>
      <c r="Q24" s="204">
        <v>44781</v>
      </c>
      <c r="R24" s="204">
        <v>35844</v>
      </c>
      <c r="S24" s="204">
        <v>30611</v>
      </c>
      <c r="T24" s="204">
        <v>33353</v>
      </c>
      <c r="U24" s="204">
        <v>29405</v>
      </c>
      <c r="V24" s="204">
        <v>29343</v>
      </c>
      <c r="X24" s="84"/>
    </row>
    <row r="25" spans="1:24" ht="15" customHeight="1">
      <c r="A25" s="77"/>
      <c r="B25" s="21" t="s">
        <v>39</v>
      </c>
      <c r="C25" s="219">
        <v>16330</v>
      </c>
      <c r="D25" s="219">
        <v>16943</v>
      </c>
      <c r="E25" s="204">
        <v>17667</v>
      </c>
      <c r="F25" s="204">
        <v>17727</v>
      </c>
      <c r="G25" s="204">
        <v>17528</v>
      </c>
      <c r="H25" s="204">
        <v>17350</v>
      </c>
      <c r="I25" s="204">
        <v>16583</v>
      </c>
      <c r="J25" s="204">
        <v>23290</v>
      </c>
      <c r="K25" s="204">
        <v>23047</v>
      </c>
      <c r="L25" s="204">
        <v>22308</v>
      </c>
      <c r="M25" s="204">
        <v>22227</v>
      </c>
      <c r="N25" s="204">
        <v>22667</v>
      </c>
      <c r="O25" s="204">
        <v>22936</v>
      </c>
      <c r="P25" s="204">
        <v>22643</v>
      </c>
      <c r="Q25" s="204">
        <v>22860</v>
      </c>
      <c r="R25" s="204">
        <v>22604</v>
      </c>
      <c r="S25" s="204">
        <v>21097</v>
      </c>
      <c r="T25" s="204">
        <v>20060</v>
      </c>
      <c r="U25" s="204">
        <v>20385</v>
      </c>
      <c r="V25" s="204">
        <v>19385</v>
      </c>
      <c r="X25" s="84"/>
    </row>
    <row r="26" spans="1:24" ht="15" customHeight="1">
      <c r="A26" s="77"/>
      <c r="B26" s="21" t="s">
        <v>42</v>
      </c>
      <c r="C26" s="219">
        <v>31443</v>
      </c>
      <c r="D26" s="219">
        <v>36943</v>
      </c>
      <c r="E26" s="204">
        <v>43939</v>
      </c>
      <c r="F26" s="204">
        <v>48125</v>
      </c>
      <c r="G26" s="204">
        <v>52407</v>
      </c>
      <c r="H26" s="204">
        <v>61574</v>
      </c>
      <c r="I26" s="204">
        <v>72446</v>
      </c>
      <c r="J26" s="204">
        <v>79000</v>
      </c>
      <c r="K26" s="204">
        <v>74600</v>
      </c>
      <c r="L26" s="204">
        <v>77081</v>
      </c>
      <c r="M26" s="204">
        <v>81857</v>
      </c>
      <c r="N26" s="204">
        <v>83728</v>
      </c>
      <c r="O26" s="204">
        <v>83906</v>
      </c>
      <c r="P26" s="204">
        <v>85680</v>
      </c>
      <c r="Q26" s="204">
        <v>90127</v>
      </c>
      <c r="R26" s="204">
        <v>89538</v>
      </c>
      <c r="S26" s="204">
        <v>94213</v>
      </c>
      <c r="T26" s="204">
        <v>95074</v>
      </c>
      <c r="U26" s="204">
        <v>96769</v>
      </c>
      <c r="V26" s="204">
        <v>95196</v>
      </c>
      <c r="X26" s="84"/>
    </row>
    <row r="27" spans="1:24" ht="15" customHeight="1">
      <c r="A27" s="77"/>
      <c r="B27" s="21" t="s">
        <v>43</v>
      </c>
      <c r="C27" s="219">
        <v>175100</v>
      </c>
      <c r="D27" s="219">
        <v>179170</v>
      </c>
      <c r="E27" s="204">
        <v>184020</v>
      </c>
      <c r="F27" s="204">
        <v>188485</v>
      </c>
      <c r="G27" s="204">
        <v>196200</v>
      </c>
      <c r="H27" s="204">
        <v>205450</v>
      </c>
      <c r="I27" s="204">
        <v>209920</v>
      </c>
      <c r="J27" s="204">
        <v>210202</v>
      </c>
      <c r="K27" s="204">
        <v>214910</v>
      </c>
      <c r="L27" s="204">
        <v>219895</v>
      </c>
      <c r="M27" s="204">
        <v>196647</v>
      </c>
      <c r="N27" s="204">
        <v>207168</v>
      </c>
      <c r="O27" s="204">
        <v>207665</v>
      </c>
      <c r="P27" s="204">
        <v>209884</v>
      </c>
      <c r="Q27" s="204">
        <v>209199</v>
      </c>
      <c r="R27" s="204">
        <v>209190</v>
      </c>
      <c r="S27" s="204">
        <v>209955</v>
      </c>
      <c r="T27" s="204">
        <v>209810</v>
      </c>
      <c r="U27" s="204">
        <v>213605</v>
      </c>
      <c r="V27" s="204">
        <v>211510</v>
      </c>
      <c r="X27" s="84"/>
    </row>
    <row r="28" spans="1:24" ht="15" customHeight="1">
      <c r="A28" s="77"/>
      <c r="B28" s="76" t="s">
        <v>44</v>
      </c>
      <c r="C28" s="219">
        <v>0</v>
      </c>
      <c r="D28" s="219">
        <v>0</v>
      </c>
      <c r="E28" s="204" t="s">
        <v>213</v>
      </c>
      <c r="F28" s="204" t="s">
        <v>213</v>
      </c>
      <c r="G28" s="204" t="s">
        <v>213</v>
      </c>
      <c r="H28" s="204" t="s">
        <v>213</v>
      </c>
      <c r="I28" s="204" t="s">
        <v>213</v>
      </c>
      <c r="J28" s="204" t="s">
        <v>213</v>
      </c>
      <c r="K28" s="204" t="s">
        <v>213</v>
      </c>
      <c r="L28" s="204" t="s">
        <v>213</v>
      </c>
      <c r="M28" s="204" t="s">
        <v>213</v>
      </c>
      <c r="N28" s="204" t="s">
        <v>213</v>
      </c>
      <c r="O28" s="204" t="s">
        <v>213</v>
      </c>
      <c r="P28" s="204" t="s">
        <v>213</v>
      </c>
      <c r="Q28" s="204" t="s">
        <v>213</v>
      </c>
      <c r="R28" s="204" t="s">
        <v>213</v>
      </c>
      <c r="S28" s="204" t="s">
        <v>213</v>
      </c>
      <c r="T28" s="204" t="s">
        <v>213</v>
      </c>
      <c r="U28" s="204" t="s">
        <v>213</v>
      </c>
      <c r="V28" s="204" t="s">
        <v>213</v>
      </c>
      <c r="X28" s="84"/>
    </row>
    <row r="29" spans="1:24" ht="15" customHeight="1">
      <c r="A29" s="77"/>
      <c r="B29" s="21" t="s">
        <v>45</v>
      </c>
      <c r="C29" s="219">
        <v>0</v>
      </c>
      <c r="D29" s="219">
        <v>0</v>
      </c>
      <c r="E29" s="204" t="s">
        <v>213</v>
      </c>
      <c r="F29" s="204" t="s">
        <v>213</v>
      </c>
      <c r="G29" s="204" t="s">
        <v>213</v>
      </c>
      <c r="H29" s="204" t="s">
        <v>213</v>
      </c>
      <c r="I29" s="204" t="s">
        <v>213</v>
      </c>
      <c r="J29" s="204" t="s">
        <v>213</v>
      </c>
      <c r="K29" s="204" t="s">
        <v>213</v>
      </c>
      <c r="L29" s="204" t="s">
        <v>213</v>
      </c>
      <c r="M29" s="204" t="s">
        <v>213</v>
      </c>
      <c r="N29" s="204" t="s">
        <v>213</v>
      </c>
      <c r="O29" s="204" t="s">
        <v>213</v>
      </c>
      <c r="P29" s="204" t="s">
        <v>213</v>
      </c>
      <c r="Q29" s="204" t="s">
        <v>213</v>
      </c>
      <c r="R29" s="204" t="s">
        <v>213</v>
      </c>
      <c r="S29" s="204" t="s">
        <v>213</v>
      </c>
      <c r="T29" s="204" t="s">
        <v>213</v>
      </c>
      <c r="U29" s="204" t="s">
        <v>213</v>
      </c>
      <c r="V29" s="204" t="s">
        <v>213</v>
      </c>
      <c r="X29" s="84"/>
    </row>
    <row r="30" spans="1:24" ht="15" customHeight="1">
      <c r="A30" s="77"/>
      <c r="B30" s="21" t="s">
        <v>46</v>
      </c>
      <c r="C30" s="219">
        <v>0</v>
      </c>
      <c r="D30" s="219">
        <v>0</v>
      </c>
      <c r="E30" s="204" t="s">
        <v>213</v>
      </c>
      <c r="F30" s="204" t="s">
        <v>213</v>
      </c>
      <c r="G30" s="204" t="s">
        <v>213</v>
      </c>
      <c r="H30" s="204" t="s">
        <v>213</v>
      </c>
      <c r="I30" s="204" t="s">
        <v>213</v>
      </c>
      <c r="J30" s="204" t="s">
        <v>213</v>
      </c>
      <c r="K30" s="204" t="s">
        <v>213</v>
      </c>
      <c r="L30" s="204" t="s">
        <v>213</v>
      </c>
      <c r="M30" s="204" t="s">
        <v>213</v>
      </c>
      <c r="N30" s="204" t="s">
        <v>213</v>
      </c>
      <c r="O30" s="204" t="s">
        <v>213</v>
      </c>
      <c r="P30" s="204" t="s">
        <v>213</v>
      </c>
      <c r="Q30" s="204" t="s">
        <v>213</v>
      </c>
      <c r="R30" s="204" t="s">
        <v>213</v>
      </c>
      <c r="S30" s="204" t="s">
        <v>213</v>
      </c>
      <c r="T30" s="204" t="s">
        <v>213</v>
      </c>
      <c r="U30" s="204" t="s">
        <v>213</v>
      </c>
      <c r="V30" s="204" t="s">
        <v>213</v>
      </c>
      <c r="X30" s="84"/>
    </row>
    <row r="31" spans="1:24" ht="15" customHeight="1" thickBot="1">
      <c r="A31" s="82"/>
      <c r="B31" s="434" t="s">
        <v>47</v>
      </c>
      <c r="C31" s="437">
        <v>0</v>
      </c>
      <c r="D31" s="437">
        <v>0</v>
      </c>
      <c r="E31" s="439" t="s">
        <v>213</v>
      </c>
      <c r="F31" s="439" t="s">
        <v>213</v>
      </c>
      <c r="G31" s="439" t="s">
        <v>213</v>
      </c>
      <c r="H31" s="439" t="s">
        <v>213</v>
      </c>
      <c r="I31" s="439" t="s">
        <v>213</v>
      </c>
      <c r="J31" s="439" t="s">
        <v>213</v>
      </c>
      <c r="K31" s="439" t="s">
        <v>213</v>
      </c>
      <c r="L31" s="439" t="s">
        <v>213</v>
      </c>
      <c r="M31" s="439" t="s">
        <v>213</v>
      </c>
      <c r="N31" s="439" t="s">
        <v>213</v>
      </c>
      <c r="O31" s="439" t="s">
        <v>213</v>
      </c>
      <c r="P31" s="439" t="s">
        <v>213</v>
      </c>
      <c r="Q31" s="439" t="s">
        <v>213</v>
      </c>
      <c r="R31" s="439" t="s">
        <v>213</v>
      </c>
      <c r="S31" s="439" t="s">
        <v>213</v>
      </c>
      <c r="T31" s="439" t="s">
        <v>213</v>
      </c>
      <c r="U31" s="439" t="s">
        <v>213</v>
      </c>
      <c r="V31" s="439" t="s">
        <v>213</v>
      </c>
      <c r="X31" s="84"/>
    </row>
    <row r="32" spans="1:24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7"/>
      <c r="Q33" s="207"/>
      <c r="R33" s="207"/>
      <c r="S33" s="207"/>
      <c r="T33" s="207"/>
      <c r="U33" s="207"/>
      <c r="V33" s="207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  <c r="M35" s="78"/>
      <c r="N35" s="78"/>
      <c r="O35" s="78"/>
      <c r="P35" s="78"/>
      <c r="Q35" s="78"/>
      <c r="R35" s="78"/>
      <c r="S35" s="78"/>
      <c r="T35" s="78"/>
      <c r="U35" s="78"/>
      <c r="V35" s="78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78"/>
      <c r="N36" s="78"/>
      <c r="O36" s="78"/>
      <c r="P36" s="78"/>
      <c r="Q36" s="78"/>
      <c r="R36" s="78"/>
      <c r="S36" s="78"/>
      <c r="T36" s="78"/>
      <c r="U36" s="78"/>
      <c r="V36" s="78"/>
    </row>
    <row r="37" spans="1:22" ht="13.25" customHeight="1">
      <c r="M37" s="78"/>
      <c r="N37" s="78"/>
      <c r="O37" s="78"/>
      <c r="P37" s="78"/>
      <c r="Q37" s="78"/>
      <c r="R37" s="78"/>
      <c r="S37" s="78"/>
      <c r="T37" s="78"/>
      <c r="U37" s="78"/>
      <c r="V37" s="78"/>
    </row>
    <row r="38" spans="1:22" ht="13.25" customHeight="1">
      <c r="M38" s="78"/>
      <c r="N38" s="78"/>
      <c r="O38" s="78"/>
      <c r="P38" s="78"/>
      <c r="Q38" s="78"/>
      <c r="R38" s="78"/>
      <c r="S38" s="78"/>
      <c r="T38" s="78"/>
      <c r="U38" s="78"/>
      <c r="V38" s="7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39">
    <tabColor theme="9" tint="0.59999389629810485"/>
  </sheetPr>
  <dimension ref="A2:V36"/>
  <sheetViews>
    <sheetView showGridLines="0" zoomScaleNormal="100" workbookViewId="0">
      <selection activeCell="U5" sqref="U5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796875" style="76" customWidth="1"/>
    <col min="24" max="16384" width="7" style="76"/>
  </cols>
  <sheetData>
    <row r="2" spans="1:22" ht="18" customHeight="1">
      <c r="A2" s="210" t="s">
        <v>505</v>
      </c>
      <c r="B2" s="211"/>
    </row>
    <row r="3" spans="1:22" ht="13.25" customHeight="1">
      <c r="A3" s="212" t="s">
        <v>210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299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2" ht="18" customHeight="1">
      <c r="A6" s="1020" t="s">
        <v>93</v>
      </c>
      <c r="B6" s="1020"/>
      <c r="C6" s="633">
        <f>(C8+C9+C10+C11+C12+C13+C14+C15+C16+C17+C18+C19+C20+C21+C22+C23+C24+C25+C26+C27+C28+C29+C30+C31)</f>
        <v>8671</v>
      </c>
      <c r="D6" s="633">
        <f>(D8+D9+D10+D11+D12+D13+D14+D15+D16+D17+D18+D19+D20+D21+D22+D23+D24+D25+D26+D27+D28+D29+D30+D31)</f>
        <v>8794</v>
      </c>
      <c r="E6" s="629">
        <v>9366</v>
      </c>
      <c r="F6" s="629">
        <v>9527</v>
      </c>
      <c r="G6" s="629">
        <v>10189</v>
      </c>
      <c r="H6" s="629">
        <v>10761</v>
      </c>
      <c r="I6" s="629">
        <v>11318</v>
      </c>
      <c r="J6" s="629">
        <v>11999</v>
      </c>
      <c r="K6" s="629">
        <v>12169</v>
      </c>
      <c r="L6" s="629">
        <v>12594</v>
      </c>
      <c r="M6" s="629">
        <v>11917</v>
      </c>
      <c r="N6" s="629">
        <v>12445</v>
      </c>
      <c r="O6" s="629">
        <v>12747</v>
      </c>
      <c r="P6" s="629">
        <v>12689</v>
      </c>
      <c r="Q6" s="629">
        <f t="shared" ref="Q6:V6" si="0">SUM(Q11:Q31)</f>
        <v>12579</v>
      </c>
      <c r="R6" s="629">
        <f t="shared" si="0"/>
        <v>12362.699999999999</v>
      </c>
      <c r="S6" s="629">
        <f t="shared" si="0"/>
        <v>12581.2</v>
      </c>
      <c r="T6" s="629">
        <f t="shared" si="0"/>
        <v>12753.5</v>
      </c>
      <c r="U6" s="629">
        <f t="shared" si="0"/>
        <v>12845.540185729356</v>
      </c>
      <c r="V6" s="629">
        <f t="shared" si="0"/>
        <v>13009.446326734676</v>
      </c>
    </row>
    <row r="7" spans="1:22" ht="3" customHeight="1">
      <c r="A7" s="77"/>
      <c r="B7" s="78"/>
      <c r="C7" s="215"/>
      <c r="D7" s="215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</row>
    <row r="8" spans="1:22" ht="15" customHeight="1">
      <c r="A8" s="77"/>
      <c r="B8" s="21" t="s">
        <v>19</v>
      </c>
      <c r="C8" s="220">
        <v>0</v>
      </c>
      <c r="D8" s="220">
        <v>0</v>
      </c>
      <c r="E8" s="204" t="s">
        <v>212</v>
      </c>
      <c r="F8" s="204" t="s">
        <v>212</v>
      </c>
      <c r="G8" s="204" t="s">
        <v>212</v>
      </c>
      <c r="H8" s="204" t="s">
        <v>212</v>
      </c>
      <c r="I8" s="204" t="s">
        <v>212</v>
      </c>
      <c r="J8" s="204" t="s">
        <v>212</v>
      </c>
      <c r="K8" s="204" t="s">
        <v>212</v>
      </c>
      <c r="L8" s="204" t="s">
        <v>212</v>
      </c>
      <c r="M8" s="204" t="s">
        <v>212</v>
      </c>
      <c r="N8" s="204" t="s">
        <v>212</v>
      </c>
      <c r="O8" s="204" t="s">
        <v>212</v>
      </c>
      <c r="P8" s="204" t="s">
        <v>212</v>
      </c>
      <c r="Q8" s="204" t="s">
        <v>212</v>
      </c>
      <c r="R8" s="204" t="s">
        <v>212</v>
      </c>
      <c r="S8" s="204" t="s">
        <v>212</v>
      </c>
      <c r="T8" s="204" t="s">
        <v>212</v>
      </c>
      <c r="U8" s="204" t="s">
        <v>212</v>
      </c>
      <c r="V8" s="204" t="s">
        <v>212</v>
      </c>
    </row>
    <row r="9" spans="1:22" ht="15" customHeight="1">
      <c r="A9" s="77"/>
      <c r="B9" s="21" t="s">
        <v>20</v>
      </c>
      <c r="C9" s="220">
        <v>0</v>
      </c>
      <c r="D9" s="220">
        <v>0</v>
      </c>
      <c r="E9" s="204" t="s">
        <v>212</v>
      </c>
      <c r="F9" s="204" t="s">
        <v>212</v>
      </c>
      <c r="G9" s="204" t="s">
        <v>212</v>
      </c>
      <c r="H9" s="204" t="s">
        <v>212</v>
      </c>
      <c r="I9" s="204" t="s">
        <v>212</v>
      </c>
      <c r="J9" s="204" t="s">
        <v>212</v>
      </c>
      <c r="K9" s="204" t="s">
        <v>212</v>
      </c>
      <c r="L9" s="204" t="s">
        <v>212</v>
      </c>
      <c r="M9" s="204" t="s">
        <v>212</v>
      </c>
      <c r="N9" s="204" t="s">
        <v>212</v>
      </c>
      <c r="O9" s="204" t="s">
        <v>212</v>
      </c>
      <c r="P9" s="204" t="s">
        <v>212</v>
      </c>
      <c r="Q9" s="204" t="s">
        <v>212</v>
      </c>
      <c r="R9" s="204" t="s">
        <v>212</v>
      </c>
      <c r="S9" s="204" t="s">
        <v>212</v>
      </c>
      <c r="T9" s="204" t="s">
        <v>212</v>
      </c>
      <c r="U9" s="204" t="s">
        <v>212</v>
      </c>
      <c r="V9" s="204" t="s">
        <v>212</v>
      </c>
    </row>
    <row r="10" spans="1:22" ht="15" customHeight="1">
      <c r="A10" s="77"/>
      <c r="B10" s="21" t="s">
        <v>21</v>
      </c>
      <c r="C10" s="220">
        <v>0</v>
      </c>
      <c r="D10" s="220">
        <v>0</v>
      </c>
      <c r="E10" s="204" t="s">
        <v>212</v>
      </c>
      <c r="F10" s="204" t="s">
        <v>212</v>
      </c>
      <c r="G10" s="204" t="s">
        <v>212</v>
      </c>
      <c r="H10" s="204" t="s">
        <v>212</v>
      </c>
      <c r="I10" s="204" t="s">
        <v>212</v>
      </c>
      <c r="J10" s="204" t="s">
        <v>212</v>
      </c>
      <c r="K10" s="204" t="s">
        <v>212</v>
      </c>
      <c r="L10" s="204" t="s">
        <v>212</v>
      </c>
      <c r="M10" s="204" t="s">
        <v>212</v>
      </c>
      <c r="N10" s="204" t="s">
        <v>212</v>
      </c>
      <c r="O10" s="204" t="s">
        <v>212</v>
      </c>
      <c r="P10" s="204" t="s">
        <v>212</v>
      </c>
      <c r="Q10" s="204" t="s">
        <v>212</v>
      </c>
      <c r="R10" s="204" t="s">
        <v>212</v>
      </c>
      <c r="S10" s="204" t="s">
        <v>212</v>
      </c>
      <c r="T10" s="204" t="s">
        <v>212</v>
      </c>
      <c r="U10" s="204" t="s">
        <v>212</v>
      </c>
      <c r="V10" s="204" t="s">
        <v>212</v>
      </c>
    </row>
    <row r="11" spans="1:22" ht="15" customHeight="1">
      <c r="A11" s="77"/>
      <c r="B11" s="21" t="s">
        <v>22</v>
      </c>
      <c r="C11" s="220">
        <v>5</v>
      </c>
      <c r="D11" s="220">
        <v>6</v>
      </c>
      <c r="E11" s="204">
        <v>9</v>
      </c>
      <c r="F11" s="204">
        <v>11</v>
      </c>
      <c r="G11" s="204">
        <v>11</v>
      </c>
      <c r="H11" s="204">
        <v>14</v>
      </c>
      <c r="I11" s="204">
        <v>17</v>
      </c>
      <c r="J11" s="204">
        <v>22</v>
      </c>
      <c r="K11" s="204">
        <v>21</v>
      </c>
      <c r="L11" s="204">
        <v>25</v>
      </c>
      <c r="M11" s="204">
        <v>27</v>
      </c>
      <c r="N11" s="204">
        <v>29</v>
      </c>
      <c r="O11" s="204">
        <v>35</v>
      </c>
      <c r="P11" s="204">
        <v>39</v>
      </c>
      <c r="Q11" s="204">
        <v>43</v>
      </c>
      <c r="R11" s="204">
        <v>43.4</v>
      </c>
      <c r="S11" s="204">
        <v>44</v>
      </c>
      <c r="T11" s="204">
        <v>41.4</v>
      </c>
      <c r="U11" s="204">
        <v>43.814309565686422</v>
      </c>
      <c r="V11" s="204">
        <v>51.194551500000003</v>
      </c>
    </row>
    <row r="12" spans="1:22" ht="15" customHeight="1">
      <c r="A12" s="77"/>
      <c r="B12" s="21" t="s">
        <v>23</v>
      </c>
      <c r="C12" s="220">
        <v>0</v>
      </c>
      <c r="D12" s="220">
        <v>0</v>
      </c>
      <c r="E12" s="204" t="s">
        <v>212</v>
      </c>
      <c r="F12" s="204" t="s">
        <v>212</v>
      </c>
      <c r="G12" s="204" t="s">
        <v>212</v>
      </c>
      <c r="H12" s="204" t="s">
        <v>212</v>
      </c>
      <c r="I12" s="204" t="s">
        <v>212</v>
      </c>
      <c r="J12" s="204" t="s">
        <v>212</v>
      </c>
      <c r="K12" s="204" t="s">
        <v>212</v>
      </c>
      <c r="L12" s="204" t="s">
        <v>212</v>
      </c>
      <c r="M12" s="204" t="s">
        <v>212</v>
      </c>
      <c r="N12" s="204" t="s">
        <v>212</v>
      </c>
      <c r="O12" s="204" t="s">
        <v>212</v>
      </c>
      <c r="P12" s="204" t="s">
        <v>212</v>
      </c>
      <c r="Q12" s="204" t="s">
        <v>212</v>
      </c>
      <c r="R12" s="204" t="s">
        <v>212</v>
      </c>
      <c r="S12" s="204" t="s">
        <v>212</v>
      </c>
      <c r="T12" s="204" t="s">
        <v>212</v>
      </c>
      <c r="U12" s="204" t="s">
        <v>212</v>
      </c>
      <c r="V12" s="204" t="s">
        <v>212</v>
      </c>
    </row>
    <row r="13" spans="1:22" ht="15" customHeight="1">
      <c r="A13" s="77"/>
      <c r="B13" s="21" t="s">
        <v>27</v>
      </c>
      <c r="C13" s="220">
        <v>0</v>
      </c>
      <c r="D13" s="220">
        <v>0</v>
      </c>
      <c r="E13" s="204" t="s">
        <v>212</v>
      </c>
      <c r="F13" s="204" t="s">
        <v>212</v>
      </c>
      <c r="G13" s="204" t="s">
        <v>212</v>
      </c>
      <c r="H13" s="204" t="s">
        <v>212</v>
      </c>
      <c r="I13" s="204" t="s">
        <v>212</v>
      </c>
      <c r="J13" s="204" t="s">
        <v>212</v>
      </c>
      <c r="K13" s="204" t="s">
        <v>212</v>
      </c>
      <c r="L13" s="204" t="s">
        <v>212</v>
      </c>
      <c r="M13" s="204" t="s">
        <v>212</v>
      </c>
      <c r="N13" s="204" t="s">
        <v>212</v>
      </c>
      <c r="O13" s="204" t="s">
        <v>212</v>
      </c>
      <c r="P13" s="204" t="s">
        <v>212</v>
      </c>
      <c r="Q13" s="204" t="s">
        <v>212</v>
      </c>
      <c r="R13" s="204" t="s">
        <v>212</v>
      </c>
      <c r="S13" s="204" t="s">
        <v>212</v>
      </c>
      <c r="T13" s="204" t="s">
        <v>212</v>
      </c>
      <c r="U13" s="204" t="s">
        <v>212</v>
      </c>
      <c r="V13" s="204" t="s">
        <v>212</v>
      </c>
    </row>
    <row r="14" spans="1:22" ht="15" customHeight="1">
      <c r="A14" s="77"/>
      <c r="B14" s="21" t="s">
        <v>28</v>
      </c>
      <c r="C14" s="220">
        <v>13</v>
      </c>
      <c r="D14" s="220">
        <v>11</v>
      </c>
      <c r="E14" s="204">
        <v>18</v>
      </c>
      <c r="F14" s="204">
        <v>11</v>
      </c>
      <c r="G14" s="204">
        <v>13</v>
      </c>
      <c r="H14" s="204">
        <v>11</v>
      </c>
      <c r="I14" s="204">
        <v>10</v>
      </c>
      <c r="J14" s="204">
        <v>7</v>
      </c>
      <c r="K14" s="204">
        <v>10</v>
      </c>
      <c r="L14" s="204">
        <v>10</v>
      </c>
      <c r="M14" s="204">
        <v>10</v>
      </c>
      <c r="N14" s="204">
        <v>7</v>
      </c>
      <c r="O14" s="204">
        <v>10</v>
      </c>
      <c r="P14" s="204">
        <v>11</v>
      </c>
      <c r="Q14" s="204">
        <v>11</v>
      </c>
      <c r="R14" s="204">
        <v>10</v>
      </c>
      <c r="S14" s="204">
        <v>12.3</v>
      </c>
      <c r="T14" s="204">
        <v>12.3</v>
      </c>
      <c r="U14" s="204">
        <v>13.007080300476147</v>
      </c>
      <c r="V14" s="204">
        <v>13.808943858038459</v>
      </c>
    </row>
    <row r="15" spans="1:22" ht="15" customHeight="1">
      <c r="A15" s="77"/>
      <c r="B15" s="21" t="s">
        <v>29</v>
      </c>
      <c r="C15" s="220">
        <v>138</v>
      </c>
      <c r="D15" s="220">
        <v>145</v>
      </c>
      <c r="E15" s="204">
        <v>152</v>
      </c>
      <c r="F15" s="204">
        <v>144</v>
      </c>
      <c r="G15" s="204">
        <v>129</v>
      </c>
      <c r="H15" s="204">
        <v>102</v>
      </c>
      <c r="I15" s="204">
        <v>81</v>
      </c>
      <c r="J15" s="204">
        <v>94</v>
      </c>
      <c r="K15" s="204">
        <v>119</v>
      </c>
      <c r="L15" s="204">
        <v>124</v>
      </c>
      <c r="M15" s="204">
        <v>100</v>
      </c>
      <c r="N15" s="204">
        <v>71</v>
      </c>
      <c r="O15" s="204">
        <v>80</v>
      </c>
      <c r="P15" s="204">
        <v>76</v>
      </c>
      <c r="Q15" s="204">
        <v>76</v>
      </c>
      <c r="R15" s="204">
        <v>73.5</v>
      </c>
      <c r="S15" s="204">
        <v>88.7</v>
      </c>
      <c r="T15" s="204">
        <v>79.5</v>
      </c>
      <c r="U15" s="204">
        <v>100.17148500000002</v>
      </c>
      <c r="V15" s="204">
        <v>103.11423000000001</v>
      </c>
    </row>
    <row r="16" spans="1:22" ht="15" customHeight="1">
      <c r="A16" s="77"/>
      <c r="B16" s="21" t="s">
        <v>30</v>
      </c>
      <c r="C16" s="220">
        <v>0</v>
      </c>
      <c r="D16" s="220">
        <v>0</v>
      </c>
      <c r="E16" s="204" t="s">
        <v>212</v>
      </c>
      <c r="F16" s="204" t="s">
        <v>212</v>
      </c>
      <c r="G16" s="204" t="s">
        <v>212</v>
      </c>
      <c r="H16" s="204" t="s">
        <v>212</v>
      </c>
      <c r="I16" s="204" t="s">
        <v>212</v>
      </c>
      <c r="J16" s="204" t="s">
        <v>212</v>
      </c>
      <c r="K16" s="204" t="s">
        <v>212</v>
      </c>
      <c r="L16" s="204" t="s">
        <v>212</v>
      </c>
      <c r="M16" s="204" t="s">
        <v>212</v>
      </c>
      <c r="N16" s="204" t="s">
        <v>212</v>
      </c>
      <c r="O16" s="204" t="s">
        <v>212</v>
      </c>
      <c r="P16" s="204" t="s">
        <v>212</v>
      </c>
      <c r="Q16" s="204" t="s">
        <v>212</v>
      </c>
      <c r="R16" s="204" t="s">
        <v>212</v>
      </c>
      <c r="S16" s="204" t="s">
        <v>212</v>
      </c>
      <c r="T16" s="204" t="s">
        <v>212</v>
      </c>
      <c r="U16" s="204" t="s">
        <v>212</v>
      </c>
      <c r="V16" s="204" t="s">
        <v>212</v>
      </c>
    </row>
    <row r="17" spans="1:22" ht="15" customHeight="1">
      <c r="A17" s="77"/>
      <c r="B17" s="21" t="s">
        <v>31</v>
      </c>
      <c r="C17" s="220">
        <v>0</v>
      </c>
      <c r="D17" s="220">
        <v>0</v>
      </c>
      <c r="E17" s="204" t="s">
        <v>212</v>
      </c>
      <c r="F17" s="204" t="s">
        <v>212</v>
      </c>
      <c r="G17" s="204" t="s">
        <v>212</v>
      </c>
      <c r="H17" s="204" t="s">
        <v>212</v>
      </c>
      <c r="I17" s="204">
        <v>5</v>
      </c>
      <c r="J17" s="204">
        <v>5</v>
      </c>
      <c r="K17" s="204">
        <v>16</v>
      </c>
      <c r="L17" s="204">
        <v>16</v>
      </c>
      <c r="M17" s="204">
        <v>19</v>
      </c>
      <c r="N17" s="204">
        <v>22</v>
      </c>
      <c r="O17" s="204">
        <v>26</v>
      </c>
      <c r="P17" s="204">
        <v>34</v>
      </c>
      <c r="Q17" s="204">
        <v>34</v>
      </c>
      <c r="R17" s="204">
        <v>34.700000000000003</v>
      </c>
      <c r="S17" s="204">
        <v>42.7</v>
      </c>
      <c r="T17" s="204">
        <v>41.9</v>
      </c>
      <c r="U17" s="204">
        <v>43.44503903392706</v>
      </c>
      <c r="V17" s="204">
        <v>44.585474999999995</v>
      </c>
    </row>
    <row r="18" spans="1:22" ht="15" customHeight="1">
      <c r="A18" s="77"/>
      <c r="B18" s="21" t="s">
        <v>32</v>
      </c>
      <c r="C18" s="220">
        <v>97</v>
      </c>
      <c r="D18" s="220">
        <v>93</v>
      </c>
      <c r="E18" s="204">
        <v>137</v>
      </c>
      <c r="F18" s="204">
        <v>141</v>
      </c>
      <c r="G18" s="204">
        <v>160</v>
      </c>
      <c r="H18" s="204">
        <v>153</v>
      </c>
      <c r="I18" s="204">
        <v>171</v>
      </c>
      <c r="J18" s="204">
        <v>146</v>
      </c>
      <c r="K18" s="204">
        <v>149</v>
      </c>
      <c r="L18" s="204">
        <v>162</v>
      </c>
      <c r="M18" s="204">
        <v>173</v>
      </c>
      <c r="N18" s="204">
        <v>312</v>
      </c>
      <c r="O18" s="204">
        <v>321</v>
      </c>
      <c r="P18" s="204">
        <v>361</v>
      </c>
      <c r="Q18" s="204">
        <v>361</v>
      </c>
      <c r="R18" s="204">
        <v>358.7</v>
      </c>
      <c r="S18" s="204">
        <v>404.7</v>
      </c>
      <c r="T18" s="204">
        <v>406.2</v>
      </c>
      <c r="U18" s="204">
        <v>416.07406079269163</v>
      </c>
      <c r="V18" s="204">
        <v>437.85560234798965</v>
      </c>
    </row>
    <row r="19" spans="1:22" ht="15" customHeight="1">
      <c r="A19" s="77"/>
      <c r="B19" s="21" t="s">
        <v>33</v>
      </c>
      <c r="C19" s="220">
        <v>94</v>
      </c>
      <c r="D19" s="220">
        <v>77</v>
      </c>
      <c r="E19" s="204">
        <v>86</v>
      </c>
      <c r="F19" s="204">
        <v>81</v>
      </c>
      <c r="G19" s="204">
        <v>90</v>
      </c>
      <c r="H19" s="204">
        <v>110</v>
      </c>
      <c r="I19" s="204">
        <v>196</v>
      </c>
      <c r="J19" s="204">
        <v>228</v>
      </c>
      <c r="K19" s="204">
        <v>242</v>
      </c>
      <c r="L19" s="204">
        <v>265</v>
      </c>
      <c r="M19" s="204">
        <v>264</v>
      </c>
      <c r="N19" s="204">
        <v>290</v>
      </c>
      <c r="O19" s="204">
        <v>321</v>
      </c>
      <c r="P19" s="204">
        <v>281</v>
      </c>
      <c r="Q19" s="204">
        <v>281</v>
      </c>
      <c r="R19" s="204">
        <v>251</v>
      </c>
      <c r="S19" s="204">
        <v>290</v>
      </c>
      <c r="T19" s="204">
        <v>319.10000000000002</v>
      </c>
      <c r="U19" s="204">
        <v>331.54289999999997</v>
      </c>
      <c r="V19" s="204">
        <v>339.03090000000003</v>
      </c>
    </row>
    <row r="20" spans="1:22" ht="15" customHeight="1">
      <c r="A20" s="77"/>
      <c r="B20" s="21" t="s">
        <v>34</v>
      </c>
      <c r="C20" s="220">
        <v>694</v>
      </c>
      <c r="D20" s="220">
        <v>654</v>
      </c>
      <c r="E20" s="204">
        <v>676</v>
      </c>
      <c r="F20" s="204">
        <v>660</v>
      </c>
      <c r="G20" s="204">
        <v>702</v>
      </c>
      <c r="H20" s="204">
        <v>677</v>
      </c>
      <c r="I20" s="204">
        <v>831</v>
      </c>
      <c r="J20" s="204">
        <v>864</v>
      </c>
      <c r="K20" s="204">
        <v>934</v>
      </c>
      <c r="L20" s="204">
        <v>954</v>
      </c>
      <c r="M20" s="204">
        <v>831</v>
      </c>
      <c r="N20" s="204">
        <v>781</v>
      </c>
      <c r="O20" s="204">
        <v>783</v>
      </c>
      <c r="P20" s="204">
        <v>564</v>
      </c>
      <c r="Q20" s="204">
        <v>564</v>
      </c>
      <c r="R20" s="204">
        <v>524.9</v>
      </c>
      <c r="S20" s="204">
        <v>525.6</v>
      </c>
      <c r="T20" s="204">
        <v>514.4</v>
      </c>
      <c r="U20" s="204">
        <v>499.23944000000006</v>
      </c>
      <c r="V20" s="204">
        <v>495.65520000000004</v>
      </c>
    </row>
    <row r="21" spans="1:22" ht="15" customHeight="1">
      <c r="A21" s="77"/>
      <c r="B21" s="21" t="s">
        <v>35</v>
      </c>
      <c r="C21" s="220">
        <v>843</v>
      </c>
      <c r="D21" s="220">
        <v>916</v>
      </c>
      <c r="E21" s="204">
        <v>996</v>
      </c>
      <c r="F21" s="204">
        <v>1005</v>
      </c>
      <c r="G21" s="204">
        <v>1196</v>
      </c>
      <c r="H21" s="204">
        <v>1287</v>
      </c>
      <c r="I21" s="204">
        <v>1294</v>
      </c>
      <c r="J21" s="204">
        <v>1389</v>
      </c>
      <c r="K21" s="204">
        <v>1439</v>
      </c>
      <c r="L21" s="204">
        <v>1529</v>
      </c>
      <c r="M21" s="204">
        <v>1233</v>
      </c>
      <c r="N21" s="204">
        <v>1209</v>
      </c>
      <c r="O21" s="204">
        <v>1189</v>
      </c>
      <c r="P21" s="204">
        <v>926</v>
      </c>
      <c r="Q21" s="204">
        <v>926</v>
      </c>
      <c r="R21" s="204">
        <v>1016.2</v>
      </c>
      <c r="S21" s="204">
        <v>1067.5</v>
      </c>
      <c r="T21" s="204">
        <v>1127.5</v>
      </c>
      <c r="U21" s="204">
        <v>1192.7976000000001</v>
      </c>
      <c r="V21" s="204">
        <v>1216.3823</v>
      </c>
    </row>
    <row r="22" spans="1:22" ht="15" customHeight="1">
      <c r="A22" s="77"/>
      <c r="B22" s="21" t="s">
        <v>36</v>
      </c>
      <c r="C22" s="220">
        <v>112</v>
      </c>
      <c r="D22" s="220">
        <v>106</v>
      </c>
      <c r="E22" s="204">
        <v>103</v>
      </c>
      <c r="F22" s="204">
        <v>90</v>
      </c>
      <c r="G22" s="204">
        <v>112</v>
      </c>
      <c r="H22" s="204">
        <v>117</v>
      </c>
      <c r="I22" s="204">
        <v>129</v>
      </c>
      <c r="J22" s="204">
        <v>130</v>
      </c>
      <c r="K22" s="204">
        <v>134</v>
      </c>
      <c r="L22" s="204">
        <v>114</v>
      </c>
      <c r="M22" s="204">
        <v>103</v>
      </c>
      <c r="N22" s="204">
        <v>110</v>
      </c>
      <c r="O22" s="204">
        <v>145</v>
      </c>
      <c r="P22" s="204">
        <v>127</v>
      </c>
      <c r="Q22" s="204">
        <v>127</v>
      </c>
      <c r="R22" s="204">
        <v>119.6</v>
      </c>
      <c r="S22" s="204">
        <v>130.30000000000001</v>
      </c>
      <c r="T22" s="204">
        <v>135</v>
      </c>
      <c r="U22" s="204">
        <v>136.7632242429068</v>
      </c>
      <c r="V22" s="204">
        <v>142.26160002865004</v>
      </c>
    </row>
    <row r="23" spans="1:22" ht="15" customHeight="1">
      <c r="A23" s="77"/>
      <c r="B23" s="21" t="s">
        <v>37</v>
      </c>
      <c r="C23" s="220">
        <v>210</v>
      </c>
      <c r="D23" s="220">
        <v>189</v>
      </c>
      <c r="E23" s="204">
        <v>159</v>
      </c>
      <c r="F23" s="204">
        <v>158</v>
      </c>
      <c r="G23" s="204">
        <v>157</v>
      </c>
      <c r="H23" s="204">
        <v>156</v>
      </c>
      <c r="I23" s="204">
        <v>152</v>
      </c>
      <c r="J23" s="204">
        <v>159</v>
      </c>
      <c r="K23" s="204">
        <v>166</v>
      </c>
      <c r="L23" s="204">
        <v>177</v>
      </c>
      <c r="M23" s="204">
        <v>171</v>
      </c>
      <c r="N23" s="204">
        <v>177</v>
      </c>
      <c r="O23" s="204">
        <v>182</v>
      </c>
      <c r="P23" s="204">
        <v>226</v>
      </c>
      <c r="Q23" s="204">
        <v>226</v>
      </c>
      <c r="R23" s="204">
        <v>234.9</v>
      </c>
      <c r="S23" s="204">
        <v>244.8</v>
      </c>
      <c r="T23" s="204">
        <v>247.6</v>
      </c>
      <c r="U23" s="204">
        <v>264.95161729366782</v>
      </c>
      <c r="V23" s="204">
        <v>284.17292400000002</v>
      </c>
    </row>
    <row r="24" spans="1:22" ht="15" customHeight="1">
      <c r="A24" s="77"/>
      <c r="B24" s="21" t="s">
        <v>38</v>
      </c>
      <c r="C24" s="220">
        <v>502</v>
      </c>
      <c r="D24" s="220">
        <v>430</v>
      </c>
      <c r="E24" s="204">
        <v>531</v>
      </c>
      <c r="F24" s="204">
        <v>562</v>
      </c>
      <c r="G24" s="204">
        <v>607</v>
      </c>
      <c r="H24" s="204">
        <v>586</v>
      </c>
      <c r="I24" s="204">
        <v>567</v>
      </c>
      <c r="J24" s="204">
        <v>598</v>
      </c>
      <c r="K24" s="204">
        <v>578</v>
      </c>
      <c r="L24" s="204">
        <v>735</v>
      </c>
      <c r="M24" s="204">
        <v>807</v>
      </c>
      <c r="N24" s="204">
        <v>973</v>
      </c>
      <c r="O24" s="204">
        <v>1132</v>
      </c>
      <c r="P24" s="204">
        <v>1193</v>
      </c>
      <c r="Q24" s="204">
        <v>1193</v>
      </c>
      <c r="R24" s="204">
        <v>964.6</v>
      </c>
      <c r="S24" s="204">
        <v>804.5</v>
      </c>
      <c r="T24" s="204">
        <v>864.2</v>
      </c>
      <c r="U24" s="204">
        <v>745.23915</v>
      </c>
      <c r="V24" s="204">
        <v>751.07140000000004</v>
      </c>
    </row>
    <row r="25" spans="1:22" ht="15" customHeight="1">
      <c r="A25" s="77"/>
      <c r="B25" s="21" t="s">
        <v>39</v>
      </c>
      <c r="C25" s="220">
        <v>392</v>
      </c>
      <c r="D25" s="220">
        <v>396</v>
      </c>
      <c r="E25" s="204">
        <v>432</v>
      </c>
      <c r="F25" s="204">
        <v>405</v>
      </c>
      <c r="G25" s="204">
        <v>413</v>
      </c>
      <c r="H25" s="204">
        <v>405</v>
      </c>
      <c r="I25" s="204">
        <v>432</v>
      </c>
      <c r="J25" s="204">
        <v>598</v>
      </c>
      <c r="K25" s="204">
        <v>573</v>
      </c>
      <c r="L25" s="204">
        <v>568</v>
      </c>
      <c r="M25" s="204">
        <v>562</v>
      </c>
      <c r="N25" s="204">
        <v>570</v>
      </c>
      <c r="O25" s="204">
        <v>569</v>
      </c>
      <c r="P25" s="204">
        <v>556</v>
      </c>
      <c r="Q25" s="204">
        <v>556</v>
      </c>
      <c r="R25" s="204">
        <v>548.29999999999995</v>
      </c>
      <c r="S25" s="204">
        <v>540.5</v>
      </c>
      <c r="T25" s="204">
        <v>525.5</v>
      </c>
      <c r="U25" s="204">
        <v>501.92397949999997</v>
      </c>
      <c r="V25" s="204">
        <v>489.25589999999994</v>
      </c>
    </row>
    <row r="26" spans="1:22" ht="15" customHeight="1">
      <c r="A26" s="77"/>
      <c r="B26" s="21" t="s">
        <v>42</v>
      </c>
      <c r="C26" s="220">
        <v>952</v>
      </c>
      <c r="D26" s="220">
        <v>1095</v>
      </c>
      <c r="E26" s="204">
        <v>1240</v>
      </c>
      <c r="F26" s="204">
        <v>1316</v>
      </c>
      <c r="G26" s="204">
        <v>1417</v>
      </c>
      <c r="H26" s="204">
        <v>1622</v>
      </c>
      <c r="I26" s="204">
        <v>1809</v>
      </c>
      <c r="J26" s="204">
        <v>2074</v>
      </c>
      <c r="K26" s="204">
        <v>1891</v>
      </c>
      <c r="L26" s="204">
        <v>1954</v>
      </c>
      <c r="M26" s="204">
        <v>2209</v>
      </c>
      <c r="N26" s="204">
        <v>2265</v>
      </c>
      <c r="O26" s="204">
        <v>2267</v>
      </c>
      <c r="P26" s="204">
        <v>2397</v>
      </c>
      <c r="Q26" s="204">
        <v>2397</v>
      </c>
      <c r="R26" s="204">
        <v>2385.6999999999998</v>
      </c>
      <c r="S26" s="204">
        <v>2544.5</v>
      </c>
      <c r="T26" s="204">
        <v>2566</v>
      </c>
      <c r="U26" s="204">
        <v>2597.0751</v>
      </c>
      <c r="V26" s="204">
        <v>2615.3732999999993</v>
      </c>
    </row>
    <row r="27" spans="1:22" ht="15" customHeight="1">
      <c r="A27" s="77"/>
      <c r="B27" s="21" t="s">
        <v>43</v>
      </c>
      <c r="C27" s="220">
        <v>4619</v>
      </c>
      <c r="D27" s="220">
        <v>4676</v>
      </c>
      <c r="E27" s="204">
        <v>4828</v>
      </c>
      <c r="F27" s="204">
        <v>4943</v>
      </c>
      <c r="G27" s="204">
        <v>5179</v>
      </c>
      <c r="H27" s="204">
        <v>5520</v>
      </c>
      <c r="I27" s="204">
        <v>5624</v>
      </c>
      <c r="J27" s="204">
        <v>5685</v>
      </c>
      <c r="K27" s="204">
        <v>5897</v>
      </c>
      <c r="L27" s="204">
        <v>5961</v>
      </c>
      <c r="M27" s="204">
        <v>5407</v>
      </c>
      <c r="N27" s="204">
        <v>5627</v>
      </c>
      <c r="O27" s="204">
        <v>5687</v>
      </c>
      <c r="P27" s="204">
        <v>5784</v>
      </c>
      <c r="Q27" s="204">
        <v>5784</v>
      </c>
      <c r="R27" s="204">
        <v>5797.2</v>
      </c>
      <c r="S27" s="204">
        <v>5841.1</v>
      </c>
      <c r="T27" s="204">
        <v>5872.9</v>
      </c>
      <c r="U27" s="204">
        <v>5959.4952000000003</v>
      </c>
      <c r="V27" s="204">
        <v>6025.6839999999993</v>
      </c>
    </row>
    <row r="28" spans="1:22" ht="15" customHeight="1">
      <c r="A28" s="77"/>
      <c r="B28" s="76" t="s">
        <v>44</v>
      </c>
      <c r="C28" s="220">
        <v>0</v>
      </c>
      <c r="D28" s="220">
        <v>0</v>
      </c>
      <c r="E28" s="204" t="s">
        <v>212</v>
      </c>
      <c r="F28" s="204" t="s">
        <v>212</v>
      </c>
      <c r="G28" s="204" t="s">
        <v>212</v>
      </c>
      <c r="H28" s="204" t="s">
        <v>212</v>
      </c>
      <c r="I28" s="204" t="s">
        <v>212</v>
      </c>
      <c r="J28" s="204" t="s">
        <v>212</v>
      </c>
      <c r="K28" s="204" t="s">
        <v>212</v>
      </c>
      <c r="L28" s="204" t="s">
        <v>212</v>
      </c>
      <c r="M28" s="204" t="s">
        <v>212</v>
      </c>
      <c r="N28" s="204" t="s">
        <v>212</v>
      </c>
      <c r="O28" s="204" t="s">
        <v>212</v>
      </c>
      <c r="P28" s="204" t="s">
        <v>212</v>
      </c>
      <c r="Q28" s="204" t="s">
        <v>212</v>
      </c>
      <c r="R28" s="204" t="s">
        <v>212</v>
      </c>
      <c r="S28" s="204" t="s">
        <v>212</v>
      </c>
      <c r="T28" s="204" t="s">
        <v>212</v>
      </c>
      <c r="U28" s="204" t="s">
        <v>212</v>
      </c>
      <c r="V28" s="204" t="s">
        <v>212</v>
      </c>
    </row>
    <row r="29" spans="1:22" ht="15" customHeight="1">
      <c r="A29" s="77"/>
      <c r="B29" s="21" t="s">
        <v>45</v>
      </c>
      <c r="C29" s="220">
        <v>0</v>
      </c>
      <c r="D29" s="220">
        <v>0</v>
      </c>
      <c r="E29" s="204" t="s">
        <v>212</v>
      </c>
      <c r="F29" s="204" t="s">
        <v>212</v>
      </c>
      <c r="G29" s="204" t="s">
        <v>212</v>
      </c>
      <c r="H29" s="204" t="s">
        <v>212</v>
      </c>
      <c r="I29" s="204" t="s">
        <v>212</v>
      </c>
      <c r="J29" s="204" t="s">
        <v>212</v>
      </c>
      <c r="K29" s="204" t="s">
        <v>212</v>
      </c>
      <c r="L29" s="204" t="s">
        <v>212</v>
      </c>
      <c r="M29" s="204" t="s">
        <v>212</v>
      </c>
      <c r="N29" s="204" t="s">
        <v>212</v>
      </c>
      <c r="O29" s="204" t="s">
        <v>212</v>
      </c>
      <c r="P29" s="204" t="s">
        <v>212</v>
      </c>
      <c r="Q29" s="204" t="s">
        <v>212</v>
      </c>
      <c r="R29" s="204" t="s">
        <v>212</v>
      </c>
      <c r="S29" s="204" t="s">
        <v>212</v>
      </c>
      <c r="T29" s="204" t="s">
        <v>212</v>
      </c>
      <c r="U29" s="204" t="s">
        <v>212</v>
      </c>
      <c r="V29" s="204" t="s">
        <v>212</v>
      </c>
    </row>
    <row r="30" spans="1:22" ht="15" customHeight="1">
      <c r="A30" s="77"/>
      <c r="B30" s="21" t="s">
        <v>46</v>
      </c>
      <c r="C30" s="220">
        <v>0</v>
      </c>
      <c r="D30" s="220">
        <v>0</v>
      </c>
      <c r="E30" s="204" t="s">
        <v>212</v>
      </c>
      <c r="F30" s="204" t="s">
        <v>212</v>
      </c>
      <c r="G30" s="204" t="s">
        <v>212</v>
      </c>
      <c r="H30" s="204" t="s">
        <v>212</v>
      </c>
      <c r="I30" s="204" t="s">
        <v>212</v>
      </c>
      <c r="J30" s="204" t="s">
        <v>212</v>
      </c>
      <c r="K30" s="204" t="s">
        <v>212</v>
      </c>
      <c r="L30" s="204" t="s">
        <v>212</v>
      </c>
      <c r="M30" s="204" t="s">
        <v>212</v>
      </c>
      <c r="N30" s="204" t="s">
        <v>212</v>
      </c>
      <c r="O30" s="204" t="s">
        <v>212</v>
      </c>
      <c r="P30" s="204" t="s">
        <v>212</v>
      </c>
      <c r="Q30" s="204" t="s">
        <v>212</v>
      </c>
      <c r="R30" s="204" t="s">
        <v>212</v>
      </c>
      <c r="S30" s="204" t="s">
        <v>212</v>
      </c>
      <c r="T30" s="204" t="s">
        <v>212</v>
      </c>
      <c r="U30" s="204" t="s">
        <v>212</v>
      </c>
      <c r="V30" s="204" t="s">
        <v>212</v>
      </c>
    </row>
    <row r="31" spans="1:22" ht="15" customHeight="1" thickBot="1">
      <c r="A31" s="82"/>
      <c r="B31" s="434" t="s">
        <v>47</v>
      </c>
      <c r="C31" s="436">
        <v>0</v>
      </c>
      <c r="D31" s="436">
        <v>0</v>
      </c>
      <c r="E31" s="439" t="s">
        <v>212</v>
      </c>
      <c r="F31" s="439" t="s">
        <v>212</v>
      </c>
      <c r="G31" s="439" t="s">
        <v>212</v>
      </c>
      <c r="H31" s="439" t="s">
        <v>212</v>
      </c>
      <c r="I31" s="439" t="s">
        <v>212</v>
      </c>
      <c r="J31" s="439" t="s">
        <v>212</v>
      </c>
      <c r="K31" s="439" t="s">
        <v>212</v>
      </c>
      <c r="L31" s="439" t="s">
        <v>212</v>
      </c>
      <c r="M31" s="439" t="s">
        <v>212</v>
      </c>
      <c r="N31" s="439" t="s">
        <v>212</v>
      </c>
      <c r="O31" s="439" t="s">
        <v>212</v>
      </c>
      <c r="P31" s="439" t="s">
        <v>212</v>
      </c>
      <c r="Q31" s="439" t="s">
        <v>212</v>
      </c>
      <c r="R31" s="439" t="s">
        <v>212</v>
      </c>
      <c r="S31" s="439" t="s">
        <v>212</v>
      </c>
      <c r="T31" s="439" t="s">
        <v>212</v>
      </c>
      <c r="U31" s="439" t="s">
        <v>212</v>
      </c>
      <c r="V31" s="439" t="s">
        <v>212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40">
    <tabColor theme="9" tint="0.59999389629810485"/>
  </sheetPr>
  <dimension ref="A2:V36"/>
  <sheetViews>
    <sheetView showGridLines="0" zoomScaleNormal="100" workbookViewId="0">
      <selection activeCell="S5" sqref="S5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6.59765625" style="76" customWidth="1"/>
    <col min="23" max="23" width="8.19921875" style="76" customWidth="1"/>
    <col min="24" max="16384" width="7" style="76"/>
  </cols>
  <sheetData>
    <row r="2" spans="1:22" ht="18.75" customHeight="1">
      <c r="A2" s="210" t="s">
        <v>506</v>
      </c>
      <c r="B2" s="211"/>
    </row>
    <row r="3" spans="1:22" ht="13.25" customHeight="1">
      <c r="A3" s="212" t="s">
        <v>342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2" ht="18" customHeight="1">
      <c r="A6" s="1020" t="s">
        <v>100</v>
      </c>
      <c r="B6" s="1020"/>
      <c r="C6" s="631">
        <v>2.61</v>
      </c>
      <c r="D6" s="631">
        <v>2.5099999999999998</v>
      </c>
      <c r="E6" s="631">
        <v>2.5</v>
      </c>
      <c r="F6" s="631">
        <v>2.91</v>
      </c>
      <c r="G6" s="631">
        <v>3.13</v>
      </c>
      <c r="H6" s="631">
        <v>3.43</v>
      </c>
      <c r="I6" s="631">
        <v>3.65</v>
      </c>
      <c r="J6" s="631">
        <v>4.03</v>
      </c>
      <c r="K6" s="631">
        <v>4.43</v>
      </c>
      <c r="L6" s="631">
        <v>4.78</v>
      </c>
      <c r="M6" s="631">
        <v>4.6399999999999997</v>
      </c>
      <c r="N6" s="631">
        <v>4.83</v>
      </c>
      <c r="O6" s="631">
        <v>4.92</v>
      </c>
      <c r="P6" s="631">
        <v>4.96</v>
      </c>
      <c r="Q6" s="631">
        <v>4.9400000000000004</v>
      </c>
      <c r="R6" s="631">
        <v>5</v>
      </c>
      <c r="S6" s="631">
        <v>4.88</v>
      </c>
      <c r="T6" s="631">
        <v>4.84</v>
      </c>
      <c r="U6" s="631">
        <v>4.7835597341010958</v>
      </c>
      <c r="V6" s="631">
        <v>4.7840641109549926</v>
      </c>
    </row>
    <row r="7" spans="1:22" ht="3" customHeight="1">
      <c r="A7" s="77"/>
      <c r="B7" s="78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</row>
    <row r="8" spans="1:22" ht="15" customHeight="1">
      <c r="A8" s="77"/>
      <c r="B8" s="21" t="s">
        <v>19</v>
      </c>
      <c r="C8" s="218" t="s">
        <v>73</v>
      </c>
      <c r="D8" s="218" t="s">
        <v>73</v>
      </c>
      <c r="E8" s="218" t="s">
        <v>73</v>
      </c>
      <c r="F8" s="218" t="s">
        <v>73</v>
      </c>
      <c r="G8" s="218" t="s">
        <v>73</v>
      </c>
      <c r="H8" s="218" t="s">
        <v>73</v>
      </c>
      <c r="I8" s="218" t="s">
        <v>73</v>
      </c>
      <c r="J8" s="218" t="s">
        <v>73</v>
      </c>
      <c r="K8" s="218" t="s">
        <v>73</v>
      </c>
      <c r="L8" s="218" t="s">
        <v>73</v>
      </c>
      <c r="M8" s="218" t="s">
        <v>73</v>
      </c>
      <c r="N8" s="218" t="s">
        <v>73</v>
      </c>
      <c r="O8" s="218" t="s">
        <v>73</v>
      </c>
      <c r="P8" s="218" t="s">
        <v>73</v>
      </c>
      <c r="Q8" s="218" t="s">
        <v>73</v>
      </c>
      <c r="R8" s="218" t="s">
        <v>73</v>
      </c>
      <c r="S8" s="218" t="s">
        <v>73</v>
      </c>
      <c r="T8" s="218" t="s">
        <v>73</v>
      </c>
      <c r="U8" s="218" t="s">
        <v>73</v>
      </c>
      <c r="V8" s="218" t="s">
        <v>73</v>
      </c>
    </row>
    <row r="9" spans="1:22" ht="15" customHeight="1">
      <c r="A9" s="77"/>
      <c r="B9" s="21" t="s">
        <v>20</v>
      </c>
      <c r="C9" s="218" t="s">
        <v>73</v>
      </c>
      <c r="D9" s="218" t="s">
        <v>73</v>
      </c>
      <c r="E9" s="218" t="s">
        <v>73</v>
      </c>
      <c r="F9" s="218" t="s">
        <v>73</v>
      </c>
      <c r="G9" s="218" t="s">
        <v>73</v>
      </c>
      <c r="H9" s="218" t="s">
        <v>73</v>
      </c>
      <c r="I9" s="218" t="s">
        <v>73</v>
      </c>
      <c r="J9" s="218" t="s">
        <v>73</v>
      </c>
      <c r="K9" s="218" t="s">
        <v>73</v>
      </c>
      <c r="L9" s="218" t="s">
        <v>73</v>
      </c>
      <c r="M9" s="218" t="s">
        <v>73</v>
      </c>
      <c r="N9" s="218" t="s">
        <v>73</v>
      </c>
      <c r="O9" s="218" t="s">
        <v>73</v>
      </c>
      <c r="P9" s="218" t="s">
        <v>73</v>
      </c>
      <c r="Q9" s="218" t="s">
        <v>73</v>
      </c>
      <c r="R9" s="218" t="s">
        <v>73</v>
      </c>
      <c r="S9" s="218" t="s">
        <v>73</v>
      </c>
      <c r="T9" s="218" t="s">
        <v>73</v>
      </c>
      <c r="U9" s="218" t="s">
        <v>73</v>
      </c>
      <c r="V9" s="218" t="s">
        <v>73</v>
      </c>
    </row>
    <row r="10" spans="1:22" ht="15" customHeight="1">
      <c r="A10" s="77"/>
      <c r="B10" s="21" t="s">
        <v>21</v>
      </c>
      <c r="C10" s="218" t="s">
        <v>73</v>
      </c>
      <c r="D10" s="218" t="s">
        <v>73</v>
      </c>
      <c r="E10" s="218" t="s">
        <v>73</v>
      </c>
      <c r="F10" s="218" t="s">
        <v>73</v>
      </c>
      <c r="G10" s="218" t="s">
        <v>73</v>
      </c>
      <c r="H10" s="218" t="s">
        <v>73</v>
      </c>
      <c r="I10" s="218" t="s">
        <v>73</v>
      </c>
      <c r="J10" s="218" t="s">
        <v>73</v>
      </c>
      <c r="K10" s="218" t="s">
        <v>73</v>
      </c>
      <c r="L10" s="218" t="s">
        <v>73</v>
      </c>
      <c r="M10" s="218" t="s">
        <v>73</v>
      </c>
      <c r="N10" s="218" t="s">
        <v>73</v>
      </c>
      <c r="O10" s="218" t="s">
        <v>73</v>
      </c>
      <c r="P10" s="218" t="s">
        <v>73</v>
      </c>
      <c r="Q10" s="218" t="s">
        <v>73</v>
      </c>
      <c r="R10" s="218" t="s">
        <v>73</v>
      </c>
      <c r="S10" s="218" t="s">
        <v>73</v>
      </c>
      <c r="T10" s="218" t="s">
        <v>73</v>
      </c>
      <c r="U10" s="218" t="s">
        <v>73</v>
      </c>
      <c r="V10" s="218" t="s">
        <v>73</v>
      </c>
    </row>
    <row r="11" spans="1:22" ht="15" customHeight="1">
      <c r="A11" s="77"/>
      <c r="B11" s="21" t="s">
        <v>22</v>
      </c>
      <c r="C11" s="218">
        <v>2.56</v>
      </c>
      <c r="D11" s="218">
        <v>2.6</v>
      </c>
      <c r="E11" s="218">
        <v>2.1800000000000002</v>
      </c>
      <c r="F11" s="218">
        <v>2.72</v>
      </c>
      <c r="G11" s="218">
        <v>2.93</v>
      </c>
      <c r="H11" s="218">
        <v>2.92</v>
      </c>
      <c r="I11" s="218">
        <v>3.11</v>
      </c>
      <c r="J11" s="218">
        <v>3.07</v>
      </c>
      <c r="K11" s="218">
        <v>3.07</v>
      </c>
      <c r="L11" s="218">
        <v>4.67</v>
      </c>
      <c r="M11" s="218">
        <v>4.7</v>
      </c>
      <c r="N11" s="218">
        <v>4.5599999999999996</v>
      </c>
      <c r="O11" s="218">
        <v>4.68</v>
      </c>
      <c r="P11" s="218">
        <v>4.57</v>
      </c>
      <c r="Q11" s="218">
        <v>4.63</v>
      </c>
      <c r="R11" s="218">
        <v>4.6100000000000003</v>
      </c>
      <c r="S11" s="218">
        <v>4.53</v>
      </c>
      <c r="T11" s="218">
        <v>4.43</v>
      </c>
      <c r="U11" s="218">
        <v>4.4436200867078304</v>
      </c>
      <c r="V11" s="218">
        <v>4.4873171611436042</v>
      </c>
    </row>
    <row r="12" spans="1:22" ht="15" customHeight="1">
      <c r="A12" s="77"/>
      <c r="B12" s="21" t="s">
        <v>23</v>
      </c>
      <c r="C12" s="218" t="s">
        <v>73</v>
      </c>
      <c r="D12" s="218" t="s">
        <v>73</v>
      </c>
      <c r="E12" s="218" t="s">
        <v>73</v>
      </c>
      <c r="F12" s="218" t="s">
        <v>73</v>
      </c>
      <c r="G12" s="218" t="s">
        <v>73</v>
      </c>
      <c r="H12" s="218" t="s">
        <v>73</v>
      </c>
      <c r="I12" s="218" t="s">
        <v>73</v>
      </c>
      <c r="J12" s="218" t="s">
        <v>73</v>
      </c>
      <c r="K12" s="218" t="s">
        <v>73</v>
      </c>
      <c r="L12" s="218" t="s">
        <v>73</v>
      </c>
      <c r="M12" s="218" t="s">
        <v>73</v>
      </c>
      <c r="N12" s="218" t="s">
        <v>73</v>
      </c>
      <c r="O12" s="218" t="s">
        <v>73</v>
      </c>
      <c r="P12" s="218" t="s">
        <v>73</v>
      </c>
      <c r="Q12" s="218" t="s">
        <v>73</v>
      </c>
      <c r="R12" s="218" t="s">
        <v>73</v>
      </c>
      <c r="S12" s="218" t="s">
        <v>73</v>
      </c>
      <c r="T12" s="218" t="s">
        <v>73</v>
      </c>
      <c r="U12" s="218" t="s">
        <v>73</v>
      </c>
      <c r="V12" s="218" t="s">
        <v>73</v>
      </c>
    </row>
    <row r="13" spans="1:22" ht="15" customHeight="1">
      <c r="A13" s="77"/>
      <c r="B13" s="21" t="s">
        <v>27</v>
      </c>
      <c r="C13" s="218" t="s">
        <v>73</v>
      </c>
      <c r="D13" s="218" t="s">
        <v>73</v>
      </c>
      <c r="E13" s="218" t="s">
        <v>73</v>
      </c>
      <c r="F13" s="218" t="s">
        <v>73</v>
      </c>
      <c r="G13" s="218" t="s">
        <v>73</v>
      </c>
      <c r="H13" s="218" t="s">
        <v>73</v>
      </c>
      <c r="I13" s="218" t="s">
        <v>73</v>
      </c>
      <c r="J13" s="218" t="s">
        <v>73</v>
      </c>
      <c r="K13" s="218" t="s">
        <v>73</v>
      </c>
      <c r="L13" s="218" t="s">
        <v>73</v>
      </c>
      <c r="M13" s="218" t="s">
        <v>73</v>
      </c>
      <c r="N13" s="218" t="s">
        <v>73</v>
      </c>
      <c r="O13" s="218" t="s">
        <v>73</v>
      </c>
      <c r="P13" s="218" t="s">
        <v>73</v>
      </c>
      <c r="Q13" s="218" t="s">
        <v>73</v>
      </c>
      <c r="R13" s="218" t="s">
        <v>73</v>
      </c>
      <c r="S13" s="218" t="s">
        <v>73</v>
      </c>
      <c r="T13" s="218" t="s">
        <v>73</v>
      </c>
      <c r="U13" s="218" t="s">
        <v>73</v>
      </c>
      <c r="V13" s="218" t="s">
        <v>73</v>
      </c>
    </row>
    <row r="14" spans="1:22" ht="15" customHeight="1">
      <c r="A14" s="77"/>
      <c r="B14" s="21" t="s">
        <v>28</v>
      </c>
      <c r="C14" s="218">
        <v>2.4</v>
      </c>
      <c r="D14" s="218">
        <v>2.5</v>
      </c>
      <c r="E14" s="218">
        <v>2.41</v>
      </c>
      <c r="F14" s="218">
        <v>2.34</v>
      </c>
      <c r="G14" s="218">
        <v>2.4900000000000002</v>
      </c>
      <c r="H14" s="218">
        <v>2.77</v>
      </c>
      <c r="I14" s="218">
        <v>3.08</v>
      </c>
      <c r="J14" s="218">
        <v>3.36</v>
      </c>
      <c r="K14" s="218">
        <v>3.39</v>
      </c>
      <c r="L14" s="218">
        <v>3.78</v>
      </c>
      <c r="M14" s="218">
        <v>3.94</v>
      </c>
      <c r="N14" s="218">
        <v>4.04</v>
      </c>
      <c r="O14" s="218">
        <v>4</v>
      </c>
      <c r="P14" s="218">
        <v>3.95</v>
      </c>
      <c r="Q14" s="218">
        <v>4.09</v>
      </c>
      <c r="R14" s="218">
        <v>4.51</v>
      </c>
      <c r="S14" s="218">
        <v>4.0599999999999996</v>
      </c>
      <c r="T14" s="218">
        <v>4.01</v>
      </c>
      <c r="U14" s="218">
        <v>4.0252749614675114</v>
      </c>
      <c r="V14" s="218">
        <v>4.0555754744451047</v>
      </c>
    </row>
    <row r="15" spans="1:22" ht="15" customHeight="1">
      <c r="A15" s="77"/>
      <c r="B15" s="21" t="s">
        <v>29</v>
      </c>
      <c r="C15" s="218">
        <v>2.78</v>
      </c>
      <c r="D15" s="218">
        <v>2.89</v>
      </c>
      <c r="E15" s="218">
        <v>2.8</v>
      </c>
      <c r="F15" s="218">
        <v>3.13</v>
      </c>
      <c r="G15" s="218">
        <v>3.02</v>
      </c>
      <c r="H15" s="218">
        <v>3.18</v>
      </c>
      <c r="I15" s="218">
        <v>3.34</v>
      </c>
      <c r="J15" s="218">
        <v>3.28</v>
      </c>
      <c r="K15" s="218">
        <v>3.58</v>
      </c>
      <c r="L15" s="218">
        <v>3.78</v>
      </c>
      <c r="M15" s="218">
        <v>4.29</v>
      </c>
      <c r="N15" s="218">
        <v>4.93</v>
      </c>
      <c r="O15" s="218">
        <v>4.24</v>
      </c>
      <c r="P15" s="218">
        <v>4.25</v>
      </c>
      <c r="Q15" s="218">
        <v>4.21</v>
      </c>
      <c r="R15" s="218">
        <v>4.2300000000000004</v>
      </c>
      <c r="S15" s="218">
        <v>4.2</v>
      </c>
      <c r="T15" s="218">
        <v>4.13</v>
      </c>
      <c r="U15" s="218">
        <v>4.1804754084957407</v>
      </c>
      <c r="V15" s="218">
        <v>4.2550268705395951</v>
      </c>
    </row>
    <row r="16" spans="1:22" ht="15" customHeight="1">
      <c r="A16" s="77"/>
      <c r="B16" s="21" t="s">
        <v>30</v>
      </c>
      <c r="C16" s="218" t="s">
        <v>73</v>
      </c>
      <c r="D16" s="218" t="s">
        <v>73</v>
      </c>
      <c r="E16" s="218" t="s">
        <v>73</v>
      </c>
      <c r="F16" s="218" t="s">
        <v>73</v>
      </c>
      <c r="G16" s="218" t="s">
        <v>73</v>
      </c>
      <c r="H16" s="218" t="s">
        <v>73</v>
      </c>
      <c r="I16" s="218" t="s">
        <v>73</v>
      </c>
      <c r="J16" s="218" t="s">
        <v>73</v>
      </c>
      <c r="K16" s="218" t="s">
        <v>73</v>
      </c>
      <c r="L16" s="218" t="s">
        <v>73</v>
      </c>
      <c r="M16" s="218" t="s">
        <v>73</v>
      </c>
      <c r="N16" s="218" t="s">
        <v>73</v>
      </c>
      <c r="O16" s="218" t="s">
        <v>73</v>
      </c>
      <c r="P16" s="218" t="s">
        <v>73</v>
      </c>
      <c r="Q16" s="218" t="s">
        <v>73</v>
      </c>
      <c r="R16" s="218" t="s">
        <v>73</v>
      </c>
      <c r="S16" s="218" t="s">
        <v>73</v>
      </c>
      <c r="T16" s="218" t="s">
        <v>73</v>
      </c>
      <c r="U16" s="218" t="s">
        <v>73</v>
      </c>
      <c r="V16" s="218" t="s">
        <v>73</v>
      </c>
    </row>
    <row r="17" spans="1:22" ht="15" customHeight="1">
      <c r="A17" s="77"/>
      <c r="B17" s="21" t="s">
        <v>31</v>
      </c>
      <c r="C17" s="218" t="s">
        <v>73</v>
      </c>
      <c r="D17" s="218" t="s">
        <v>73</v>
      </c>
      <c r="E17" s="218" t="s">
        <v>73</v>
      </c>
      <c r="F17" s="218" t="s">
        <v>73</v>
      </c>
      <c r="G17" s="218" t="s">
        <v>73</v>
      </c>
      <c r="H17" s="218" t="s">
        <v>73</v>
      </c>
      <c r="I17" s="218" t="s">
        <v>73</v>
      </c>
      <c r="J17" s="218" t="s">
        <v>73</v>
      </c>
      <c r="K17" s="218" t="s">
        <v>73</v>
      </c>
      <c r="L17" s="218">
        <v>4.4000000000000004</v>
      </c>
      <c r="M17" s="218">
        <v>4.71</v>
      </c>
      <c r="N17" s="218">
        <v>4.91</v>
      </c>
      <c r="O17" s="218">
        <v>4.84</v>
      </c>
      <c r="P17" s="218">
        <v>4.84</v>
      </c>
      <c r="Q17" s="218">
        <v>4.79</v>
      </c>
      <c r="R17" s="218">
        <v>4.7</v>
      </c>
      <c r="S17" s="218">
        <v>4.54</v>
      </c>
      <c r="T17" s="218">
        <v>4.43</v>
      </c>
      <c r="U17" s="218">
        <v>4.3485011633688924</v>
      </c>
      <c r="V17" s="218">
        <v>4.377875919792265</v>
      </c>
    </row>
    <row r="18" spans="1:22" ht="15" customHeight="1">
      <c r="A18" s="77"/>
      <c r="B18" s="21" t="s">
        <v>32</v>
      </c>
      <c r="C18" s="218">
        <v>2.21</v>
      </c>
      <c r="D18" s="218">
        <v>2.27</v>
      </c>
      <c r="E18" s="218">
        <v>2.85</v>
      </c>
      <c r="F18" s="218">
        <v>3.27</v>
      </c>
      <c r="G18" s="218">
        <v>3.54</v>
      </c>
      <c r="H18" s="218">
        <v>3.48</v>
      </c>
      <c r="I18" s="218">
        <v>4.0999999999999996</v>
      </c>
      <c r="J18" s="218">
        <v>3.71</v>
      </c>
      <c r="K18" s="218">
        <v>3.64</v>
      </c>
      <c r="L18" s="218">
        <v>4.2300000000000004</v>
      </c>
      <c r="M18" s="218">
        <v>5.19</v>
      </c>
      <c r="N18" s="218">
        <v>4.92</v>
      </c>
      <c r="O18" s="218">
        <v>4.8099999999999996</v>
      </c>
      <c r="P18" s="218">
        <v>4.78</v>
      </c>
      <c r="Q18" s="218">
        <v>4.72</v>
      </c>
      <c r="R18" s="218">
        <v>4.53</v>
      </c>
      <c r="S18" s="218">
        <v>4.4400000000000004</v>
      </c>
      <c r="T18" s="218">
        <v>4.3600000000000003</v>
      </c>
      <c r="U18" s="218">
        <v>4.329788647560199</v>
      </c>
      <c r="V18" s="218">
        <v>4.3525505461351717</v>
      </c>
    </row>
    <row r="19" spans="1:22" ht="15" customHeight="1">
      <c r="A19" s="77"/>
      <c r="B19" s="21" t="s">
        <v>33</v>
      </c>
      <c r="C19" s="218">
        <v>2.17</v>
      </c>
      <c r="D19" s="218">
        <v>2.2400000000000002</v>
      </c>
      <c r="E19" s="218">
        <v>2.35</v>
      </c>
      <c r="F19" s="218">
        <v>2.95</v>
      </c>
      <c r="G19" s="218">
        <v>3.4</v>
      </c>
      <c r="H19" s="218">
        <v>3.39</v>
      </c>
      <c r="I19" s="218">
        <v>3.58</v>
      </c>
      <c r="J19" s="218">
        <v>3.8</v>
      </c>
      <c r="K19" s="218">
        <v>3.9</v>
      </c>
      <c r="L19" s="218">
        <v>3.99</v>
      </c>
      <c r="M19" s="218">
        <v>4.25</v>
      </c>
      <c r="N19" s="218">
        <v>4.57</v>
      </c>
      <c r="O19" s="218">
        <v>4.96</v>
      </c>
      <c r="P19" s="218">
        <v>4.75</v>
      </c>
      <c r="Q19" s="218">
        <v>4.96</v>
      </c>
      <c r="R19" s="218">
        <v>4.88</v>
      </c>
      <c r="S19" s="218">
        <v>4.76</v>
      </c>
      <c r="T19" s="218">
        <v>4.6500000000000004</v>
      </c>
      <c r="U19" s="218">
        <v>4.5962310664773689</v>
      </c>
      <c r="V19" s="218">
        <v>4.6227735445353213</v>
      </c>
    </row>
    <row r="20" spans="1:22" ht="15" customHeight="1">
      <c r="A20" s="77"/>
      <c r="B20" s="21" t="s">
        <v>34</v>
      </c>
      <c r="C20" s="218">
        <v>3.1</v>
      </c>
      <c r="D20" s="218">
        <v>2.4700000000000002</v>
      </c>
      <c r="E20" s="218">
        <v>2.23</v>
      </c>
      <c r="F20" s="218">
        <v>2.72</v>
      </c>
      <c r="G20" s="218">
        <v>3.53</v>
      </c>
      <c r="H20" s="218">
        <v>3.29</v>
      </c>
      <c r="I20" s="218">
        <v>3.65</v>
      </c>
      <c r="J20" s="218">
        <v>3.67</v>
      </c>
      <c r="K20" s="218">
        <v>4.09</v>
      </c>
      <c r="L20" s="218">
        <v>3.84</v>
      </c>
      <c r="M20" s="218">
        <v>4.5</v>
      </c>
      <c r="N20" s="218">
        <v>4.66</v>
      </c>
      <c r="O20" s="218">
        <v>4.5199999999999996</v>
      </c>
      <c r="P20" s="218">
        <v>4.5</v>
      </c>
      <c r="Q20" s="218">
        <v>4.49</v>
      </c>
      <c r="R20" s="218">
        <v>4.43</v>
      </c>
      <c r="S20" s="218">
        <v>4.38</v>
      </c>
      <c r="T20" s="218">
        <v>4.3099999999999996</v>
      </c>
      <c r="U20" s="218">
        <v>4.2449492436735357</v>
      </c>
      <c r="V20" s="218">
        <v>4.2382518305063677</v>
      </c>
    </row>
    <row r="21" spans="1:22" ht="15" customHeight="1">
      <c r="A21" s="77"/>
      <c r="B21" s="21" t="s">
        <v>35</v>
      </c>
      <c r="C21" s="218">
        <v>2.61</v>
      </c>
      <c r="D21" s="218">
        <v>2.23</v>
      </c>
      <c r="E21" s="218">
        <v>1.89</v>
      </c>
      <c r="F21" s="218">
        <v>2.81</v>
      </c>
      <c r="G21" s="218">
        <v>3.02</v>
      </c>
      <c r="H21" s="218">
        <v>3.17</v>
      </c>
      <c r="I21" s="218">
        <v>3.49</v>
      </c>
      <c r="J21" s="218">
        <v>4.1900000000000004</v>
      </c>
      <c r="K21" s="218">
        <v>4.68</v>
      </c>
      <c r="L21" s="218">
        <v>4.7300000000000004</v>
      </c>
      <c r="M21" s="218">
        <v>4.68</v>
      </c>
      <c r="N21" s="218">
        <v>4.67</v>
      </c>
      <c r="O21" s="218">
        <v>4.8499999999999996</v>
      </c>
      <c r="P21" s="218">
        <v>4.93</v>
      </c>
      <c r="Q21" s="218">
        <v>4.9800000000000004</v>
      </c>
      <c r="R21" s="218">
        <v>4.9000000000000004</v>
      </c>
      <c r="S21" s="218">
        <v>4.7699999999999996</v>
      </c>
      <c r="T21" s="218">
        <v>4.67</v>
      </c>
      <c r="U21" s="218">
        <v>4.7096998663478198</v>
      </c>
      <c r="V21" s="218">
        <v>4.7664832475776731</v>
      </c>
    </row>
    <row r="22" spans="1:22" ht="15" customHeight="1">
      <c r="A22" s="77"/>
      <c r="B22" s="21" t="s">
        <v>36</v>
      </c>
      <c r="C22" s="218">
        <v>2.31</v>
      </c>
      <c r="D22" s="218">
        <v>2.2799999999999998</v>
      </c>
      <c r="E22" s="218">
        <v>2.2999999999999998</v>
      </c>
      <c r="F22" s="218">
        <v>2.61</v>
      </c>
      <c r="G22" s="218">
        <v>2.9</v>
      </c>
      <c r="H22" s="218">
        <v>3</v>
      </c>
      <c r="I22" s="218">
        <v>3.25</v>
      </c>
      <c r="J22" s="218">
        <v>3.7</v>
      </c>
      <c r="K22" s="218">
        <v>3.91</v>
      </c>
      <c r="L22" s="218">
        <v>4.6500000000000004</v>
      </c>
      <c r="M22" s="218">
        <v>4.67</v>
      </c>
      <c r="N22" s="218">
        <v>4.5999999999999996</v>
      </c>
      <c r="O22" s="218">
        <v>4.54</v>
      </c>
      <c r="P22" s="218">
        <v>4.7</v>
      </c>
      <c r="Q22" s="218">
        <v>4.6900000000000004</v>
      </c>
      <c r="R22" s="218">
        <v>4.62</v>
      </c>
      <c r="S22" s="218">
        <v>4.5</v>
      </c>
      <c r="T22" s="218">
        <v>4.4000000000000004</v>
      </c>
      <c r="U22" s="218">
        <v>4.3453783542406468</v>
      </c>
      <c r="V22" s="218">
        <v>4.3637569146381523</v>
      </c>
    </row>
    <row r="23" spans="1:22" ht="15" customHeight="1">
      <c r="A23" s="77"/>
      <c r="B23" s="21" t="s">
        <v>37</v>
      </c>
      <c r="C23" s="218">
        <v>2.81</v>
      </c>
      <c r="D23" s="218">
        <v>3.06</v>
      </c>
      <c r="E23" s="218">
        <v>2.42</v>
      </c>
      <c r="F23" s="218">
        <v>2.74</v>
      </c>
      <c r="G23" s="218">
        <v>2.91</v>
      </c>
      <c r="H23" s="218">
        <v>3.11</v>
      </c>
      <c r="I23" s="218">
        <v>3.31</v>
      </c>
      <c r="J23" s="218">
        <v>3.8</v>
      </c>
      <c r="K23" s="218">
        <v>4.01</v>
      </c>
      <c r="L23" s="218">
        <v>4.7699999999999996</v>
      </c>
      <c r="M23" s="218">
        <v>4.87</v>
      </c>
      <c r="N23" s="218">
        <v>4.74</v>
      </c>
      <c r="O23" s="218">
        <v>4.72</v>
      </c>
      <c r="P23" s="218">
        <v>4.8499999999999996</v>
      </c>
      <c r="Q23" s="218">
        <v>4.93</v>
      </c>
      <c r="R23" s="218">
        <v>4.95</v>
      </c>
      <c r="S23" s="218">
        <v>4.93</v>
      </c>
      <c r="T23" s="218">
        <v>4.87</v>
      </c>
      <c r="U23" s="218">
        <v>4.8604292713133033</v>
      </c>
      <c r="V23" s="218">
        <v>4.9060158510541267</v>
      </c>
    </row>
    <row r="24" spans="1:22" ht="15" customHeight="1">
      <c r="A24" s="77"/>
      <c r="B24" s="21" t="s">
        <v>38</v>
      </c>
      <c r="C24" s="218">
        <v>2.44</v>
      </c>
      <c r="D24" s="218">
        <v>2.4300000000000002</v>
      </c>
      <c r="E24" s="218">
        <v>2.37</v>
      </c>
      <c r="F24" s="218">
        <v>2.83</v>
      </c>
      <c r="G24" s="218">
        <v>3.09</v>
      </c>
      <c r="H24" s="218">
        <v>3.5</v>
      </c>
      <c r="I24" s="218">
        <v>3.52</v>
      </c>
      <c r="J24" s="218">
        <v>3.75</v>
      </c>
      <c r="K24" s="218">
        <v>3.88</v>
      </c>
      <c r="L24" s="218">
        <v>4.03</v>
      </c>
      <c r="M24" s="218">
        <v>4.2300000000000004</v>
      </c>
      <c r="N24" s="218">
        <v>4.54</v>
      </c>
      <c r="O24" s="218">
        <v>4.5</v>
      </c>
      <c r="P24" s="218">
        <v>4.57</v>
      </c>
      <c r="Q24" s="218">
        <v>4.5599999999999996</v>
      </c>
      <c r="R24" s="218">
        <v>4.45</v>
      </c>
      <c r="S24" s="218">
        <v>4.2300000000000004</v>
      </c>
      <c r="T24" s="218">
        <v>4.08</v>
      </c>
      <c r="U24" s="218">
        <v>4.0194472343542342</v>
      </c>
      <c r="V24" s="218">
        <v>4.036947040987048</v>
      </c>
    </row>
    <row r="25" spans="1:22" ht="15" customHeight="1">
      <c r="A25" s="77"/>
      <c r="B25" s="21" t="s">
        <v>39</v>
      </c>
      <c r="C25" s="218">
        <v>2.85</v>
      </c>
      <c r="D25" s="218">
        <v>2.67</v>
      </c>
      <c r="E25" s="218">
        <v>2.38</v>
      </c>
      <c r="F25" s="218">
        <v>2.36</v>
      </c>
      <c r="G25" s="218">
        <v>2.4900000000000002</v>
      </c>
      <c r="H25" s="218">
        <v>2.77</v>
      </c>
      <c r="I25" s="218">
        <v>3.69</v>
      </c>
      <c r="J25" s="218">
        <v>3.91</v>
      </c>
      <c r="K25" s="218">
        <v>3.46</v>
      </c>
      <c r="L25" s="218">
        <v>3.64</v>
      </c>
      <c r="M25" s="218">
        <v>3.7</v>
      </c>
      <c r="N25" s="218">
        <v>3.69</v>
      </c>
      <c r="O25" s="218">
        <v>3.73</v>
      </c>
      <c r="P25" s="218">
        <v>3.85</v>
      </c>
      <c r="Q25" s="218">
        <v>3.87</v>
      </c>
      <c r="R25" s="218">
        <v>3.85</v>
      </c>
      <c r="S25" s="218">
        <v>3.78</v>
      </c>
      <c r="T25" s="218">
        <v>3.71</v>
      </c>
      <c r="U25" s="218">
        <v>3.6335994304442267</v>
      </c>
      <c r="V25" s="218">
        <v>3.6375569212348804</v>
      </c>
    </row>
    <row r="26" spans="1:22" ht="15" customHeight="1">
      <c r="A26" s="77"/>
      <c r="B26" s="21" t="s">
        <v>42</v>
      </c>
      <c r="C26" s="218">
        <v>2.86</v>
      </c>
      <c r="D26" s="218">
        <v>2.98</v>
      </c>
      <c r="E26" s="218">
        <v>2.65</v>
      </c>
      <c r="F26" s="218">
        <v>2.72</v>
      </c>
      <c r="G26" s="218">
        <v>2.72</v>
      </c>
      <c r="H26" s="218">
        <v>3.07</v>
      </c>
      <c r="I26" s="218">
        <v>3.47</v>
      </c>
      <c r="J26" s="218">
        <v>3.72</v>
      </c>
      <c r="K26" s="218">
        <v>3.97</v>
      </c>
      <c r="L26" s="218">
        <v>4.0999999999999996</v>
      </c>
      <c r="M26" s="218">
        <v>4.1500000000000004</v>
      </c>
      <c r="N26" s="218">
        <v>4.16</v>
      </c>
      <c r="O26" s="218">
        <v>4.12</v>
      </c>
      <c r="P26" s="218">
        <v>4.33</v>
      </c>
      <c r="Q26" s="218">
        <v>4.46</v>
      </c>
      <c r="R26" s="218">
        <v>4.4800000000000004</v>
      </c>
      <c r="S26" s="218">
        <v>4.51</v>
      </c>
      <c r="T26" s="218">
        <v>4.75</v>
      </c>
      <c r="U26" s="218">
        <v>4.8656360570397066</v>
      </c>
      <c r="V26" s="218">
        <v>4.8801466180755169</v>
      </c>
    </row>
    <row r="27" spans="1:22" ht="15" customHeight="1">
      <c r="A27" s="77"/>
      <c r="B27" s="21" t="s">
        <v>43</v>
      </c>
      <c r="C27" s="218">
        <v>2.5</v>
      </c>
      <c r="D27" s="218">
        <v>2.4300000000000002</v>
      </c>
      <c r="E27" s="218">
        <v>2.64</v>
      </c>
      <c r="F27" s="218">
        <v>3.06</v>
      </c>
      <c r="G27" s="218">
        <v>3.28</v>
      </c>
      <c r="H27" s="218">
        <v>3.67</v>
      </c>
      <c r="I27" s="218">
        <v>3.78</v>
      </c>
      <c r="J27" s="218">
        <v>4.25</v>
      </c>
      <c r="K27" s="218">
        <v>4.8099999999999996</v>
      </c>
      <c r="L27" s="218">
        <v>5.45</v>
      </c>
      <c r="M27" s="218">
        <v>4.99</v>
      </c>
      <c r="N27" s="218">
        <v>5.33</v>
      </c>
      <c r="O27" s="218">
        <v>5.55</v>
      </c>
      <c r="P27" s="218">
        <v>5.49</v>
      </c>
      <c r="Q27" s="218">
        <v>5.38</v>
      </c>
      <c r="R27" s="218">
        <v>5.54</v>
      </c>
      <c r="S27" s="218">
        <v>5.36</v>
      </c>
      <c r="T27" s="218">
        <v>5.25</v>
      </c>
      <c r="U27" s="218">
        <v>5.0663046281839428</v>
      </c>
      <c r="V27" s="218">
        <v>5.0378736285540375</v>
      </c>
    </row>
    <row r="28" spans="1:22" ht="15" customHeight="1">
      <c r="A28" s="77"/>
      <c r="B28" s="76" t="s">
        <v>44</v>
      </c>
      <c r="C28" s="218" t="s">
        <v>73</v>
      </c>
      <c r="D28" s="218" t="s">
        <v>73</v>
      </c>
      <c r="E28" s="218" t="s">
        <v>73</v>
      </c>
      <c r="F28" s="218" t="s">
        <v>73</v>
      </c>
      <c r="G28" s="218" t="s">
        <v>73</v>
      </c>
      <c r="H28" s="218" t="s">
        <v>73</v>
      </c>
      <c r="I28" s="218" t="s">
        <v>73</v>
      </c>
      <c r="J28" s="218" t="s">
        <v>73</v>
      </c>
      <c r="K28" s="218" t="s">
        <v>73</v>
      </c>
      <c r="L28" s="218" t="s">
        <v>73</v>
      </c>
      <c r="M28" s="218" t="s">
        <v>73</v>
      </c>
      <c r="N28" s="218" t="s">
        <v>73</v>
      </c>
      <c r="O28" s="218" t="s">
        <v>73</v>
      </c>
      <c r="P28" s="218" t="s">
        <v>73</v>
      </c>
      <c r="Q28" s="218" t="s">
        <v>73</v>
      </c>
      <c r="R28" s="218" t="s">
        <v>73</v>
      </c>
      <c r="S28" s="218" t="s">
        <v>73</v>
      </c>
      <c r="T28" s="218" t="s">
        <v>73</v>
      </c>
      <c r="U28" s="218" t="s">
        <v>73</v>
      </c>
      <c r="V28" s="218" t="s">
        <v>73</v>
      </c>
    </row>
    <row r="29" spans="1:22" ht="15" customHeight="1">
      <c r="A29" s="77"/>
      <c r="B29" s="21" t="s">
        <v>45</v>
      </c>
      <c r="C29" s="218" t="s">
        <v>73</v>
      </c>
      <c r="D29" s="218" t="s">
        <v>73</v>
      </c>
      <c r="E29" s="218" t="s">
        <v>73</v>
      </c>
      <c r="F29" s="218" t="s">
        <v>73</v>
      </c>
      <c r="G29" s="218" t="s">
        <v>73</v>
      </c>
      <c r="H29" s="218" t="s">
        <v>73</v>
      </c>
      <c r="I29" s="218" t="s">
        <v>73</v>
      </c>
      <c r="J29" s="218" t="s">
        <v>73</v>
      </c>
      <c r="K29" s="218" t="s">
        <v>73</v>
      </c>
      <c r="L29" s="218" t="s">
        <v>73</v>
      </c>
      <c r="M29" s="218" t="s">
        <v>73</v>
      </c>
      <c r="N29" s="218" t="s">
        <v>73</v>
      </c>
      <c r="O29" s="218" t="s">
        <v>73</v>
      </c>
      <c r="P29" s="218" t="s">
        <v>73</v>
      </c>
      <c r="Q29" s="218" t="s">
        <v>73</v>
      </c>
      <c r="R29" s="218" t="s">
        <v>73</v>
      </c>
      <c r="S29" s="218" t="s">
        <v>73</v>
      </c>
      <c r="T29" s="218" t="s">
        <v>73</v>
      </c>
      <c r="U29" s="218" t="s">
        <v>73</v>
      </c>
      <c r="V29" s="218" t="s">
        <v>73</v>
      </c>
    </row>
    <row r="30" spans="1:22" ht="15" customHeight="1">
      <c r="A30" s="77"/>
      <c r="B30" s="21" t="s">
        <v>46</v>
      </c>
      <c r="C30" s="218" t="s">
        <v>73</v>
      </c>
      <c r="D30" s="218" t="s">
        <v>73</v>
      </c>
      <c r="E30" s="218" t="s">
        <v>73</v>
      </c>
      <c r="F30" s="218" t="s">
        <v>73</v>
      </c>
      <c r="G30" s="218" t="s">
        <v>73</v>
      </c>
      <c r="H30" s="218" t="s">
        <v>73</v>
      </c>
      <c r="I30" s="218" t="s">
        <v>73</v>
      </c>
      <c r="J30" s="218" t="s">
        <v>73</v>
      </c>
      <c r="K30" s="218" t="s">
        <v>73</v>
      </c>
      <c r="L30" s="218" t="s">
        <v>73</v>
      </c>
      <c r="M30" s="218" t="s">
        <v>73</v>
      </c>
      <c r="N30" s="218" t="s">
        <v>73</v>
      </c>
      <c r="O30" s="218" t="s">
        <v>73</v>
      </c>
      <c r="P30" s="218" t="s">
        <v>73</v>
      </c>
      <c r="Q30" s="218" t="s">
        <v>73</v>
      </c>
      <c r="R30" s="218" t="s">
        <v>73</v>
      </c>
      <c r="S30" s="218" t="s">
        <v>73</v>
      </c>
      <c r="T30" s="218" t="s">
        <v>73</v>
      </c>
      <c r="U30" s="218" t="s">
        <v>73</v>
      </c>
      <c r="V30" s="218" t="s">
        <v>73</v>
      </c>
    </row>
    <row r="31" spans="1:22" ht="15" customHeight="1" thickBot="1">
      <c r="A31" s="82"/>
      <c r="B31" s="434" t="s">
        <v>47</v>
      </c>
      <c r="C31" s="433" t="s">
        <v>73</v>
      </c>
      <c r="D31" s="433" t="s">
        <v>73</v>
      </c>
      <c r="E31" s="433" t="s">
        <v>73</v>
      </c>
      <c r="F31" s="433" t="s">
        <v>73</v>
      </c>
      <c r="G31" s="433" t="s">
        <v>73</v>
      </c>
      <c r="H31" s="433" t="s">
        <v>73</v>
      </c>
      <c r="I31" s="433" t="s">
        <v>73</v>
      </c>
      <c r="J31" s="433" t="s">
        <v>73</v>
      </c>
      <c r="K31" s="433" t="s">
        <v>73</v>
      </c>
      <c r="L31" s="433" t="s">
        <v>73</v>
      </c>
      <c r="M31" s="433" t="s">
        <v>73</v>
      </c>
      <c r="N31" s="433" t="s">
        <v>73</v>
      </c>
      <c r="O31" s="433" t="s">
        <v>73</v>
      </c>
      <c r="P31" s="433" t="s">
        <v>73</v>
      </c>
      <c r="Q31" s="433" t="s">
        <v>73</v>
      </c>
      <c r="R31" s="433" t="s">
        <v>73</v>
      </c>
      <c r="S31" s="433" t="s">
        <v>73</v>
      </c>
      <c r="T31" s="433" t="s">
        <v>73</v>
      </c>
      <c r="U31" s="433" t="s">
        <v>73</v>
      </c>
      <c r="V31" s="433" t="s">
        <v>73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836" t="s">
        <v>346</v>
      </c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41">
    <tabColor theme="9" tint="0.59999389629810485"/>
  </sheetPr>
  <dimension ref="A2:V36"/>
  <sheetViews>
    <sheetView showGridLines="0" zoomScaleNormal="100" workbookViewId="0">
      <selection activeCell="U14" sqref="U14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7.19921875" style="76" customWidth="1"/>
    <col min="23" max="23" width="7.3984375" style="76" customWidth="1"/>
    <col min="24" max="16384" width="7" style="76"/>
  </cols>
  <sheetData>
    <row r="2" spans="1:22" ht="17.25" customHeight="1">
      <c r="A2" s="210" t="s">
        <v>507</v>
      </c>
      <c r="B2" s="211"/>
    </row>
    <row r="3" spans="1:22" ht="13.25" customHeight="1">
      <c r="A3" s="212" t="s">
        <v>211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297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2" ht="18" customHeight="1">
      <c r="A6" s="1020" t="s">
        <v>93</v>
      </c>
      <c r="B6" s="1020"/>
      <c r="C6" s="629">
        <f>(C8+C9+C10+C11+C12+C13+C14+C15+C16+C17+C18+C19+C20+C21+C22+C23+C24+C25+C26+C27+C28+C29+C30+C31)</f>
        <v>1995906</v>
      </c>
      <c r="D6" s="629">
        <f>(D8+D9+D10+D11+D12+D13+D14+D15+D16+D17+D18+D19+D20+D21+D22+D23+D24+D25+D26+D27+D28+D29+D30+D31)</f>
        <v>1980553</v>
      </c>
      <c r="E6" s="630">
        <v>2208305</v>
      </c>
      <c r="F6" s="630">
        <v>2325284</v>
      </c>
      <c r="G6" s="630">
        <v>2513106</v>
      </c>
      <c r="H6" s="630">
        <v>2481124</v>
      </c>
      <c r="I6" s="630">
        <v>2573193</v>
      </c>
      <c r="J6" s="630">
        <v>2636389</v>
      </c>
      <c r="K6" s="630">
        <v>2391039</v>
      </c>
      <c r="L6" s="630">
        <v>2894758</v>
      </c>
      <c r="M6" s="630">
        <v>2372976</v>
      </c>
      <c r="N6" s="630">
        <v>2420549</v>
      </c>
      <c r="O6" s="630">
        <v>2296839</v>
      </c>
      <c r="P6" s="630">
        <v>2365529</v>
      </c>
      <c r="Q6" s="630">
        <f t="shared" ref="Q6:V6" si="0">SUM(Q8:Q31)</f>
        <v>2254980</v>
      </c>
      <c r="R6" s="630">
        <f t="shared" si="0"/>
        <v>2131029</v>
      </c>
      <c r="S6" s="630">
        <f t="shared" si="0"/>
        <v>2119402</v>
      </c>
      <c r="T6" s="630">
        <f t="shared" si="0"/>
        <v>2139190</v>
      </c>
      <c r="U6" s="630">
        <f t="shared" si="0"/>
        <v>2140341.7000000002</v>
      </c>
      <c r="V6" s="630">
        <f t="shared" si="0"/>
        <v>2119261</v>
      </c>
    </row>
    <row r="7" spans="1:22" ht="3" customHeight="1">
      <c r="A7" s="77"/>
      <c r="B7" s="78"/>
      <c r="C7" s="203"/>
      <c r="D7" s="203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</row>
    <row r="8" spans="1:22" ht="15" customHeight="1">
      <c r="A8" s="77"/>
      <c r="B8" s="21" t="s">
        <v>19</v>
      </c>
      <c r="C8" s="204">
        <v>0</v>
      </c>
      <c r="D8" s="204">
        <v>0</v>
      </c>
      <c r="E8" s="571" t="s">
        <v>214</v>
      </c>
      <c r="F8" s="571" t="s">
        <v>214</v>
      </c>
      <c r="G8" s="571" t="s">
        <v>214</v>
      </c>
      <c r="H8" s="571" t="s">
        <v>214</v>
      </c>
      <c r="I8" s="571" t="s">
        <v>214</v>
      </c>
      <c r="J8" s="571" t="s">
        <v>214</v>
      </c>
      <c r="K8" s="571" t="s">
        <v>214</v>
      </c>
      <c r="L8" s="571" t="s">
        <v>214</v>
      </c>
      <c r="M8" s="571" t="s">
        <v>214</v>
      </c>
      <c r="N8" s="571" t="s">
        <v>214</v>
      </c>
      <c r="O8" s="571" t="s">
        <v>214</v>
      </c>
      <c r="P8" s="571" t="s">
        <v>214</v>
      </c>
      <c r="Q8" s="571" t="s">
        <v>214</v>
      </c>
      <c r="R8" s="571" t="s">
        <v>214</v>
      </c>
      <c r="S8" s="571" t="s">
        <v>214</v>
      </c>
      <c r="T8" s="571" t="s">
        <v>214</v>
      </c>
      <c r="U8" s="571" t="s">
        <v>214</v>
      </c>
      <c r="V8" s="571" t="s">
        <v>214</v>
      </c>
    </row>
    <row r="9" spans="1:22" ht="15" customHeight="1">
      <c r="A9" s="77"/>
      <c r="B9" s="21" t="s">
        <v>20</v>
      </c>
      <c r="C9" s="204">
        <v>0</v>
      </c>
      <c r="D9" s="204">
        <v>0</v>
      </c>
      <c r="E9" s="571" t="s">
        <v>214</v>
      </c>
      <c r="F9" s="571" t="s">
        <v>214</v>
      </c>
      <c r="G9" s="571" t="s">
        <v>214</v>
      </c>
      <c r="H9" s="571" t="s">
        <v>214</v>
      </c>
      <c r="I9" s="571" t="s">
        <v>214</v>
      </c>
      <c r="J9" s="571" t="s">
        <v>214</v>
      </c>
      <c r="K9" s="571" t="s">
        <v>214</v>
      </c>
      <c r="L9" s="571" t="s">
        <v>214</v>
      </c>
      <c r="M9" s="571">
        <v>135</v>
      </c>
      <c r="N9" s="571">
        <v>33</v>
      </c>
      <c r="O9" s="571">
        <v>74</v>
      </c>
      <c r="P9" s="571">
        <v>48</v>
      </c>
      <c r="Q9" s="571">
        <v>53</v>
      </c>
      <c r="R9" s="571">
        <v>56</v>
      </c>
      <c r="S9" s="571">
        <v>49</v>
      </c>
      <c r="T9" s="571">
        <v>47</v>
      </c>
      <c r="U9" s="571" t="s">
        <v>214</v>
      </c>
      <c r="V9" s="571" t="s">
        <v>214</v>
      </c>
    </row>
    <row r="10" spans="1:22" ht="15" customHeight="1">
      <c r="A10" s="77"/>
      <c r="B10" s="21" t="s">
        <v>21</v>
      </c>
      <c r="C10" s="204">
        <v>0</v>
      </c>
      <c r="D10" s="204">
        <v>0</v>
      </c>
      <c r="E10" s="571" t="s">
        <v>214</v>
      </c>
      <c r="F10" s="571" t="s">
        <v>214</v>
      </c>
      <c r="G10" s="571" t="s">
        <v>214</v>
      </c>
      <c r="H10" s="571" t="s">
        <v>214</v>
      </c>
      <c r="I10" s="571" t="s">
        <v>214</v>
      </c>
      <c r="J10" s="571" t="s">
        <v>214</v>
      </c>
      <c r="K10" s="571" t="s">
        <v>214</v>
      </c>
      <c r="L10" s="571" t="s">
        <v>214</v>
      </c>
      <c r="M10" s="571" t="s">
        <v>214</v>
      </c>
      <c r="N10" s="571" t="s">
        <v>214</v>
      </c>
      <c r="O10" s="571" t="s">
        <v>214</v>
      </c>
      <c r="P10" s="571" t="s">
        <v>214</v>
      </c>
      <c r="Q10" s="571" t="s">
        <v>214</v>
      </c>
      <c r="R10" s="571" t="s">
        <v>214</v>
      </c>
      <c r="S10" s="571" t="s">
        <v>214</v>
      </c>
      <c r="T10" s="571" t="s">
        <v>214</v>
      </c>
      <c r="U10" s="571" t="s">
        <v>214</v>
      </c>
      <c r="V10" s="571" t="s">
        <v>214</v>
      </c>
    </row>
    <row r="11" spans="1:22" ht="15" customHeight="1">
      <c r="A11" s="77"/>
      <c r="B11" s="21" t="s">
        <v>22</v>
      </c>
      <c r="C11" s="204">
        <v>4028</v>
      </c>
      <c r="D11" s="204">
        <v>4320</v>
      </c>
      <c r="E11" s="571">
        <v>4415</v>
      </c>
      <c r="F11" s="571">
        <v>3804</v>
      </c>
      <c r="G11" s="571">
        <v>5953</v>
      </c>
      <c r="H11" s="571">
        <v>5366</v>
      </c>
      <c r="I11" s="571">
        <v>5072</v>
      </c>
      <c r="J11" s="571">
        <v>5594</v>
      </c>
      <c r="K11" s="571">
        <v>5899</v>
      </c>
      <c r="L11" s="571">
        <v>5988</v>
      </c>
      <c r="M11" s="571">
        <v>6189</v>
      </c>
      <c r="N11" s="571">
        <v>6140</v>
      </c>
      <c r="O11" s="571">
        <v>6568</v>
      </c>
      <c r="P11" s="571">
        <v>6590</v>
      </c>
      <c r="Q11" s="571">
        <v>6520</v>
      </c>
      <c r="R11" s="571">
        <v>6479</v>
      </c>
      <c r="S11" s="571">
        <v>6052</v>
      </c>
      <c r="T11" s="571">
        <v>5297</v>
      </c>
      <c r="U11" s="571">
        <v>4854</v>
      </c>
      <c r="V11" s="571">
        <v>3970</v>
      </c>
    </row>
    <row r="12" spans="1:22" ht="15" customHeight="1">
      <c r="A12" s="77"/>
      <c r="B12" s="21" t="s">
        <v>23</v>
      </c>
      <c r="C12" s="204">
        <v>615</v>
      </c>
      <c r="D12" s="204">
        <v>670</v>
      </c>
      <c r="E12" s="571">
        <v>540</v>
      </c>
      <c r="F12" s="571">
        <v>125</v>
      </c>
      <c r="G12" s="571">
        <v>150</v>
      </c>
      <c r="H12" s="571" t="s">
        <v>214</v>
      </c>
      <c r="I12" s="571" t="s">
        <v>214</v>
      </c>
      <c r="J12" s="571" t="s">
        <v>214</v>
      </c>
      <c r="K12" s="571" t="s">
        <v>214</v>
      </c>
      <c r="L12" s="571" t="s">
        <v>214</v>
      </c>
      <c r="M12" s="571" t="s">
        <v>214</v>
      </c>
      <c r="N12" s="571" t="s">
        <v>214</v>
      </c>
      <c r="O12" s="571" t="s">
        <v>214</v>
      </c>
      <c r="P12" s="571" t="s">
        <v>214</v>
      </c>
      <c r="Q12" s="571" t="s">
        <v>214</v>
      </c>
      <c r="R12" s="571" t="s">
        <v>214</v>
      </c>
      <c r="S12" s="571" t="s">
        <v>214</v>
      </c>
      <c r="T12" s="571" t="s">
        <v>214</v>
      </c>
      <c r="U12" s="571" t="s">
        <v>214</v>
      </c>
      <c r="V12" s="571" t="s">
        <v>214</v>
      </c>
    </row>
    <row r="13" spans="1:22" ht="15" customHeight="1">
      <c r="A13" s="77"/>
      <c r="B13" s="21" t="s">
        <v>27</v>
      </c>
      <c r="C13" s="204">
        <v>0</v>
      </c>
      <c r="D13" s="204">
        <v>0</v>
      </c>
      <c r="E13" s="571" t="s">
        <v>214</v>
      </c>
      <c r="F13" s="571" t="s">
        <v>214</v>
      </c>
      <c r="G13" s="571" t="s">
        <v>214</v>
      </c>
      <c r="H13" s="571" t="s">
        <v>214</v>
      </c>
      <c r="I13" s="571" t="s">
        <v>214</v>
      </c>
      <c r="J13" s="571" t="s">
        <v>214</v>
      </c>
      <c r="K13" s="571" t="s">
        <v>214</v>
      </c>
      <c r="L13" s="571" t="s">
        <v>214</v>
      </c>
      <c r="M13" s="571" t="s">
        <v>214</v>
      </c>
      <c r="N13" s="571" t="s">
        <v>214</v>
      </c>
      <c r="O13" s="571" t="s">
        <v>214</v>
      </c>
      <c r="P13" s="571" t="s">
        <v>214</v>
      </c>
      <c r="Q13" s="571" t="s">
        <v>214</v>
      </c>
      <c r="R13" s="571" t="s">
        <v>214</v>
      </c>
      <c r="S13" s="571" t="s">
        <v>214</v>
      </c>
      <c r="T13" s="571" t="s">
        <v>214</v>
      </c>
      <c r="U13" s="571" t="s">
        <v>214</v>
      </c>
      <c r="V13" s="571" t="s">
        <v>214</v>
      </c>
    </row>
    <row r="14" spans="1:22" ht="15" customHeight="1">
      <c r="A14" s="77"/>
      <c r="B14" s="21" t="s">
        <v>28</v>
      </c>
      <c r="C14" s="204">
        <v>4285</v>
      </c>
      <c r="D14" s="204">
        <v>3089</v>
      </c>
      <c r="E14" s="571">
        <v>5010</v>
      </c>
      <c r="F14" s="571">
        <v>1737</v>
      </c>
      <c r="G14" s="571">
        <v>1683</v>
      </c>
      <c r="H14" s="571">
        <v>1520</v>
      </c>
      <c r="I14" s="571">
        <v>1683</v>
      </c>
      <c r="J14" s="571">
        <v>1420</v>
      </c>
      <c r="K14" s="571" t="s">
        <v>214</v>
      </c>
      <c r="L14" s="571" t="s">
        <v>214</v>
      </c>
      <c r="M14" s="571" t="s">
        <v>214</v>
      </c>
      <c r="N14" s="571" t="s">
        <v>214</v>
      </c>
      <c r="O14" s="571" t="s">
        <v>214</v>
      </c>
      <c r="P14" s="571" t="s">
        <v>214</v>
      </c>
      <c r="Q14" s="571" t="s">
        <v>214</v>
      </c>
      <c r="R14" s="571" t="s">
        <v>214</v>
      </c>
      <c r="S14" s="571" t="s">
        <v>214</v>
      </c>
      <c r="T14" s="571" t="s">
        <v>214</v>
      </c>
      <c r="U14" s="571" t="s">
        <v>214</v>
      </c>
      <c r="V14" s="571" t="s">
        <v>214</v>
      </c>
    </row>
    <row r="15" spans="1:22" ht="15" customHeight="1">
      <c r="A15" s="77"/>
      <c r="B15" s="21" t="s">
        <v>29</v>
      </c>
      <c r="C15" s="204">
        <v>485</v>
      </c>
      <c r="D15" s="204">
        <v>3369</v>
      </c>
      <c r="E15" s="571">
        <v>3708</v>
      </c>
      <c r="F15" s="571">
        <v>4565</v>
      </c>
      <c r="G15" s="571">
        <v>3148</v>
      </c>
      <c r="H15" s="571">
        <v>2941</v>
      </c>
      <c r="I15" s="571">
        <v>2086</v>
      </c>
      <c r="J15" s="571">
        <v>3080</v>
      </c>
      <c r="K15" s="571">
        <v>3155</v>
      </c>
      <c r="L15" s="571">
        <v>2891</v>
      </c>
      <c r="M15" s="571">
        <v>3695</v>
      </c>
      <c r="N15" s="571">
        <v>22803</v>
      </c>
      <c r="O15" s="571">
        <v>20363</v>
      </c>
      <c r="P15" s="571">
        <v>19639</v>
      </c>
      <c r="Q15" s="571">
        <v>18461</v>
      </c>
      <c r="R15" s="571">
        <v>17667</v>
      </c>
      <c r="S15" s="571">
        <v>19457</v>
      </c>
      <c r="T15" s="571">
        <v>17102</v>
      </c>
      <c r="U15" s="571">
        <v>16577.7</v>
      </c>
      <c r="V15" s="571">
        <v>15162</v>
      </c>
    </row>
    <row r="16" spans="1:22" ht="15" customHeight="1">
      <c r="A16" s="77"/>
      <c r="B16" s="21" t="s">
        <v>30</v>
      </c>
      <c r="C16" s="204">
        <v>0</v>
      </c>
      <c r="D16" s="204">
        <v>0</v>
      </c>
      <c r="E16" s="571" t="s">
        <v>214</v>
      </c>
      <c r="F16" s="571" t="s">
        <v>214</v>
      </c>
      <c r="G16" s="571" t="s">
        <v>214</v>
      </c>
      <c r="H16" s="571" t="s">
        <v>214</v>
      </c>
      <c r="I16" s="571" t="s">
        <v>214</v>
      </c>
      <c r="J16" s="571" t="s">
        <v>214</v>
      </c>
      <c r="K16" s="571" t="s">
        <v>214</v>
      </c>
      <c r="L16" s="571" t="s">
        <v>214</v>
      </c>
      <c r="M16" s="571" t="s">
        <v>214</v>
      </c>
      <c r="N16" s="571" t="s">
        <v>214</v>
      </c>
      <c r="O16" s="571" t="s">
        <v>214</v>
      </c>
      <c r="P16" s="571" t="s">
        <v>214</v>
      </c>
      <c r="Q16" s="571" t="s">
        <v>214</v>
      </c>
      <c r="R16" s="571" t="s">
        <v>214</v>
      </c>
      <c r="S16" s="571" t="s">
        <v>214</v>
      </c>
      <c r="T16" s="571" t="s">
        <v>214</v>
      </c>
      <c r="U16" s="571" t="s">
        <v>214</v>
      </c>
      <c r="V16" s="571" t="s">
        <v>214</v>
      </c>
    </row>
    <row r="17" spans="1:22" ht="15" customHeight="1">
      <c r="A17" s="77"/>
      <c r="B17" s="21" t="s">
        <v>31</v>
      </c>
      <c r="C17" s="204">
        <v>1154</v>
      </c>
      <c r="D17" s="204">
        <v>1002</v>
      </c>
      <c r="E17" s="571">
        <v>613</v>
      </c>
      <c r="F17" s="571">
        <v>978</v>
      </c>
      <c r="G17" s="571">
        <v>100</v>
      </c>
      <c r="H17" s="571">
        <v>17</v>
      </c>
      <c r="I17" s="571">
        <v>0</v>
      </c>
      <c r="J17" s="571">
        <v>723</v>
      </c>
      <c r="K17" s="571">
        <v>187</v>
      </c>
      <c r="L17" s="571">
        <v>250</v>
      </c>
      <c r="M17" s="571">
        <v>773</v>
      </c>
      <c r="N17" s="571">
        <v>2084</v>
      </c>
      <c r="O17" s="571">
        <v>2742</v>
      </c>
      <c r="P17" s="571">
        <v>2772</v>
      </c>
      <c r="Q17" s="571">
        <v>1457</v>
      </c>
      <c r="R17" s="571">
        <v>1661</v>
      </c>
      <c r="S17" s="571">
        <v>1803</v>
      </c>
      <c r="T17" s="571">
        <v>2033</v>
      </c>
      <c r="U17" s="571">
        <v>2435</v>
      </c>
      <c r="V17" s="571">
        <v>5211</v>
      </c>
    </row>
    <row r="18" spans="1:22" ht="15" customHeight="1">
      <c r="A18" s="77"/>
      <c r="B18" s="21" t="s">
        <v>32</v>
      </c>
      <c r="C18" s="204">
        <v>17989</v>
      </c>
      <c r="D18" s="204">
        <v>21293</v>
      </c>
      <c r="E18" s="571">
        <v>31731</v>
      </c>
      <c r="F18" s="571">
        <v>35641</v>
      </c>
      <c r="G18" s="571">
        <v>35058</v>
      </c>
      <c r="H18" s="571">
        <v>34872</v>
      </c>
      <c r="I18" s="571">
        <v>46412</v>
      </c>
      <c r="J18" s="571">
        <v>48600</v>
      </c>
      <c r="K18" s="571">
        <v>49774</v>
      </c>
      <c r="L18" s="571">
        <v>56683</v>
      </c>
      <c r="M18" s="571">
        <v>65388</v>
      </c>
      <c r="N18" s="571">
        <v>71070</v>
      </c>
      <c r="O18" s="571">
        <v>74094</v>
      </c>
      <c r="P18" s="571">
        <v>81469</v>
      </c>
      <c r="Q18" s="571">
        <v>85162</v>
      </c>
      <c r="R18" s="571">
        <v>88313</v>
      </c>
      <c r="S18" s="571">
        <v>97315</v>
      </c>
      <c r="T18" s="571">
        <v>103958</v>
      </c>
      <c r="U18" s="571">
        <v>107008</v>
      </c>
      <c r="V18" s="571">
        <v>93713</v>
      </c>
    </row>
    <row r="19" spans="1:22" ht="15" customHeight="1">
      <c r="A19" s="77"/>
      <c r="B19" s="21" t="s">
        <v>33</v>
      </c>
      <c r="C19" s="204">
        <v>20030</v>
      </c>
      <c r="D19" s="204">
        <v>20420</v>
      </c>
      <c r="E19" s="571">
        <v>13605</v>
      </c>
      <c r="F19" s="571">
        <v>34313</v>
      </c>
      <c r="G19" s="571">
        <v>33970</v>
      </c>
      <c r="H19" s="571">
        <v>33616</v>
      </c>
      <c r="I19" s="571">
        <v>48775</v>
      </c>
      <c r="J19" s="571">
        <v>53277</v>
      </c>
      <c r="K19" s="571">
        <v>41363</v>
      </c>
      <c r="L19" s="571">
        <v>57138</v>
      </c>
      <c r="M19" s="571">
        <v>49034</v>
      </c>
      <c r="N19" s="571">
        <v>51378</v>
      </c>
      <c r="O19" s="571">
        <v>50060</v>
      </c>
      <c r="P19" s="571">
        <v>55627</v>
      </c>
      <c r="Q19" s="571">
        <v>55889</v>
      </c>
      <c r="R19" s="571">
        <v>55859</v>
      </c>
      <c r="S19" s="571">
        <v>59359</v>
      </c>
      <c r="T19" s="571">
        <v>63261</v>
      </c>
      <c r="U19" s="571">
        <v>71413</v>
      </c>
      <c r="V19" s="571">
        <v>86863</v>
      </c>
    </row>
    <row r="20" spans="1:22" ht="15" customHeight="1">
      <c r="A20" s="77"/>
      <c r="B20" s="21" t="s">
        <v>34</v>
      </c>
      <c r="C20" s="204">
        <v>93497</v>
      </c>
      <c r="D20" s="204">
        <v>87269</v>
      </c>
      <c r="E20" s="571">
        <v>70402</v>
      </c>
      <c r="F20" s="571">
        <v>37578</v>
      </c>
      <c r="G20" s="571">
        <v>62597</v>
      </c>
      <c r="H20" s="571">
        <v>60037</v>
      </c>
      <c r="I20" s="571">
        <v>57757</v>
      </c>
      <c r="J20" s="571">
        <v>79033</v>
      </c>
      <c r="K20" s="571">
        <v>43508</v>
      </c>
      <c r="L20" s="571">
        <v>33261</v>
      </c>
      <c r="M20" s="571">
        <v>46571</v>
      </c>
      <c r="N20" s="571">
        <v>76383</v>
      </c>
      <c r="O20" s="571">
        <v>64571</v>
      </c>
      <c r="P20" s="571">
        <v>89649</v>
      </c>
      <c r="Q20" s="571">
        <v>57877</v>
      </c>
      <c r="R20" s="571">
        <v>55468</v>
      </c>
      <c r="S20" s="571">
        <v>53794</v>
      </c>
      <c r="T20" s="571">
        <v>53379</v>
      </c>
      <c r="U20" s="571">
        <v>51964</v>
      </c>
      <c r="V20" s="571">
        <v>50110</v>
      </c>
    </row>
    <row r="21" spans="1:22" ht="15" customHeight="1">
      <c r="A21" s="77"/>
      <c r="B21" s="21" t="s">
        <v>35</v>
      </c>
      <c r="C21" s="204">
        <v>119251</v>
      </c>
      <c r="D21" s="204">
        <v>153477</v>
      </c>
      <c r="E21" s="571">
        <v>179722</v>
      </c>
      <c r="F21" s="571">
        <v>192907</v>
      </c>
      <c r="G21" s="571">
        <v>228350</v>
      </c>
      <c r="H21" s="571">
        <v>224945</v>
      </c>
      <c r="I21" s="571">
        <v>213292</v>
      </c>
      <c r="J21" s="571">
        <v>195858</v>
      </c>
      <c r="K21" s="571">
        <v>187980</v>
      </c>
      <c r="L21" s="571">
        <v>210921</v>
      </c>
      <c r="M21" s="571">
        <v>150095</v>
      </c>
      <c r="N21" s="571">
        <v>140598</v>
      </c>
      <c r="O21" s="571">
        <v>105822</v>
      </c>
      <c r="P21" s="571">
        <v>96849</v>
      </c>
      <c r="Q21" s="571">
        <v>94709</v>
      </c>
      <c r="R21" s="571">
        <v>76951</v>
      </c>
      <c r="S21" s="571">
        <v>64699</v>
      </c>
      <c r="T21" s="571">
        <v>64694</v>
      </c>
      <c r="U21" s="571">
        <v>68485</v>
      </c>
      <c r="V21" s="571">
        <v>68033</v>
      </c>
    </row>
    <row r="22" spans="1:22" ht="15" customHeight="1">
      <c r="A22" s="77"/>
      <c r="B22" s="21" t="s">
        <v>36</v>
      </c>
      <c r="C22" s="204">
        <v>5254</v>
      </c>
      <c r="D22" s="204">
        <v>5629</v>
      </c>
      <c r="E22" s="571">
        <v>9022</v>
      </c>
      <c r="F22" s="571">
        <v>8934</v>
      </c>
      <c r="G22" s="571">
        <v>3729</v>
      </c>
      <c r="H22" s="571">
        <v>18308</v>
      </c>
      <c r="I22" s="571">
        <v>54487</v>
      </c>
      <c r="J22" s="571">
        <v>49180</v>
      </c>
      <c r="K22" s="571">
        <v>23680</v>
      </c>
      <c r="L22" s="571">
        <v>17423</v>
      </c>
      <c r="M22" s="571">
        <v>32525</v>
      </c>
      <c r="N22" s="571">
        <v>26987</v>
      </c>
      <c r="O22" s="571">
        <v>35831</v>
      </c>
      <c r="P22" s="571">
        <v>41211</v>
      </c>
      <c r="Q22" s="571">
        <v>37844</v>
      </c>
      <c r="R22" s="571">
        <v>33393</v>
      </c>
      <c r="S22" s="571">
        <v>27997</v>
      </c>
      <c r="T22" s="571">
        <v>26948</v>
      </c>
      <c r="U22" s="571">
        <v>26351</v>
      </c>
      <c r="V22" s="571">
        <v>25923</v>
      </c>
    </row>
    <row r="23" spans="1:22" ht="15" customHeight="1">
      <c r="A23" s="77"/>
      <c r="B23" s="21" t="s">
        <v>37</v>
      </c>
      <c r="C23" s="204">
        <v>5100</v>
      </c>
      <c r="D23" s="204">
        <v>3970</v>
      </c>
      <c r="E23" s="571">
        <v>7768</v>
      </c>
      <c r="F23" s="571">
        <v>3100</v>
      </c>
      <c r="G23" s="571">
        <v>1968</v>
      </c>
      <c r="H23" s="571">
        <v>13802</v>
      </c>
      <c r="I23" s="571">
        <v>11800</v>
      </c>
      <c r="J23" s="571">
        <v>24119</v>
      </c>
      <c r="K23" s="571">
        <v>16561</v>
      </c>
      <c r="L23" s="571">
        <v>15450</v>
      </c>
      <c r="M23" s="571">
        <v>39643</v>
      </c>
      <c r="N23" s="571">
        <v>32160</v>
      </c>
      <c r="O23" s="571">
        <v>32501</v>
      </c>
      <c r="P23" s="571">
        <v>61545</v>
      </c>
      <c r="Q23" s="571">
        <v>53650</v>
      </c>
      <c r="R23" s="571">
        <v>53819</v>
      </c>
      <c r="S23" s="571">
        <v>33500</v>
      </c>
      <c r="T23" s="571">
        <v>33817</v>
      </c>
      <c r="U23" s="571">
        <v>38738</v>
      </c>
      <c r="V23" s="571">
        <v>50111</v>
      </c>
    </row>
    <row r="24" spans="1:22" ht="15" customHeight="1">
      <c r="A24" s="77"/>
      <c r="B24" s="21" t="s">
        <v>38</v>
      </c>
      <c r="C24" s="204">
        <v>67180</v>
      </c>
      <c r="D24" s="204">
        <v>53218</v>
      </c>
      <c r="E24" s="571">
        <v>62264</v>
      </c>
      <c r="F24" s="571">
        <v>61204</v>
      </c>
      <c r="G24" s="571">
        <v>75043</v>
      </c>
      <c r="H24" s="571">
        <v>53567</v>
      </c>
      <c r="I24" s="571">
        <v>74721</v>
      </c>
      <c r="J24" s="571">
        <v>85040</v>
      </c>
      <c r="K24" s="571">
        <v>89479</v>
      </c>
      <c r="L24" s="571">
        <v>80283</v>
      </c>
      <c r="M24" s="571">
        <v>75801</v>
      </c>
      <c r="N24" s="571">
        <v>93171</v>
      </c>
      <c r="O24" s="571">
        <v>95838</v>
      </c>
      <c r="P24" s="571">
        <v>97555</v>
      </c>
      <c r="Q24" s="571">
        <v>109742</v>
      </c>
      <c r="R24" s="571">
        <v>84495</v>
      </c>
      <c r="S24" s="571">
        <v>82600</v>
      </c>
      <c r="T24" s="571">
        <v>75860</v>
      </c>
      <c r="U24" s="571">
        <v>63250</v>
      </c>
      <c r="V24" s="571">
        <v>61594</v>
      </c>
    </row>
    <row r="25" spans="1:22" ht="15" customHeight="1">
      <c r="A25" s="77"/>
      <c r="B25" s="21" t="s">
        <v>39</v>
      </c>
      <c r="C25" s="204">
        <v>110926</v>
      </c>
      <c r="D25" s="204">
        <v>100982</v>
      </c>
      <c r="E25" s="571">
        <v>115710</v>
      </c>
      <c r="F25" s="571">
        <v>113568</v>
      </c>
      <c r="G25" s="571">
        <v>78155</v>
      </c>
      <c r="H25" s="571">
        <v>77382</v>
      </c>
      <c r="I25" s="571">
        <v>109546</v>
      </c>
      <c r="J25" s="571">
        <v>78748</v>
      </c>
      <c r="K25" s="571">
        <v>72850</v>
      </c>
      <c r="L25" s="571">
        <v>65394</v>
      </c>
      <c r="M25" s="571">
        <v>61614</v>
      </c>
      <c r="N25" s="571">
        <v>54680</v>
      </c>
      <c r="O25" s="571">
        <v>45100</v>
      </c>
      <c r="P25" s="571">
        <v>40810</v>
      </c>
      <c r="Q25" s="571">
        <v>40458</v>
      </c>
      <c r="R25" s="571">
        <v>39873</v>
      </c>
      <c r="S25" s="571">
        <v>38917</v>
      </c>
      <c r="T25" s="571">
        <v>39084</v>
      </c>
      <c r="U25" s="571">
        <v>37551</v>
      </c>
      <c r="V25" s="571">
        <v>36054</v>
      </c>
    </row>
    <row r="26" spans="1:22" ht="15" customHeight="1">
      <c r="A26" s="77"/>
      <c r="B26" s="21" t="s">
        <v>42</v>
      </c>
      <c r="C26" s="204">
        <v>167952</v>
      </c>
      <c r="D26" s="204">
        <v>117405</v>
      </c>
      <c r="E26" s="571">
        <v>272075</v>
      </c>
      <c r="F26" s="571">
        <v>352710</v>
      </c>
      <c r="G26" s="571">
        <v>447362</v>
      </c>
      <c r="H26" s="571">
        <v>393621</v>
      </c>
      <c r="I26" s="571">
        <v>355242</v>
      </c>
      <c r="J26" s="571">
        <v>399422</v>
      </c>
      <c r="K26" s="571">
        <v>312713</v>
      </c>
      <c r="L26" s="571">
        <v>326344</v>
      </c>
      <c r="M26" s="571">
        <v>330367</v>
      </c>
      <c r="N26" s="571">
        <v>320643</v>
      </c>
      <c r="O26" s="571">
        <v>314905</v>
      </c>
      <c r="P26" s="571">
        <v>355005</v>
      </c>
      <c r="Q26" s="571">
        <v>323548</v>
      </c>
      <c r="R26" s="571">
        <v>315865</v>
      </c>
      <c r="S26" s="571">
        <v>342445</v>
      </c>
      <c r="T26" s="571">
        <v>352595</v>
      </c>
      <c r="U26" s="571">
        <v>353945</v>
      </c>
      <c r="V26" s="571">
        <v>346767</v>
      </c>
    </row>
    <row r="27" spans="1:22" ht="15" customHeight="1">
      <c r="A27" s="77"/>
      <c r="B27" s="21" t="s">
        <v>43</v>
      </c>
      <c r="C27" s="204">
        <v>1378160</v>
      </c>
      <c r="D27" s="204">
        <v>1404440</v>
      </c>
      <c r="E27" s="571">
        <v>1431720</v>
      </c>
      <c r="F27" s="571">
        <v>1474120</v>
      </c>
      <c r="G27" s="571">
        <v>1535840</v>
      </c>
      <c r="H27" s="571">
        <v>1561130</v>
      </c>
      <c r="I27" s="571">
        <v>1592320</v>
      </c>
      <c r="J27" s="571">
        <v>1612295</v>
      </c>
      <c r="K27" s="571">
        <v>1543890</v>
      </c>
      <c r="L27" s="571">
        <v>2022732</v>
      </c>
      <c r="M27" s="571">
        <v>1511145</v>
      </c>
      <c r="N27" s="571">
        <v>1522420</v>
      </c>
      <c r="O27" s="571">
        <v>1448371</v>
      </c>
      <c r="P27" s="571">
        <v>1416760</v>
      </c>
      <c r="Q27" s="571">
        <v>1369610</v>
      </c>
      <c r="R27" s="571">
        <v>1301130</v>
      </c>
      <c r="S27" s="571">
        <v>1291415</v>
      </c>
      <c r="T27" s="571">
        <v>1301115</v>
      </c>
      <c r="U27" s="571">
        <v>1297770</v>
      </c>
      <c r="V27" s="571">
        <v>1275750</v>
      </c>
    </row>
    <row r="28" spans="1:22" ht="15" customHeight="1">
      <c r="A28" s="77"/>
      <c r="B28" s="76" t="s">
        <v>44</v>
      </c>
      <c r="C28" s="204">
        <v>0</v>
      </c>
      <c r="D28" s="204">
        <v>0</v>
      </c>
      <c r="E28" s="571" t="s">
        <v>214</v>
      </c>
      <c r="F28" s="571" t="s">
        <v>214</v>
      </c>
      <c r="G28" s="571" t="s">
        <v>214</v>
      </c>
      <c r="H28" s="571" t="s">
        <v>214</v>
      </c>
      <c r="I28" s="571" t="s">
        <v>214</v>
      </c>
      <c r="J28" s="571" t="s">
        <v>214</v>
      </c>
      <c r="K28" s="571" t="s">
        <v>214</v>
      </c>
      <c r="L28" s="571" t="s">
        <v>214</v>
      </c>
      <c r="M28" s="571" t="s">
        <v>214</v>
      </c>
      <c r="N28" s="571" t="s">
        <v>214</v>
      </c>
      <c r="O28" s="571" t="s">
        <v>214</v>
      </c>
      <c r="P28" s="571" t="s">
        <v>214</v>
      </c>
      <c r="Q28" s="571" t="s">
        <v>214</v>
      </c>
      <c r="R28" s="571" t="s">
        <v>214</v>
      </c>
      <c r="S28" s="571" t="s">
        <v>214</v>
      </c>
      <c r="T28" s="571" t="s">
        <v>214</v>
      </c>
      <c r="U28" s="571" t="s">
        <v>214</v>
      </c>
      <c r="V28" s="571" t="s">
        <v>214</v>
      </c>
    </row>
    <row r="29" spans="1:22" ht="15" customHeight="1">
      <c r="A29" s="77"/>
      <c r="B29" s="21" t="s">
        <v>45</v>
      </c>
      <c r="C29" s="204">
        <v>0</v>
      </c>
      <c r="D29" s="204">
        <v>0</v>
      </c>
      <c r="E29" s="571" t="s">
        <v>214</v>
      </c>
      <c r="F29" s="571" t="s">
        <v>214</v>
      </c>
      <c r="G29" s="571" t="s">
        <v>214</v>
      </c>
      <c r="H29" s="571" t="s">
        <v>214</v>
      </c>
      <c r="I29" s="571" t="s">
        <v>214</v>
      </c>
      <c r="J29" s="571" t="s">
        <v>214</v>
      </c>
      <c r="K29" s="571" t="s">
        <v>214</v>
      </c>
      <c r="L29" s="571" t="s">
        <v>214</v>
      </c>
      <c r="M29" s="571" t="s">
        <v>214</v>
      </c>
      <c r="N29" s="571" t="s">
        <v>214</v>
      </c>
      <c r="O29" s="571" t="s">
        <v>214</v>
      </c>
      <c r="P29" s="571" t="s">
        <v>214</v>
      </c>
      <c r="Q29" s="571" t="s">
        <v>214</v>
      </c>
      <c r="R29" s="571" t="s">
        <v>214</v>
      </c>
      <c r="S29" s="571" t="s">
        <v>214</v>
      </c>
      <c r="T29" s="571" t="s">
        <v>214</v>
      </c>
      <c r="U29" s="571" t="s">
        <v>214</v>
      </c>
      <c r="V29" s="571" t="s">
        <v>214</v>
      </c>
    </row>
    <row r="30" spans="1:22" ht="15" customHeight="1">
      <c r="A30" s="77"/>
      <c r="B30" s="21" t="s">
        <v>46</v>
      </c>
      <c r="C30" s="204">
        <v>0</v>
      </c>
      <c r="D30" s="204">
        <v>0</v>
      </c>
      <c r="E30" s="571" t="s">
        <v>214</v>
      </c>
      <c r="F30" s="571" t="s">
        <v>214</v>
      </c>
      <c r="G30" s="571" t="s">
        <v>214</v>
      </c>
      <c r="H30" s="571" t="s">
        <v>214</v>
      </c>
      <c r="I30" s="571" t="s">
        <v>214</v>
      </c>
      <c r="J30" s="571" t="s">
        <v>214</v>
      </c>
      <c r="K30" s="571" t="s">
        <v>214</v>
      </c>
      <c r="L30" s="571" t="s">
        <v>214</v>
      </c>
      <c r="M30" s="571" t="s">
        <v>214</v>
      </c>
      <c r="N30" s="571" t="s">
        <v>214</v>
      </c>
      <c r="O30" s="571" t="s">
        <v>214</v>
      </c>
      <c r="P30" s="571" t="s">
        <v>214</v>
      </c>
      <c r="Q30" s="571" t="s">
        <v>214</v>
      </c>
      <c r="R30" s="571" t="s">
        <v>214</v>
      </c>
      <c r="S30" s="571" t="s">
        <v>214</v>
      </c>
      <c r="T30" s="571" t="s">
        <v>214</v>
      </c>
      <c r="U30" s="571" t="s">
        <v>214</v>
      </c>
      <c r="V30" s="571" t="s">
        <v>214</v>
      </c>
    </row>
    <row r="31" spans="1:22" ht="15" customHeight="1" thickBot="1">
      <c r="A31" s="82"/>
      <c r="B31" s="434" t="s">
        <v>47</v>
      </c>
      <c r="C31" s="439">
        <v>0</v>
      </c>
      <c r="D31" s="439">
        <v>0</v>
      </c>
      <c r="E31" s="572" t="s">
        <v>214</v>
      </c>
      <c r="F31" s="572" t="s">
        <v>214</v>
      </c>
      <c r="G31" s="572" t="s">
        <v>214</v>
      </c>
      <c r="H31" s="572" t="s">
        <v>214</v>
      </c>
      <c r="I31" s="572" t="s">
        <v>214</v>
      </c>
      <c r="J31" s="572" t="s">
        <v>214</v>
      </c>
      <c r="K31" s="572" t="s">
        <v>214</v>
      </c>
      <c r="L31" s="572" t="s">
        <v>214</v>
      </c>
      <c r="M31" s="572" t="s">
        <v>214</v>
      </c>
      <c r="N31" s="572" t="s">
        <v>214</v>
      </c>
      <c r="O31" s="572" t="s">
        <v>214</v>
      </c>
      <c r="P31" s="572" t="s">
        <v>214</v>
      </c>
      <c r="Q31" s="572" t="s">
        <v>214</v>
      </c>
      <c r="R31" s="572" t="s">
        <v>214</v>
      </c>
      <c r="S31" s="572" t="s">
        <v>214</v>
      </c>
      <c r="T31" s="572" t="s">
        <v>214</v>
      </c>
      <c r="U31" s="572" t="s">
        <v>214</v>
      </c>
      <c r="V31" s="572" t="s">
        <v>214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2">
    <tabColor theme="9" tint="0.59999389629810485"/>
  </sheetPr>
  <dimension ref="A2:Y36"/>
  <sheetViews>
    <sheetView showGridLines="0" zoomScaleNormal="100" workbookViewId="0">
      <selection activeCell="R9" sqref="R9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59765625" style="76" customWidth="1"/>
    <col min="24" max="28" width="8.19921875" style="76" customWidth="1"/>
    <col min="29" max="16384" width="7" style="76"/>
  </cols>
  <sheetData>
    <row r="2" spans="1:25" ht="17.25" customHeight="1">
      <c r="A2" s="210" t="s">
        <v>508</v>
      </c>
      <c r="B2" s="211"/>
    </row>
    <row r="3" spans="1:25" ht="13.25" customHeight="1">
      <c r="A3" s="212" t="s">
        <v>210</v>
      </c>
      <c r="B3" s="212"/>
    </row>
    <row r="4" spans="1:25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5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5" ht="18" customHeight="1">
      <c r="A6" s="1020" t="s">
        <v>93</v>
      </c>
      <c r="B6" s="1020"/>
      <c r="C6" s="633">
        <f>(C8+C9+C10+C11+C12+C13+C14+C15+C16+C17+C18+C19+C20+C21+C22+C23+C24+C25+C26+C27+C28+C29+C30+C31)</f>
        <v>3596</v>
      </c>
      <c r="D6" s="633">
        <f>(D8+D9+D10+D11+D12+D13+D14+D15+D16+D17+D18+D19+D20+D21+D22+D23+D24+D25+D26+D27+D28+D29+D30+D31)</f>
        <v>3510</v>
      </c>
      <c r="E6" s="632">
        <v>3895</v>
      </c>
      <c r="F6" s="632">
        <v>4019</v>
      </c>
      <c r="G6" s="632">
        <v>4387</v>
      </c>
      <c r="H6" s="632">
        <v>4352</v>
      </c>
      <c r="I6" s="632">
        <v>4661</v>
      </c>
      <c r="J6" s="632">
        <v>4797</v>
      </c>
      <c r="K6" s="632">
        <v>4420</v>
      </c>
      <c r="L6" s="632">
        <v>4485</v>
      </c>
      <c r="M6" s="632">
        <v>4438</v>
      </c>
      <c r="N6" s="632">
        <v>4508</v>
      </c>
      <c r="O6" s="632">
        <v>4314</v>
      </c>
      <c r="P6" s="632">
        <v>4575</v>
      </c>
      <c r="Q6" s="632">
        <f t="shared" ref="Q6:V6" si="0">SUM(Q8:Q31)</f>
        <v>4453</v>
      </c>
      <c r="R6" s="632">
        <f t="shared" si="0"/>
        <v>4351.7000000000007</v>
      </c>
      <c r="S6" s="632">
        <f t="shared" si="0"/>
        <v>4403.2</v>
      </c>
      <c r="T6" s="632">
        <f t="shared" si="0"/>
        <v>4422.1000000000004</v>
      </c>
      <c r="U6" s="632">
        <f t="shared" si="0"/>
        <v>4466.3716061790037</v>
      </c>
      <c r="V6" s="632">
        <f t="shared" si="0"/>
        <v>4615.2265246605402</v>
      </c>
    </row>
    <row r="7" spans="1:25" ht="3" customHeight="1">
      <c r="A7" s="77"/>
      <c r="B7" s="78"/>
      <c r="C7" s="215"/>
      <c r="D7" s="215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</row>
    <row r="8" spans="1:25" ht="15" customHeight="1">
      <c r="A8" s="77"/>
      <c r="B8" s="21" t="s">
        <v>19</v>
      </c>
      <c r="C8" s="220">
        <v>0</v>
      </c>
      <c r="D8" s="220">
        <v>0</v>
      </c>
      <c r="E8" s="219" t="s">
        <v>394</v>
      </c>
      <c r="F8" s="219" t="s">
        <v>394</v>
      </c>
      <c r="G8" s="219" t="s">
        <v>394</v>
      </c>
      <c r="H8" s="219" t="s">
        <v>394</v>
      </c>
      <c r="I8" s="219" t="s">
        <v>394</v>
      </c>
      <c r="J8" s="219" t="s">
        <v>394</v>
      </c>
      <c r="K8" s="219" t="s">
        <v>394</v>
      </c>
      <c r="L8" s="219" t="s">
        <v>394</v>
      </c>
      <c r="M8" s="219" t="s">
        <v>394</v>
      </c>
      <c r="N8" s="219" t="s">
        <v>394</v>
      </c>
      <c r="O8" s="219" t="s">
        <v>394</v>
      </c>
      <c r="P8" s="219" t="s">
        <v>394</v>
      </c>
      <c r="Q8" s="219" t="s">
        <v>394</v>
      </c>
      <c r="R8" s="219" t="s">
        <v>394</v>
      </c>
      <c r="S8" s="219" t="s">
        <v>394</v>
      </c>
      <c r="T8" s="219" t="s">
        <v>394</v>
      </c>
      <c r="U8" s="219" t="s">
        <v>394</v>
      </c>
      <c r="V8" s="219" t="s">
        <v>394</v>
      </c>
    </row>
    <row r="9" spans="1:25" ht="15" customHeight="1">
      <c r="A9" s="77"/>
      <c r="B9" s="21" t="s">
        <v>20</v>
      </c>
      <c r="C9" s="220">
        <v>0</v>
      </c>
      <c r="D9" s="220">
        <v>0</v>
      </c>
      <c r="E9" s="219" t="s">
        <v>394</v>
      </c>
      <c r="F9" s="219" t="s">
        <v>394</v>
      </c>
      <c r="G9" s="219" t="s">
        <v>394</v>
      </c>
      <c r="H9" s="219" t="s">
        <v>394</v>
      </c>
      <c r="I9" s="219" t="s">
        <v>394</v>
      </c>
      <c r="J9" s="219" t="s">
        <v>394</v>
      </c>
      <c r="K9" s="219" t="s">
        <v>394</v>
      </c>
      <c r="L9" s="219" t="s">
        <v>394</v>
      </c>
      <c r="M9" s="219" t="s">
        <v>394</v>
      </c>
      <c r="N9" s="219" t="s">
        <v>394</v>
      </c>
      <c r="O9" s="219" t="s">
        <v>394</v>
      </c>
      <c r="P9" s="219" t="s">
        <v>394</v>
      </c>
      <c r="Q9" s="219" t="s">
        <v>394</v>
      </c>
      <c r="R9" s="219" t="s">
        <v>394</v>
      </c>
      <c r="S9" s="219" t="s">
        <v>394</v>
      </c>
      <c r="T9" s="219" t="s">
        <v>394</v>
      </c>
      <c r="U9" s="219" t="s">
        <v>394</v>
      </c>
      <c r="V9" s="219" t="s">
        <v>394</v>
      </c>
      <c r="X9" s="84"/>
    </row>
    <row r="10" spans="1:25" ht="15" customHeight="1">
      <c r="A10" s="77"/>
      <c r="B10" s="21" t="s">
        <v>21</v>
      </c>
      <c r="C10" s="220">
        <v>0</v>
      </c>
      <c r="D10" s="220">
        <v>0</v>
      </c>
      <c r="E10" s="219" t="s">
        <v>394</v>
      </c>
      <c r="F10" s="219" t="s">
        <v>394</v>
      </c>
      <c r="G10" s="219" t="s">
        <v>394</v>
      </c>
      <c r="H10" s="219" t="s">
        <v>394</v>
      </c>
      <c r="I10" s="219" t="s">
        <v>394</v>
      </c>
      <c r="J10" s="219" t="s">
        <v>394</v>
      </c>
      <c r="K10" s="219" t="s">
        <v>394</v>
      </c>
      <c r="L10" s="219" t="s">
        <v>394</v>
      </c>
      <c r="M10" s="219" t="s">
        <v>394</v>
      </c>
      <c r="N10" s="219" t="s">
        <v>394</v>
      </c>
      <c r="O10" s="219" t="s">
        <v>394</v>
      </c>
      <c r="P10" s="219"/>
      <c r="Q10" s="219" t="s">
        <v>394</v>
      </c>
      <c r="R10" s="219"/>
      <c r="S10" s="219" t="s">
        <v>394</v>
      </c>
      <c r="T10" s="219" t="s">
        <v>394</v>
      </c>
      <c r="U10" s="219" t="s">
        <v>394</v>
      </c>
      <c r="V10" s="219" t="s">
        <v>394</v>
      </c>
      <c r="X10" s="84"/>
    </row>
    <row r="11" spans="1:25" ht="15" customHeight="1">
      <c r="A11" s="77"/>
      <c r="B11" s="21" t="s">
        <v>22</v>
      </c>
      <c r="C11" s="220">
        <v>12</v>
      </c>
      <c r="D11" s="220">
        <v>13</v>
      </c>
      <c r="E11" s="219">
        <v>13</v>
      </c>
      <c r="F11" s="219">
        <v>11</v>
      </c>
      <c r="G11" s="219">
        <v>14</v>
      </c>
      <c r="H11" s="219">
        <v>14</v>
      </c>
      <c r="I11" s="219">
        <v>14</v>
      </c>
      <c r="J11" s="219">
        <v>15</v>
      </c>
      <c r="K11" s="219">
        <v>17</v>
      </c>
      <c r="L11" s="219">
        <v>17</v>
      </c>
      <c r="M11" s="219">
        <v>17</v>
      </c>
      <c r="N11" s="219">
        <v>18</v>
      </c>
      <c r="O11" s="219">
        <v>18</v>
      </c>
      <c r="P11" s="219">
        <v>18</v>
      </c>
      <c r="Q11" s="219">
        <v>17</v>
      </c>
      <c r="R11" s="219">
        <v>18.600000000000001</v>
      </c>
      <c r="S11" s="219">
        <v>16.600000000000001</v>
      </c>
      <c r="T11" s="219">
        <v>18.3</v>
      </c>
      <c r="U11" s="219">
        <v>16.731060899999999</v>
      </c>
      <c r="V11" s="219">
        <v>13.664583300000002</v>
      </c>
      <c r="W11" s="564"/>
      <c r="X11" s="564"/>
      <c r="Y11" s="564"/>
    </row>
    <row r="12" spans="1:25" ht="15" customHeight="1">
      <c r="A12" s="77"/>
      <c r="B12" s="21" t="s">
        <v>23</v>
      </c>
      <c r="C12" s="220">
        <v>2</v>
      </c>
      <c r="D12" s="220">
        <v>2</v>
      </c>
      <c r="E12" s="219">
        <v>1</v>
      </c>
      <c r="F12" s="219">
        <v>0.4</v>
      </c>
      <c r="G12" s="219">
        <v>0.4</v>
      </c>
      <c r="H12" s="219" t="s">
        <v>394</v>
      </c>
      <c r="I12" s="219" t="s">
        <v>394</v>
      </c>
      <c r="J12" s="219" t="s">
        <v>394</v>
      </c>
      <c r="K12" s="219" t="s">
        <v>394</v>
      </c>
      <c r="L12" s="219" t="s">
        <v>394</v>
      </c>
      <c r="M12" s="219" t="s">
        <v>394</v>
      </c>
      <c r="N12" s="219" t="s">
        <v>394</v>
      </c>
      <c r="O12" s="219" t="s">
        <v>394</v>
      </c>
      <c r="P12" s="219"/>
      <c r="Q12" s="219" t="s">
        <v>394</v>
      </c>
      <c r="R12" s="219" t="s">
        <v>394</v>
      </c>
      <c r="S12" s="219" t="s">
        <v>394</v>
      </c>
      <c r="T12" s="219" t="s">
        <v>394</v>
      </c>
      <c r="U12" s="219" t="s">
        <v>394</v>
      </c>
      <c r="V12" s="219" t="s">
        <v>394</v>
      </c>
      <c r="X12" s="84"/>
    </row>
    <row r="13" spans="1:25" ht="15" customHeight="1">
      <c r="A13" s="77"/>
      <c r="B13" s="21" t="s">
        <v>27</v>
      </c>
      <c r="C13" s="220">
        <v>0</v>
      </c>
      <c r="D13" s="220">
        <v>0</v>
      </c>
      <c r="E13" s="219" t="s">
        <v>394</v>
      </c>
      <c r="F13" s="219" t="s">
        <v>394</v>
      </c>
      <c r="G13" s="219" t="s">
        <v>394</v>
      </c>
      <c r="H13" s="219" t="s">
        <v>394</v>
      </c>
      <c r="I13" s="219" t="s">
        <v>394</v>
      </c>
      <c r="J13" s="219" t="s">
        <v>394</v>
      </c>
      <c r="K13" s="219" t="s">
        <v>394</v>
      </c>
      <c r="L13" s="219" t="s">
        <v>394</v>
      </c>
      <c r="M13" s="219" t="s">
        <v>394</v>
      </c>
      <c r="N13" s="219" t="s">
        <v>394</v>
      </c>
      <c r="O13" s="219" t="s">
        <v>394</v>
      </c>
      <c r="P13" s="219"/>
      <c r="Q13" s="219" t="s">
        <v>394</v>
      </c>
      <c r="R13" s="219" t="s">
        <v>394</v>
      </c>
      <c r="S13" s="219" t="s">
        <v>394</v>
      </c>
      <c r="T13" s="219" t="s">
        <v>394</v>
      </c>
      <c r="U13" s="219" t="s">
        <v>394</v>
      </c>
      <c r="V13" s="219" t="s">
        <v>394</v>
      </c>
      <c r="X13" s="84"/>
    </row>
    <row r="14" spans="1:25" ht="15" customHeight="1">
      <c r="A14" s="77"/>
      <c r="B14" s="21" t="s">
        <v>28</v>
      </c>
      <c r="C14" s="220">
        <v>10</v>
      </c>
      <c r="D14" s="220">
        <v>7</v>
      </c>
      <c r="E14" s="219">
        <v>12</v>
      </c>
      <c r="F14" s="219">
        <v>5</v>
      </c>
      <c r="G14" s="219">
        <v>4</v>
      </c>
      <c r="H14" s="219">
        <v>3</v>
      </c>
      <c r="I14" s="219">
        <v>4</v>
      </c>
      <c r="J14" s="219">
        <v>3</v>
      </c>
      <c r="K14" s="219" t="s">
        <v>394</v>
      </c>
      <c r="L14" s="219" t="s">
        <v>394</v>
      </c>
      <c r="M14" s="219" t="s">
        <v>394</v>
      </c>
      <c r="N14" s="219" t="s">
        <v>394</v>
      </c>
      <c r="O14" s="219" t="s">
        <v>394</v>
      </c>
      <c r="P14" s="219"/>
      <c r="Q14" s="219" t="s">
        <v>394</v>
      </c>
      <c r="R14" s="219" t="s">
        <v>394</v>
      </c>
      <c r="S14" s="219" t="s">
        <v>394</v>
      </c>
      <c r="T14" s="219" t="s">
        <v>394</v>
      </c>
      <c r="U14" s="219" t="s">
        <v>394</v>
      </c>
      <c r="V14" s="219" t="s">
        <v>394</v>
      </c>
      <c r="X14" s="84"/>
    </row>
    <row r="15" spans="1:25" ht="15" customHeight="1">
      <c r="A15" s="77"/>
      <c r="B15" s="21" t="s">
        <v>29</v>
      </c>
      <c r="C15" s="220">
        <v>1</v>
      </c>
      <c r="D15" s="220">
        <v>6</v>
      </c>
      <c r="E15" s="219">
        <v>5</v>
      </c>
      <c r="F15" s="219">
        <v>7</v>
      </c>
      <c r="G15" s="219">
        <v>5</v>
      </c>
      <c r="H15" s="219">
        <v>4</v>
      </c>
      <c r="I15" s="219">
        <v>5</v>
      </c>
      <c r="J15" s="219">
        <v>8</v>
      </c>
      <c r="K15" s="219">
        <v>4</v>
      </c>
      <c r="L15" s="219">
        <v>4</v>
      </c>
      <c r="M15" s="219">
        <v>5</v>
      </c>
      <c r="N15" s="219">
        <v>33</v>
      </c>
      <c r="O15" s="219">
        <v>31</v>
      </c>
      <c r="P15" s="219">
        <v>35</v>
      </c>
      <c r="Q15" s="219">
        <v>29</v>
      </c>
      <c r="R15" s="219">
        <v>26.3</v>
      </c>
      <c r="S15" s="219">
        <v>29.7</v>
      </c>
      <c r="T15" s="219">
        <v>27.8</v>
      </c>
      <c r="U15" s="219">
        <v>27.547696999999999</v>
      </c>
      <c r="V15" s="219">
        <v>24.444194399999997</v>
      </c>
      <c r="W15" s="564"/>
      <c r="X15" s="564"/>
      <c r="Y15" s="564"/>
    </row>
    <row r="16" spans="1:25" ht="15" customHeight="1">
      <c r="A16" s="77"/>
      <c r="B16" s="21" t="s">
        <v>30</v>
      </c>
      <c r="C16" s="220">
        <v>0</v>
      </c>
      <c r="D16" s="220">
        <v>0</v>
      </c>
      <c r="E16" s="219" t="s">
        <v>394</v>
      </c>
      <c r="F16" s="219" t="s">
        <v>394</v>
      </c>
      <c r="G16" s="219" t="s">
        <v>394</v>
      </c>
      <c r="H16" s="219" t="s">
        <v>394</v>
      </c>
      <c r="I16" s="219" t="s">
        <v>394</v>
      </c>
      <c r="J16" s="219" t="s">
        <v>394</v>
      </c>
      <c r="K16" s="219" t="s">
        <v>394</v>
      </c>
      <c r="L16" s="219" t="s">
        <v>394</v>
      </c>
      <c r="M16" s="219" t="s">
        <v>394</v>
      </c>
      <c r="N16" s="219" t="s">
        <v>394</v>
      </c>
      <c r="O16" s="219" t="s">
        <v>394</v>
      </c>
      <c r="P16" s="219" t="s">
        <v>394</v>
      </c>
      <c r="Q16" s="219" t="s">
        <v>394</v>
      </c>
      <c r="R16" s="219" t="s">
        <v>394</v>
      </c>
      <c r="S16" s="219" t="s">
        <v>394</v>
      </c>
      <c r="T16" s="219" t="s">
        <v>394</v>
      </c>
      <c r="U16" s="219" t="s">
        <v>394</v>
      </c>
      <c r="V16" s="219" t="s">
        <v>394</v>
      </c>
      <c r="X16" s="84"/>
    </row>
    <row r="17" spans="1:25" ht="15" customHeight="1">
      <c r="A17" s="77"/>
      <c r="B17" s="21" t="s">
        <v>31</v>
      </c>
      <c r="C17" s="220">
        <v>2</v>
      </c>
      <c r="D17" s="220">
        <v>2</v>
      </c>
      <c r="E17" s="219">
        <v>1</v>
      </c>
      <c r="F17" s="219">
        <v>2</v>
      </c>
      <c r="G17" s="219">
        <v>0.2</v>
      </c>
      <c r="H17" s="219">
        <v>0</v>
      </c>
      <c r="I17" s="219" t="s">
        <v>394</v>
      </c>
      <c r="J17" s="219">
        <v>1.2</v>
      </c>
      <c r="K17" s="219">
        <v>0.5</v>
      </c>
      <c r="L17" s="219">
        <v>1</v>
      </c>
      <c r="M17" s="219">
        <v>2</v>
      </c>
      <c r="N17" s="219">
        <v>5</v>
      </c>
      <c r="O17" s="219">
        <v>6</v>
      </c>
      <c r="P17" s="219">
        <v>6</v>
      </c>
      <c r="Q17" s="219">
        <v>4</v>
      </c>
      <c r="R17" s="219">
        <v>4.4000000000000004</v>
      </c>
      <c r="S17" s="219">
        <v>4.7</v>
      </c>
      <c r="T17" s="219">
        <v>5.2</v>
      </c>
      <c r="U17" s="219">
        <v>5.6456702793599991</v>
      </c>
      <c r="V17" s="219">
        <v>12.489115600000002</v>
      </c>
      <c r="W17" s="564"/>
      <c r="X17" s="564"/>
      <c r="Y17" s="564"/>
    </row>
    <row r="18" spans="1:25" ht="15" customHeight="1">
      <c r="A18" s="77"/>
      <c r="B18" s="21" t="s">
        <v>32</v>
      </c>
      <c r="C18" s="220">
        <v>47</v>
      </c>
      <c r="D18" s="220">
        <v>49</v>
      </c>
      <c r="E18" s="219">
        <v>76</v>
      </c>
      <c r="F18" s="219">
        <v>70</v>
      </c>
      <c r="G18" s="219">
        <v>77</v>
      </c>
      <c r="H18" s="219">
        <v>89</v>
      </c>
      <c r="I18" s="219">
        <v>109</v>
      </c>
      <c r="J18" s="219">
        <v>108</v>
      </c>
      <c r="K18" s="219">
        <v>130</v>
      </c>
      <c r="L18" s="219">
        <v>124</v>
      </c>
      <c r="M18" s="219">
        <v>149</v>
      </c>
      <c r="N18" s="219">
        <v>178</v>
      </c>
      <c r="O18" s="219">
        <v>162</v>
      </c>
      <c r="P18" s="219">
        <v>177</v>
      </c>
      <c r="Q18" s="219">
        <v>188</v>
      </c>
      <c r="R18" s="219">
        <v>181.9</v>
      </c>
      <c r="S18" s="219">
        <v>193.5</v>
      </c>
      <c r="T18" s="219">
        <v>187.7</v>
      </c>
      <c r="U18" s="219">
        <v>209.04712999999998</v>
      </c>
      <c r="V18" s="219">
        <v>307.60074814054053</v>
      </c>
      <c r="W18" s="564"/>
      <c r="X18" s="564"/>
      <c r="Y18" s="564"/>
    </row>
    <row r="19" spans="1:25" ht="15" customHeight="1">
      <c r="A19" s="77"/>
      <c r="B19" s="21" t="s">
        <v>33</v>
      </c>
      <c r="C19" s="220">
        <v>44</v>
      </c>
      <c r="D19" s="220">
        <v>45</v>
      </c>
      <c r="E19" s="219">
        <v>33</v>
      </c>
      <c r="F19" s="219">
        <v>82</v>
      </c>
      <c r="G19" s="219">
        <v>84</v>
      </c>
      <c r="H19" s="219">
        <v>80</v>
      </c>
      <c r="I19" s="219">
        <v>116</v>
      </c>
      <c r="J19" s="219">
        <v>120</v>
      </c>
      <c r="K19" s="219">
        <v>102</v>
      </c>
      <c r="L19" s="219">
        <v>139</v>
      </c>
      <c r="M19" s="219">
        <v>118</v>
      </c>
      <c r="N19" s="219">
        <v>125</v>
      </c>
      <c r="O19" s="219">
        <v>141</v>
      </c>
      <c r="P19" s="219">
        <v>188</v>
      </c>
      <c r="Q19" s="219">
        <v>149</v>
      </c>
      <c r="R19" s="219">
        <v>154.6</v>
      </c>
      <c r="S19" s="219">
        <v>166</v>
      </c>
      <c r="T19" s="219">
        <v>168.4</v>
      </c>
      <c r="U19" s="219">
        <v>203.87913839999999</v>
      </c>
      <c r="V19" s="219">
        <v>219.17725200000001</v>
      </c>
      <c r="W19" s="564"/>
      <c r="X19" s="564"/>
      <c r="Y19" s="564"/>
    </row>
    <row r="20" spans="1:25" ht="15" customHeight="1">
      <c r="A20" s="77"/>
      <c r="B20" s="21" t="s">
        <v>34</v>
      </c>
      <c r="C20" s="220">
        <v>229</v>
      </c>
      <c r="D20" s="220">
        <v>167</v>
      </c>
      <c r="E20" s="219">
        <v>135</v>
      </c>
      <c r="F20" s="219">
        <v>73</v>
      </c>
      <c r="G20" s="219">
        <v>122</v>
      </c>
      <c r="H20" s="219">
        <v>119</v>
      </c>
      <c r="I20" s="219">
        <v>140</v>
      </c>
      <c r="J20" s="219">
        <v>168</v>
      </c>
      <c r="K20" s="219">
        <v>100</v>
      </c>
      <c r="L20" s="219">
        <v>69</v>
      </c>
      <c r="M20" s="219">
        <v>94</v>
      </c>
      <c r="N20" s="219">
        <v>117</v>
      </c>
      <c r="O20" s="219">
        <v>152</v>
      </c>
      <c r="P20" s="219">
        <v>164</v>
      </c>
      <c r="Q20" s="219">
        <v>104</v>
      </c>
      <c r="R20" s="219">
        <v>101.8</v>
      </c>
      <c r="S20" s="219">
        <v>99.7</v>
      </c>
      <c r="T20" s="219">
        <v>99.6</v>
      </c>
      <c r="U20" s="219">
        <v>95.287864999999996</v>
      </c>
      <c r="V20" s="219">
        <v>90.448800000000006</v>
      </c>
      <c r="W20" s="564"/>
      <c r="X20" s="564"/>
      <c r="Y20" s="564"/>
    </row>
    <row r="21" spans="1:25" ht="15" customHeight="1">
      <c r="A21" s="77"/>
      <c r="B21" s="21" t="s">
        <v>35</v>
      </c>
      <c r="C21" s="220">
        <v>228</v>
      </c>
      <c r="D21" s="220">
        <v>292</v>
      </c>
      <c r="E21" s="219">
        <v>346</v>
      </c>
      <c r="F21" s="219">
        <v>362</v>
      </c>
      <c r="G21" s="219">
        <v>444</v>
      </c>
      <c r="H21" s="219">
        <v>408</v>
      </c>
      <c r="I21" s="219">
        <v>413</v>
      </c>
      <c r="J21" s="219">
        <v>385</v>
      </c>
      <c r="K21" s="219">
        <v>370</v>
      </c>
      <c r="L21" s="219">
        <v>415</v>
      </c>
      <c r="M21" s="219">
        <v>296</v>
      </c>
      <c r="N21" s="219">
        <v>277</v>
      </c>
      <c r="O21" s="219">
        <v>209</v>
      </c>
      <c r="P21" s="219">
        <v>186</v>
      </c>
      <c r="Q21" s="219">
        <v>183</v>
      </c>
      <c r="R21" s="219">
        <v>147.6</v>
      </c>
      <c r="S21" s="219">
        <v>123.3</v>
      </c>
      <c r="T21" s="219">
        <v>127.6</v>
      </c>
      <c r="U21" s="219">
        <v>135.08259999999996</v>
      </c>
      <c r="V21" s="219">
        <v>134.70536999999999</v>
      </c>
      <c r="W21" s="564"/>
      <c r="X21" s="564"/>
      <c r="Y21" s="564"/>
    </row>
    <row r="22" spans="1:25" ht="15" customHeight="1">
      <c r="A22" s="77"/>
      <c r="B22" s="21" t="s">
        <v>36</v>
      </c>
      <c r="C22" s="220">
        <v>11</v>
      </c>
      <c r="D22" s="220">
        <v>14</v>
      </c>
      <c r="E22" s="219">
        <v>18</v>
      </c>
      <c r="F22" s="219">
        <v>22</v>
      </c>
      <c r="G22" s="219">
        <v>8</v>
      </c>
      <c r="H22" s="219">
        <v>33</v>
      </c>
      <c r="I22" s="219">
        <v>108</v>
      </c>
      <c r="J22" s="219">
        <v>98</v>
      </c>
      <c r="K22" s="219">
        <v>49</v>
      </c>
      <c r="L22" s="219">
        <v>41</v>
      </c>
      <c r="M22" s="219">
        <v>76</v>
      </c>
      <c r="N22" s="219">
        <v>55</v>
      </c>
      <c r="O22" s="219">
        <v>78</v>
      </c>
      <c r="P22" s="219">
        <v>83</v>
      </c>
      <c r="Q22" s="219">
        <v>77</v>
      </c>
      <c r="R22" s="219">
        <v>67.099999999999994</v>
      </c>
      <c r="S22" s="219">
        <v>57.5</v>
      </c>
      <c r="T22" s="219">
        <v>54.9</v>
      </c>
      <c r="U22" s="219">
        <v>55.948596799644164</v>
      </c>
      <c r="V22" s="219">
        <v>58.191819219999999</v>
      </c>
      <c r="W22" s="564"/>
      <c r="X22" s="564"/>
      <c r="Y22" s="564"/>
    </row>
    <row r="23" spans="1:25" ht="15" customHeight="1">
      <c r="A23" s="77"/>
      <c r="B23" s="21" t="s">
        <v>37</v>
      </c>
      <c r="C23" s="220">
        <v>12</v>
      </c>
      <c r="D23" s="220">
        <v>10</v>
      </c>
      <c r="E23" s="219">
        <v>22</v>
      </c>
      <c r="F23" s="219">
        <v>6</v>
      </c>
      <c r="G23" s="219">
        <v>3</v>
      </c>
      <c r="H23" s="219">
        <v>29</v>
      </c>
      <c r="I23" s="219">
        <v>20</v>
      </c>
      <c r="J23" s="219">
        <v>47</v>
      </c>
      <c r="K23" s="219">
        <v>31</v>
      </c>
      <c r="L23" s="219">
        <v>26</v>
      </c>
      <c r="M23" s="219">
        <v>71</v>
      </c>
      <c r="N23" s="219">
        <v>60</v>
      </c>
      <c r="O23" s="219">
        <v>63</v>
      </c>
      <c r="P23" s="219">
        <v>119</v>
      </c>
      <c r="Q23" s="219">
        <v>109</v>
      </c>
      <c r="R23" s="219">
        <v>100.9</v>
      </c>
      <c r="S23" s="219">
        <v>117.2</v>
      </c>
      <c r="T23" s="219">
        <v>111.3</v>
      </c>
      <c r="U23" s="219">
        <v>108.114521</v>
      </c>
      <c r="V23" s="219">
        <v>131.70804200000001</v>
      </c>
      <c r="W23" s="564"/>
      <c r="X23" s="564"/>
      <c r="Y23" s="564"/>
    </row>
    <row r="24" spans="1:25" ht="15" customHeight="1">
      <c r="A24" s="77"/>
      <c r="B24" s="21" t="s">
        <v>38</v>
      </c>
      <c r="C24" s="220">
        <v>124</v>
      </c>
      <c r="D24" s="220">
        <v>92</v>
      </c>
      <c r="E24" s="219">
        <v>110</v>
      </c>
      <c r="F24" s="219">
        <v>104</v>
      </c>
      <c r="G24" s="219">
        <v>126</v>
      </c>
      <c r="H24" s="219">
        <v>86</v>
      </c>
      <c r="I24" s="219">
        <v>139</v>
      </c>
      <c r="J24" s="219">
        <v>157</v>
      </c>
      <c r="K24" s="219">
        <v>173</v>
      </c>
      <c r="L24" s="219">
        <v>139</v>
      </c>
      <c r="M24" s="219">
        <v>133</v>
      </c>
      <c r="N24" s="219">
        <v>164</v>
      </c>
      <c r="O24" s="219">
        <v>154</v>
      </c>
      <c r="P24" s="219">
        <v>180</v>
      </c>
      <c r="Q24" s="219">
        <v>219</v>
      </c>
      <c r="R24" s="219">
        <v>169.1</v>
      </c>
      <c r="S24" s="219">
        <v>149.6</v>
      </c>
      <c r="T24" s="219">
        <v>144.6</v>
      </c>
      <c r="U24" s="219">
        <v>110.58165000000001</v>
      </c>
      <c r="V24" s="219">
        <v>106.8967</v>
      </c>
      <c r="W24" s="564"/>
      <c r="X24" s="564"/>
      <c r="Y24" s="564"/>
    </row>
    <row r="25" spans="1:25" ht="15" customHeight="1">
      <c r="A25" s="77"/>
      <c r="B25" s="21" t="s">
        <v>39</v>
      </c>
      <c r="C25" s="220">
        <v>186</v>
      </c>
      <c r="D25" s="220">
        <v>181</v>
      </c>
      <c r="E25" s="219">
        <v>207</v>
      </c>
      <c r="F25" s="219">
        <v>206</v>
      </c>
      <c r="G25" s="219">
        <v>142</v>
      </c>
      <c r="H25" s="219">
        <v>135</v>
      </c>
      <c r="I25" s="219">
        <v>220</v>
      </c>
      <c r="J25" s="219">
        <v>156</v>
      </c>
      <c r="K25" s="219">
        <v>154</v>
      </c>
      <c r="L25" s="219">
        <v>147</v>
      </c>
      <c r="M25" s="219">
        <v>138</v>
      </c>
      <c r="N25" s="219">
        <v>122</v>
      </c>
      <c r="O25" s="219">
        <v>91</v>
      </c>
      <c r="P25" s="219">
        <v>81</v>
      </c>
      <c r="Q25" s="219">
        <v>80</v>
      </c>
      <c r="R25" s="219">
        <v>78.5</v>
      </c>
      <c r="S25" s="219">
        <v>76.7</v>
      </c>
      <c r="T25" s="219">
        <v>76.7</v>
      </c>
      <c r="U25" s="219">
        <v>72.868802400000007</v>
      </c>
      <c r="V25" s="219">
        <v>68.480900000000005</v>
      </c>
      <c r="W25" s="564"/>
      <c r="X25" s="564"/>
      <c r="Y25" s="564"/>
    </row>
    <row r="26" spans="1:25" ht="15" customHeight="1">
      <c r="A26" s="77"/>
      <c r="B26" s="21" t="s">
        <v>42</v>
      </c>
      <c r="C26" s="220">
        <v>318</v>
      </c>
      <c r="D26" s="220">
        <v>217</v>
      </c>
      <c r="E26" s="219">
        <v>464</v>
      </c>
      <c r="F26" s="219">
        <v>528</v>
      </c>
      <c r="G26" s="219">
        <v>736</v>
      </c>
      <c r="H26" s="219">
        <v>659</v>
      </c>
      <c r="I26" s="219">
        <v>637</v>
      </c>
      <c r="J26" s="219">
        <v>727</v>
      </c>
      <c r="K26" s="219">
        <v>583</v>
      </c>
      <c r="L26" s="219">
        <v>598</v>
      </c>
      <c r="M26" s="219">
        <v>605</v>
      </c>
      <c r="N26" s="219">
        <v>621</v>
      </c>
      <c r="O26" s="219">
        <v>569</v>
      </c>
      <c r="P26" s="219">
        <v>694</v>
      </c>
      <c r="Q26" s="219">
        <v>634</v>
      </c>
      <c r="R26" s="219">
        <v>618.9</v>
      </c>
      <c r="S26" s="219">
        <v>677.3</v>
      </c>
      <c r="T26" s="219">
        <v>691.8</v>
      </c>
      <c r="U26" s="219">
        <v>709.4208744</v>
      </c>
      <c r="V26" s="219">
        <v>693.25600000000009</v>
      </c>
      <c r="W26" s="564"/>
      <c r="X26" s="564"/>
      <c r="Y26" s="564"/>
    </row>
    <row r="27" spans="1:25" ht="15" customHeight="1">
      <c r="A27" s="77"/>
      <c r="B27" s="21" t="s">
        <v>43</v>
      </c>
      <c r="C27" s="220">
        <v>2370</v>
      </c>
      <c r="D27" s="220">
        <v>2413</v>
      </c>
      <c r="E27" s="219">
        <v>2450</v>
      </c>
      <c r="F27" s="219">
        <v>2540</v>
      </c>
      <c r="G27" s="219">
        <v>2620</v>
      </c>
      <c r="H27" s="219">
        <v>2691</v>
      </c>
      <c r="I27" s="219">
        <v>2736</v>
      </c>
      <c r="J27" s="219">
        <v>2805</v>
      </c>
      <c r="K27" s="219">
        <v>2707</v>
      </c>
      <c r="L27" s="219">
        <v>2764</v>
      </c>
      <c r="M27" s="219">
        <v>2732</v>
      </c>
      <c r="N27" s="219">
        <v>2733</v>
      </c>
      <c r="O27" s="219">
        <v>2642</v>
      </c>
      <c r="P27" s="219">
        <v>2644</v>
      </c>
      <c r="Q27" s="219">
        <v>2660</v>
      </c>
      <c r="R27" s="219">
        <v>2682</v>
      </c>
      <c r="S27" s="219">
        <v>2691.4</v>
      </c>
      <c r="T27" s="219">
        <v>2708.2</v>
      </c>
      <c r="U27" s="219">
        <v>2716.2159999999999</v>
      </c>
      <c r="V27" s="219">
        <v>2754.1629999999996</v>
      </c>
      <c r="W27" s="564"/>
      <c r="X27" s="564"/>
      <c r="Y27" s="564"/>
    </row>
    <row r="28" spans="1:25" ht="15" customHeight="1">
      <c r="A28" s="77"/>
      <c r="B28" s="76" t="s">
        <v>44</v>
      </c>
      <c r="C28" s="220">
        <v>0</v>
      </c>
      <c r="D28" s="220">
        <v>0</v>
      </c>
      <c r="E28" s="219" t="s">
        <v>394</v>
      </c>
      <c r="F28" s="219" t="s">
        <v>394</v>
      </c>
      <c r="G28" s="219" t="s">
        <v>394</v>
      </c>
      <c r="H28" s="219" t="s">
        <v>394</v>
      </c>
      <c r="I28" s="219" t="s">
        <v>394</v>
      </c>
      <c r="J28" s="219" t="s">
        <v>394</v>
      </c>
      <c r="K28" s="219" t="s">
        <v>394</v>
      </c>
      <c r="L28" s="219" t="s">
        <v>394</v>
      </c>
      <c r="M28" s="219" t="s">
        <v>394</v>
      </c>
      <c r="N28" s="219" t="s">
        <v>394</v>
      </c>
      <c r="O28" s="219" t="s">
        <v>394</v>
      </c>
      <c r="P28" s="219" t="s">
        <v>394</v>
      </c>
      <c r="Q28" s="219" t="s">
        <v>394</v>
      </c>
      <c r="R28" s="219" t="s">
        <v>394</v>
      </c>
      <c r="S28" s="219" t="s">
        <v>394</v>
      </c>
      <c r="T28" s="219" t="s">
        <v>394</v>
      </c>
      <c r="U28" s="219" t="s">
        <v>394</v>
      </c>
      <c r="V28" s="219" t="s">
        <v>394</v>
      </c>
      <c r="X28" s="84"/>
    </row>
    <row r="29" spans="1:25" ht="15" customHeight="1">
      <c r="A29" s="77"/>
      <c r="B29" s="21" t="s">
        <v>45</v>
      </c>
      <c r="C29" s="220">
        <v>0</v>
      </c>
      <c r="D29" s="220">
        <v>0</v>
      </c>
      <c r="E29" s="219" t="s">
        <v>394</v>
      </c>
      <c r="F29" s="219" t="s">
        <v>394</v>
      </c>
      <c r="G29" s="219" t="s">
        <v>394</v>
      </c>
      <c r="H29" s="219" t="s">
        <v>394</v>
      </c>
      <c r="I29" s="219" t="s">
        <v>394</v>
      </c>
      <c r="J29" s="219" t="s">
        <v>394</v>
      </c>
      <c r="K29" s="219" t="s">
        <v>394</v>
      </c>
      <c r="L29" s="219" t="s">
        <v>394</v>
      </c>
      <c r="M29" s="219" t="s">
        <v>394</v>
      </c>
      <c r="N29" s="219" t="s">
        <v>394</v>
      </c>
      <c r="O29" s="219" t="s">
        <v>394</v>
      </c>
      <c r="P29" s="219" t="s">
        <v>394</v>
      </c>
      <c r="Q29" s="219" t="s">
        <v>394</v>
      </c>
      <c r="R29" s="219" t="s">
        <v>394</v>
      </c>
      <c r="S29" s="219" t="s">
        <v>394</v>
      </c>
      <c r="T29" s="219" t="s">
        <v>394</v>
      </c>
      <c r="U29" s="219" t="s">
        <v>394</v>
      </c>
      <c r="V29" s="219" t="s">
        <v>394</v>
      </c>
      <c r="X29" s="84"/>
    </row>
    <row r="30" spans="1:25" ht="15" customHeight="1">
      <c r="A30" s="77"/>
      <c r="B30" s="21" t="s">
        <v>46</v>
      </c>
      <c r="C30" s="220">
        <v>0</v>
      </c>
      <c r="D30" s="220">
        <v>0</v>
      </c>
      <c r="E30" s="219" t="s">
        <v>394</v>
      </c>
      <c r="F30" s="219" t="s">
        <v>394</v>
      </c>
      <c r="G30" s="219" t="s">
        <v>394</v>
      </c>
      <c r="H30" s="219" t="s">
        <v>394</v>
      </c>
      <c r="I30" s="219" t="s">
        <v>394</v>
      </c>
      <c r="J30" s="219" t="s">
        <v>394</v>
      </c>
      <c r="K30" s="219" t="s">
        <v>394</v>
      </c>
      <c r="L30" s="219" t="s">
        <v>394</v>
      </c>
      <c r="M30" s="219" t="s">
        <v>394</v>
      </c>
      <c r="N30" s="219" t="s">
        <v>394</v>
      </c>
      <c r="O30" s="219" t="s">
        <v>394</v>
      </c>
      <c r="P30" s="219" t="s">
        <v>394</v>
      </c>
      <c r="Q30" s="219" t="s">
        <v>394</v>
      </c>
      <c r="R30" s="219" t="s">
        <v>394</v>
      </c>
      <c r="S30" s="219" t="s">
        <v>394</v>
      </c>
      <c r="T30" s="219" t="s">
        <v>394</v>
      </c>
      <c r="U30" s="219" t="s">
        <v>394</v>
      </c>
      <c r="V30" s="219" t="s">
        <v>394</v>
      </c>
      <c r="X30" s="84"/>
    </row>
    <row r="31" spans="1:25" ht="15" customHeight="1" thickBot="1">
      <c r="A31" s="82"/>
      <c r="B31" s="434" t="s">
        <v>47</v>
      </c>
      <c r="C31" s="436">
        <v>0</v>
      </c>
      <c r="D31" s="436">
        <v>0</v>
      </c>
      <c r="E31" s="437" t="s">
        <v>394</v>
      </c>
      <c r="F31" s="437" t="s">
        <v>394</v>
      </c>
      <c r="G31" s="437" t="s">
        <v>394</v>
      </c>
      <c r="H31" s="437" t="s">
        <v>394</v>
      </c>
      <c r="I31" s="437" t="s">
        <v>394</v>
      </c>
      <c r="J31" s="437" t="s">
        <v>394</v>
      </c>
      <c r="K31" s="437" t="s">
        <v>394</v>
      </c>
      <c r="L31" s="437" t="s">
        <v>394</v>
      </c>
      <c r="M31" s="437" t="s">
        <v>394</v>
      </c>
      <c r="N31" s="437" t="s">
        <v>394</v>
      </c>
      <c r="O31" s="437" t="s">
        <v>394</v>
      </c>
      <c r="P31" s="437" t="s">
        <v>394</v>
      </c>
      <c r="Q31" s="437" t="s">
        <v>394</v>
      </c>
      <c r="R31" s="437" t="s">
        <v>394</v>
      </c>
      <c r="S31" s="437" t="s">
        <v>394</v>
      </c>
      <c r="T31" s="437" t="s">
        <v>394</v>
      </c>
      <c r="U31" s="437" t="s">
        <v>394</v>
      </c>
      <c r="V31" s="437" t="s">
        <v>394</v>
      </c>
      <c r="X31" s="84"/>
    </row>
    <row r="32" spans="1:25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3">
    <tabColor theme="9" tint="0.59999389629810485"/>
  </sheetPr>
  <dimension ref="A2:Z36"/>
  <sheetViews>
    <sheetView showGridLines="0" zoomScaleNormal="100" workbookViewId="0">
      <selection activeCell="I17" sqref="I17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59765625" style="76" customWidth="1"/>
    <col min="24" max="27" width="8.19921875" style="76" customWidth="1"/>
    <col min="28" max="16384" width="7" style="76"/>
  </cols>
  <sheetData>
    <row r="2" spans="1:26" ht="17.25" customHeight="1">
      <c r="A2" s="210" t="s">
        <v>509</v>
      </c>
      <c r="B2" s="211"/>
    </row>
    <row r="3" spans="1:26" ht="13.25" customHeight="1">
      <c r="A3" s="212" t="s">
        <v>342</v>
      </c>
      <c r="B3" s="212"/>
    </row>
    <row r="4" spans="1:26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6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6" ht="18" customHeight="1">
      <c r="A6" s="1020" t="s">
        <v>100</v>
      </c>
      <c r="B6" s="1020"/>
      <c r="C6" s="631">
        <v>11.5</v>
      </c>
      <c r="D6" s="631">
        <v>16.96</v>
      </c>
      <c r="E6" s="631">
        <v>18.39</v>
      </c>
      <c r="F6" s="631">
        <v>18.7</v>
      </c>
      <c r="G6" s="631">
        <v>12.17</v>
      </c>
      <c r="H6" s="631">
        <v>12.86</v>
      </c>
      <c r="I6" s="631">
        <v>14.69</v>
      </c>
      <c r="J6" s="631">
        <v>14.8</v>
      </c>
      <c r="K6" s="631">
        <v>16.07</v>
      </c>
      <c r="L6" s="631">
        <v>17.100000000000001</v>
      </c>
      <c r="M6" s="631">
        <v>17.850000000000001</v>
      </c>
      <c r="N6" s="631">
        <v>17.2</v>
      </c>
      <c r="O6" s="631">
        <v>17.39</v>
      </c>
      <c r="P6" s="631">
        <v>17.489999999999998</v>
      </c>
      <c r="Q6" s="631">
        <v>16.05</v>
      </c>
      <c r="R6" s="631">
        <v>13.61</v>
      </c>
      <c r="S6" s="631">
        <v>14.43</v>
      </c>
      <c r="T6" s="631">
        <v>14.72</v>
      </c>
      <c r="U6" s="631">
        <v>14.7258171783711</v>
      </c>
      <c r="V6" s="631">
        <v>14.74780990183822</v>
      </c>
      <c r="X6" s="152"/>
      <c r="Y6" s="152"/>
      <c r="Z6" s="152"/>
    </row>
    <row r="7" spans="1:26" ht="3" customHeight="1">
      <c r="A7" s="77"/>
      <c r="B7" s="78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</row>
    <row r="8" spans="1:26" ht="15" customHeight="1">
      <c r="A8" s="77"/>
      <c r="B8" s="21" t="s">
        <v>19</v>
      </c>
      <c r="C8" s="218" t="s">
        <v>73</v>
      </c>
      <c r="D8" s="218" t="s">
        <v>73</v>
      </c>
      <c r="E8" s="218" t="s">
        <v>73</v>
      </c>
      <c r="F8" s="218" t="s">
        <v>73</v>
      </c>
      <c r="G8" s="218" t="s">
        <v>73</v>
      </c>
      <c r="H8" s="218" t="s">
        <v>73</v>
      </c>
      <c r="I8" s="218" t="s">
        <v>73</v>
      </c>
      <c r="J8" s="218" t="s">
        <v>73</v>
      </c>
      <c r="K8" s="218" t="s">
        <v>73</v>
      </c>
      <c r="L8" s="218" t="s">
        <v>73</v>
      </c>
      <c r="M8" s="218" t="s">
        <v>73</v>
      </c>
      <c r="N8" s="218" t="s">
        <v>73</v>
      </c>
      <c r="O8" s="218" t="s">
        <v>73</v>
      </c>
      <c r="P8" s="218" t="s">
        <v>73</v>
      </c>
      <c r="Q8" s="218" t="s">
        <v>73</v>
      </c>
      <c r="R8" s="218" t="s">
        <v>73</v>
      </c>
      <c r="S8" s="218" t="s">
        <v>73</v>
      </c>
      <c r="T8" s="218" t="s">
        <v>73</v>
      </c>
      <c r="U8" s="218" t="s">
        <v>73</v>
      </c>
      <c r="V8" s="218" t="s">
        <v>73</v>
      </c>
    </row>
    <row r="9" spans="1:26" ht="15" customHeight="1">
      <c r="A9" s="77"/>
      <c r="B9" s="21" t="s">
        <v>20</v>
      </c>
      <c r="C9" s="218" t="s">
        <v>73</v>
      </c>
      <c r="D9" s="218" t="s">
        <v>73</v>
      </c>
      <c r="E9" s="218" t="s">
        <v>73</v>
      </c>
      <c r="F9" s="218" t="s">
        <v>73</v>
      </c>
      <c r="G9" s="218" t="s">
        <v>73</v>
      </c>
      <c r="H9" s="218" t="s">
        <v>73</v>
      </c>
      <c r="I9" s="218" t="s">
        <v>73</v>
      </c>
      <c r="J9" s="218" t="s">
        <v>73</v>
      </c>
      <c r="K9" s="218" t="s">
        <v>73</v>
      </c>
      <c r="L9" s="218" t="s">
        <v>73</v>
      </c>
      <c r="M9" s="218">
        <v>12.17</v>
      </c>
      <c r="N9" s="218" t="s">
        <v>73</v>
      </c>
      <c r="O9" s="218">
        <v>12</v>
      </c>
      <c r="P9" s="218" t="s">
        <v>73</v>
      </c>
      <c r="Q9" s="218">
        <v>12.84</v>
      </c>
      <c r="R9" s="218">
        <v>12.62</v>
      </c>
      <c r="S9" s="218">
        <v>12.38</v>
      </c>
      <c r="T9" s="218">
        <v>12.91</v>
      </c>
      <c r="U9" s="218" t="s">
        <v>73</v>
      </c>
      <c r="V9" s="218" t="s">
        <v>73</v>
      </c>
      <c r="X9" s="152"/>
      <c r="Y9" s="152"/>
      <c r="Z9" s="152"/>
    </row>
    <row r="10" spans="1:26" ht="15" customHeight="1">
      <c r="A10" s="77"/>
      <c r="B10" s="21" t="s">
        <v>21</v>
      </c>
      <c r="C10" s="218" t="s">
        <v>73</v>
      </c>
      <c r="D10" s="218" t="s">
        <v>73</v>
      </c>
      <c r="E10" s="218" t="s">
        <v>73</v>
      </c>
      <c r="F10" s="218" t="s">
        <v>73</v>
      </c>
      <c r="G10" s="218" t="s">
        <v>73</v>
      </c>
      <c r="H10" s="218" t="s">
        <v>73</v>
      </c>
      <c r="I10" s="218" t="s">
        <v>73</v>
      </c>
      <c r="J10" s="218" t="s">
        <v>73</v>
      </c>
      <c r="K10" s="218" t="s">
        <v>73</v>
      </c>
      <c r="L10" s="218" t="s">
        <v>73</v>
      </c>
      <c r="M10" s="218" t="s">
        <v>73</v>
      </c>
      <c r="N10" s="218" t="s">
        <v>73</v>
      </c>
      <c r="O10" s="218" t="s">
        <v>73</v>
      </c>
      <c r="P10" s="218" t="s">
        <v>73</v>
      </c>
      <c r="Q10" s="218" t="s">
        <v>73</v>
      </c>
      <c r="R10" s="218"/>
      <c r="S10" s="218"/>
      <c r="T10" s="218"/>
      <c r="U10" s="218" t="s">
        <v>73</v>
      </c>
      <c r="V10" s="218" t="s">
        <v>73</v>
      </c>
    </row>
    <row r="11" spans="1:26" ht="15" customHeight="1">
      <c r="A11" s="77"/>
      <c r="B11" s="21" t="s">
        <v>22</v>
      </c>
      <c r="C11" s="218">
        <v>11.35</v>
      </c>
      <c r="D11" s="218">
        <v>11.12</v>
      </c>
      <c r="E11" s="218">
        <v>11.55</v>
      </c>
      <c r="F11" s="218">
        <v>13.39</v>
      </c>
      <c r="G11" s="218">
        <v>11.59</v>
      </c>
      <c r="H11" s="218">
        <v>11.73</v>
      </c>
      <c r="I11" s="218">
        <v>12.32</v>
      </c>
      <c r="J11" s="218">
        <v>17.940000000000001</v>
      </c>
      <c r="K11" s="218">
        <v>20.82</v>
      </c>
      <c r="L11" s="218">
        <v>10.36</v>
      </c>
      <c r="M11" s="218">
        <v>12.37</v>
      </c>
      <c r="N11" s="218">
        <v>12.11</v>
      </c>
      <c r="O11" s="218">
        <v>12.52</v>
      </c>
      <c r="P11" s="218">
        <v>12.39</v>
      </c>
      <c r="Q11" s="218">
        <v>13.17</v>
      </c>
      <c r="R11" s="218">
        <v>13.17</v>
      </c>
      <c r="S11" s="218">
        <v>13.29</v>
      </c>
      <c r="T11" s="218">
        <v>13.33</v>
      </c>
      <c r="U11" s="218">
        <v>14.818033628964866</v>
      </c>
      <c r="V11" s="218">
        <v>14.589805051013231</v>
      </c>
      <c r="X11" s="152"/>
      <c r="Y11" s="152"/>
      <c r="Z11" s="152"/>
    </row>
    <row r="12" spans="1:26" ht="15" customHeight="1">
      <c r="A12" s="77"/>
      <c r="B12" s="21" t="s">
        <v>23</v>
      </c>
      <c r="C12" s="218">
        <v>11.04</v>
      </c>
      <c r="D12" s="218">
        <v>12.14</v>
      </c>
      <c r="E12" s="218">
        <v>15.45</v>
      </c>
      <c r="F12" s="218">
        <v>17.66</v>
      </c>
      <c r="G12" s="218">
        <v>13.25</v>
      </c>
      <c r="H12" s="218" t="s">
        <v>73</v>
      </c>
      <c r="I12" s="218" t="s">
        <v>73</v>
      </c>
      <c r="J12" s="218" t="s">
        <v>73</v>
      </c>
      <c r="K12" s="218" t="s">
        <v>73</v>
      </c>
      <c r="L12" s="218" t="s">
        <v>73</v>
      </c>
      <c r="M12" s="218" t="s">
        <v>73</v>
      </c>
      <c r="N12" s="218" t="s">
        <v>73</v>
      </c>
      <c r="O12" s="218" t="s">
        <v>73</v>
      </c>
      <c r="P12" s="218" t="s">
        <v>73</v>
      </c>
      <c r="Q12" s="218" t="s">
        <v>73</v>
      </c>
      <c r="R12" s="218" t="s">
        <v>73</v>
      </c>
      <c r="S12" s="218" t="s">
        <v>73</v>
      </c>
      <c r="T12" s="218" t="s">
        <v>73</v>
      </c>
      <c r="U12" s="218" t="s">
        <v>73</v>
      </c>
      <c r="V12" s="218" t="s">
        <v>73</v>
      </c>
    </row>
    <row r="13" spans="1:26" ht="15" customHeight="1">
      <c r="A13" s="77"/>
      <c r="B13" s="21" t="s">
        <v>27</v>
      </c>
      <c r="C13" s="218" t="s">
        <v>73</v>
      </c>
      <c r="D13" s="218" t="s">
        <v>73</v>
      </c>
      <c r="E13" s="218" t="s">
        <v>73</v>
      </c>
      <c r="F13" s="218" t="s">
        <v>73</v>
      </c>
      <c r="G13" s="218" t="s">
        <v>73</v>
      </c>
      <c r="H13" s="218" t="s">
        <v>73</v>
      </c>
      <c r="I13" s="218" t="s">
        <v>73</v>
      </c>
      <c r="J13" s="218" t="s">
        <v>73</v>
      </c>
      <c r="K13" s="218" t="s">
        <v>73</v>
      </c>
      <c r="L13" s="218" t="s">
        <v>73</v>
      </c>
      <c r="M13" s="218" t="s">
        <v>73</v>
      </c>
      <c r="N13" s="218" t="s">
        <v>73</v>
      </c>
      <c r="O13" s="218" t="s">
        <v>73</v>
      </c>
      <c r="P13" s="218" t="s">
        <v>73</v>
      </c>
      <c r="Q13" s="218" t="s">
        <v>73</v>
      </c>
      <c r="R13" s="218" t="s">
        <v>73</v>
      </c>
      <c r="S13" s="218" t="s">
        <v>73</v>
      </c>
      <c r="T13" s="218" t="s">
        <v>73</v>
      </c>
      <c r="U13" s="218" t="s">
        <v>73</v>
      </c>
      <c r="V13" s="218" t="s">
        <v>73</v>
      </c>
    </row>
    <row r="14" spans="1:26" ht="15" customHeight="1">
      <c r="A14" s="77"/>
      <c r="B14" s="21" t="s">
        <v>28</v>
      </c>
      <c r="C14" s="218">
        <v>10.6</v>
      </c>
      <c r="D14" s="218">
        <v>12.58</v>
      </c>
      <c r="E14" s="218">
        <v>12.76</v>
      </c>
      <c r="F14" s="218">
        <v>14.22</v>
      </c>
      <c r="G14" s="218">
        <v>12.36</v>
      </c>
      <c r="H14" s="218">
        <v>12.14</v>
      </c>
      <c r="I14" s="218">
        <v>11.04</v>
      </c>
      <c r="J14" s="218">
        <v>13.25</v>
      </c>
      <c r="K14" s="218" t="s">
        <v>73</v>
      </c>
      <c r="L14" s="218" t="s">
        <v>73</v>
      </c>
      <c r="M14" s="218" t="s">
        <v>73</v>
      </c>
      <c r="N14" s="218" t="s">
        <v>73</v>
      </c>
      <c r="O14" s="218" t="s">
        <v>73</v>
      </c>
      <c r="P14" s="218" t="s">
        <v>73</v>
      </c>
      <c r="Q14" s="218" t="s">
        <v>73</v>
      </c>
      <c r="R14" s="218" t="s">
        <v>73</v>
      </c>
      <c r="S14" s="218" t="s">
        <v>73</v>
      </c>
      <c r="T14" s="218" t="s">
        <v>73</v>
      </c>
      <c r="U14" s="218" t="s">
        <v>73</v>
      </c>
      <c r="V14" s="218" t="s">
        <v>73</v>
      </c>
    </row>
    <row r="15" spans="1:26" ht="15" customHeight="1">
      <c r="A15" s="77"/>
      <c r="B15" s="21" t="s">
        <v>29</v>
      </c>
      <c r="C15" s="218">
        <v>10.82</v>
      </c>
      <c r="D15" s="218">
        <v>10.71</v>
      </c>
      <c r="E15" s="218">
        <v>11.02</v>
      </c>
      <c r="F15" s="218">
        <v>11.56</v>
      </c>
      <c r="G15" s="218">
        <v>10.84</v>
      </c>
      <c r="H15" s="218">
        <v>12.45</v>
      </c>
      <c r="I15" s="218">
        <v>11.8</v>
      </c>
      <c r="J15" s="218">
        <v>13.52</v>
      </c>
      <c r="K15" s="218">
        <v>11.3</v>
      </c>
      <c r="L15" s="218">
        <v>14.51</v>
      </c>
      <c r="M15" s="218">
        <v>14.58</v>
      </c>
      <c r="N15" s="218">
        <v>14.74</v>
      </c>
      <c r="O15" s="218">
        <v>12.79</v>
      </c>
      <c r="P15" s="218">
        <v>14.04</v>
      </c>
      <c r="Q15" s="218">
        <v>14.06</v>
      </c>
      <c r="R15" s="218">
        <v>14</v>
      </c>
      <c r="S15" s="218">
        <v>13.22</v>
      </c>
      <c r="T15" s="218">
        <v>13.77</v>
      </c>
      <c r="U15" s="218">
        <v>14.875230109228538</v>
      </c>
      <c r="V15" s="218">
        <v>14.927078010823294</v>
      </c>
      <c r="X15" s="152"/>
      <c r="Y15" s="152"/>
      <c r="Z15" s="152"/>
    </row>
    <row r="16" spans="1:26" ht="15" customHeight="1">
      <c r="A16" s="77"/>
      <c r="B16" s="21" t="s">
        <v>30</v>
      </c>
      <c r="C16" s="218" t="s">
        <v>73</v>
      </c>
      <c r="D16" s="218" t="s">
        <v>73</v>
      </c>
      <c r="E16" s="218" t="s">
        <v>73</v>
      </c>
      <c r="F16" s="218" t="s">
        <v>73</v>
      </c>
      <c r="G16" s="218" t="s">
        <v>73</v>
      </c>
      <c r="H16" s="218" t="s">
        <v>73</v>
      </c>
      <c r="I16" s="218" t="s">
        <v>73</v>
      </c>
      <c r="J16" s="218" t="s">
        <v>73</v>
      </c>
      <c r="K16" s="218" t="s">
        <v>73</v>
      </c>
      <c r="L16" s="218" t="s">
        <v>73</v>
      </c>
      <c r="M16" s="218" t="s">
        <v>73</v>
      </c>
      <c r="N16" s="218" t="s">
        <v>73</v>
      </c>
      <c r="O16" s="218" t="s">
        <v>73</v>
      </c>
      <c r="P16" s="218" t="s">
        <v>73</v>
      </c>
      <c r="Q16" s="218" t="s">
        <v>73</v>
      </c>
      <c r="R16" s="218" t="s">
        <v>73</v>
      </c>
      <c r="S16" s="218" t="s">
        <v>73</v>
      </c>
      <c r="T16" s="218" t="s">
        <v>73</v>
      </c>
      <c r="U16" s="218" t="s">
        <v>73</v>
      </c>
      <c r="V16" s="218" t="s">
        <v>73</v>
      </c>
    </row>
    <row r="17" spans="1:26" ht="15" customHeight="1">
      <c r="A17" s="77"/>
      <c r="B17" s="21" t="s">
        <v>31</v>
      </c>
      <c r="C17" s="218">
        <v>9.89</v>
      </c>
      <c r="D17" s="218">
        <v>9.93</v>
      </c>
      <c r="E17" s="218">
        <v>10.039999999999999</v>
      </c>
      <c r="F17" s="218">
        <v>10.27</v>
      </c>
      <c r="G17" s="218">
        <v>11.04</v>
      </c>
      <c r="H17" s="218">
        <v>9.93</v>
      </c>
      <c r="I17" s="218">
        <v>10.356</v>
      </c>
      <c r="J17" s="218">
        <v>14.46</v>
      </c>
      <c r="K17" s="218">
        <v>10.52</v>
      </c>
      <c r="L17" s="218">
        <v>12.44</v>
      </c>
      <c r="M17" s="218">
        <v>12.79</v>
      </c>
      <c r="N17" s="218">
        <v>12.1</v>
      </c>
      <c r="O17" s="218">
        <v>13.21</v>
      </c>
      <c r="P17" s="218">
        <v>13.43</v>
      </c>
      <c r="Q17" s="218">
        <v>13.66</v>
      </c>
      <c r="R17" s="218">
        <v>13.35</v>
      </c>
      <c r="S17" s="218">
        <v>13.56</v>
      </c>
      <c r="T17" s="218">
        <v>13.75</v>
      </c>
      <c r="U17" s="218">
        <v>13.873644046258978</v>
      </c>
      <c r="V17" s="218">
        <v>13.881136274438582</v>
      </c>
      <c r="X17" s="152"/>
      <c r="Y17" s="152"/>
      <c r="Z17" s="152"/>
    </row>
    <row r="18" spans="1:26" ht="15" customHeight="1">
      <c r="A18" s="77"/>
      <c r="B18" s="21" t="s">
        <v>32</v>
      </c>
      <c r="C18" s="218">
        <v>11.26</v>
      </c>
      <c r="D18" s="218">
        <v>11.43</v>
      </c>
      <c r="E18" s="218">
        <v>15.45</v>
      </c>
      <c r="F18" s="218">
        <v>13.25</v>
      </c>
      <c r="G18" s="218">
        <v>9.74</v>
      </c>
      <c r="H18" s="218">
        <v>10.07</v>
      </c>
      <c r="I18" s="218">
        <v>12.3</v>
      </c>
      <c r="J18" s="218">
        <v>13</v>
      </c>
      <c r="K18" s="218">
        <v>13.24</v>
      </c>
      <c r="L18" s="218">
        <v>15.12</v>
      </c>
      <c r="M18" s="218">
        <v>14.81</v>
      </c>
      <c r="N18" s="218">
        <v>12.47</v>
      </c>
      <c r="O18" s="218">
        <v>13.58</v>
      </c>
      <c r="P18" s="218">
        <v>13.49</v>
      </c>
      <c r="Q18" s="218">
        <v>13.5</v>
      </c>
      <c r="R18" s="218">
        <v>13.37</v>
      </c>
      <c r="S18" s="218">
        <v>13.53</v>
      </c>
      <c r="T18" s="218">
        <v>14.42</v>
      </c>
      <c r="U18" s="218">
        <v>14.165866656553417</v>
      </c>
      <c r="V18" s="218">
        <v>13.858044182925585</v>
      </c>
      <c r="X18" s="152"/>
      <c r="Y18" s="152"/>
      <c r="Z18" s="152"/>
    </row>
    <row r="19" spans="1:26" ht="15" customHeight="1">
      <c r="A19" s="77"/>
      <c r="B19" s="21" t="s">
        <v>33</v>
      </c>
      <c r="C19" s="218">
        <v>11.74</v>
      </c>
      <c r="D19" s="218">
        <v>14.42</v>
      </c>
      <c r="E19" s="218">
        <v>14.86</v>
      </c>
      <c r="F19" s="218">
        <v>16.739999999999998</v>
      </c>
      <c r="G19" s="218">
        <v>10.18</v>
      </c>
      <c r="H19" s="218">
        <v>12.56</v>
      </c>
      <c r="I19" s="218">
        <v>11.69</v>
      </c>
      <c r="J19" s="218">
        <v>13.24</v>
      </c>
      <c r="K19" s="218">
        <v>14.18</v>
      </c>
      <c r="L19" s="218">
        <v>14.96</v>
      </c>
      <c r="M19" s="218">
        <v>14.67</v>
      </c>
      <c r="N19" s="218">
        <v>18.649999999999999</v>
      </c>
      <c r="O19" s="218">
        <v>16.82</v>
      </c>
      <c r="P19" s="218">
        <v>15.98</v>
      </c>
      <c r="Q19" s="218">
        <v>15.55</v>
      </c>
      <c r="R19" s="218">
        <v>13.54</v>
      </c>
      <c r="S19" s="218">
        <v>13.89</v>
      </c>
      <c r="T19" s="218">
        <v>13.97</v>
      </c>
      <c r="U19" s="218">
        <v>13.975174463531916</v>
      </c>
      <c r="V19" s="218">
        <v>14.017448616229075</v>
      </c>
      <c r="X19" s="152"/>
      <c r="Y19" s="152"/>
      <c r="Z19" s="152"/>
    </row>
    <row r="20" spans="1:26" ht="15" customHeight="1">
      <c r="A20" s="77"/>
      <c r="B20" s="21" t="s">
        <v>34</v>
      </c>
      <c r="C20" s="218">
        <v>9.85</v>
      </c>
      <c r="D20" s="218">
        <v>10.98</v>
      </c>
      <c r="E20" s="218">
        <v>12.3</v>
      </c>
      <c r="F20" s="218">
        <v>15.67</v>
      </c>
      <c r="G20" s="218">
        <v>7.76</v>
      </c>
      <c r="H20" s="218">
        <v>9.4</v>
      </c>
      <c r="I20" s="218">
        <v>13.46</v>
      </c>
      <c r="J20" s="218">
        <v>11.73</v>
      </c>
      <c r="K20" s="218">
        <v>11.5</v>
      </c>
      <c r="L20" s="218">
        <v>14.12</v>
      </c>
      <c r="M20" s="218">
        <v>14.51</v>
      </c>
      <c r="N20" s="218">
        <v>14.98</v>
      </c>
      <c r="O20" s="218">
        <v>16.79</v>
      </c>
      <c r="P20" s="218">
        <v>15.1</v>
      </c>
      <c r="Q20" s="218">
        <v>15.78</v>
      </c>
      <c r="R20" s="218">
        <v>14.05</v>
      </c>
      <c r="S20" s="218">
        <v>13.83</v>
      </c>
      <c r="T20" s="218">
        <v>13.92</v>
      </c>
      <c r="U20" s="218">
        <v>13.99356539678322</v>
      </c>
      <c r="V20" s="218">
        <v>13.952456934254149</v>
      </c>
      <c r="X20" s="152"/>
      <c r="Y20" s="152"/>
      <c r="Z20" s="152"/>
    </row>
    <row r="21" spans="1:26" ht="15" customHeight="1">
      <c r="A21" s="77"/>
      <c r="B21" s="21" t="s">
        <v>35</v>
      </c>
      <c r="C21" s="218">
        <v>10.98</v>
      </c>
      <c r="D21" s="218">
        <v>11.83</v>
      </c>
      <c r="E21" s="218">
        <v>14.9</v>
      </c>
      <c r="F21" s="218">
        <v>16.04</v>
      </c>
      <c r="G21" s="218">
        <v>9.52</v>
      </c>
      <c r="H21" s="218">
        <v>11.98</v>
      </c>
      <c r="I21" s="218">
        <v>13.8</v>
      </c>
      <c r="J21" s="218">
        <v>13.34</v>
      </c>
      <c r="K21" s="218">
        <v>11.94</v>
      </c>
      <c r="L21" s="218">
        <v>16.940000000000001</v>
      </c>
      <c r="M21" s="218">
        <v>16.93</v>
      </c>
      <c r="N21" s="218">
        <v>16.170000000000002</v>
      </c>
      <c r="O21" s="218">
        <v>16.38</v>
      </c>
      <c r="P21" s="218">
        <v>15.81</v>
      </c>
      <c r="Q21" s="218">
        <v>17.03</v>
      </c>
      <c r="R21" s="218">
        <v>13.96</v>
      </c>
      <c r="S21" s="218">
        <v>16.57</v>
      </c>
      <c r="T21" s="218">
        <v>16.54</v>
      </c>
      <c r="U21" s="218">
        <v>16.632764223609417</v>
      </c>
      <c r="V21" s="218">
        <v>16.546990592539295</v>
      </c>
      <c r="X21" s="152"/>
      <c r="Y21" s="152"/>
      <c r="Z21" s="152"/>
    </row>
    <row r="22" spans="1:26" ht="15" customHeight="1">
      <c r="A22" s="77"/>
      <c r="B22" s="21" t="s">
        <v>36</v>
      </c>
      <c r="C22" s="218">
        <v>11.23</v>
      </c>
      <c r="D22" s="218">
        <v>12.41</v>
      </c>
      <c r="E22" s="218">
        <v>13.35</v>
      </c>
      <c r="F22" s="218">
        <v>14</v>
      </c>
      <c r="G22" s="218">
        <v>9.7899999999999991</v>
      </c>
      <c r="H22" s="218">
        <v>12.56</v>
      </c>
      <c r="I22" s="218">
        <v>14.7</v>
      </c>
      <c r="J22" s="218">
        <v>13.58</v>
      </c>
      <c r="K22" s="218">
        <v>10.64</v>
      </c>
      <c r="L22" s="218">
        <v>13.26</v>
      </c>
      <c r="M22" s="218">
        <v>13.62</v>
      </c>
      <c r="N22" s="218">
        <v>13.74</v>
      </c>
      <c r="O22" s="218">
        <v>14.86</v>
      </c>
      <c r="P22" s="218">
        <v>14.59</v>
      </c>
      <c r="Q22" s="218">
        <v>15.08</v>
      </c>
      <c r="R22" s="218">
        <v>14.63</v>
      </c>
      <c r="S22" s="218">
        <v>14.74</v>
      </c>
      <c r="T22" s="218">
        <v>14.79</v>
      </c>
      <c r="U22" s="218">
        <v>14.811843043055312</v>
      </c>
      <c r="V22" s="218">
        <v>14.854424691237218</v>
      </c>
      <c r="X22" s="152"/>
      <c r="Y22" s="152"/>
      <c r="Z22" s="152"/>
    </row>
    <row r="23" spans="1:26" ht="15" customHeight="1">
      <c r="A23" s="77"/>
      <c r="B23" s="21" t="s">
        <v>37</v>
      </c>
      <c r="C23" s="218">
        <v>10.6</v>
      </c>
      <c r="D23" s="218">
        <v>11.26</v>
      </c>
      <c r="E23" s="218">
        <v>16.18</v>
      </c>
      <c r="F23" s="218">
        <v>15.45</v>
      </c>
      <c r="G23" s="218">
        <v>11.29</v>
      </c>
      <c r="H23" s="218">
        <v>10.01</v>
      </c>
      <c r="I23" s="218">
        <v>13.41</v>
      </c>
      <c r="J23" s="218">
        <v>11.35</v>
      </c>
      <c r="K23" s="218">
        <v>11.04</v>
      </c>
      <c r="L23" s="218">
        <v>12.8</v>
      </c>
      <c r="M23" s="218">
        <v>14.49</v>
      </c>
      <c r="N23" s="218">
        <v>13.75</v>
      </c>
      <c r="O23" s="218">
        <v>14.35</v>
      </c>
      <c r="P23" s="218">
        <v>14.59</v>
      </c>
      <c r="Q23" s="218">
        <v>15.43</v>
      </c>
      <c r="R23" s="218">
        <v>14.54</v>
      </c>
      <c r="S23" s="218">
        <v>14.7</v>
      </c>
      <c r="T23" s="218">
        <v>14.85</v>
      </c>
      <c r="U23" s="218">
        <v>14.804164827990338</v>
      </c>
      <c r="V23" s="218">
        <v>14.891914024817554</v>
      </c>
      <c r="X23" s="152"/>
      <c r="Y23" s="152"/>
      <c r="Z23" s="152"/>
    </row>
    <row r="24" spans="1:26" ht="15" customHeight="1">
      <c r="A24" s="77"/>
      <c r="B24" s="21" t="s">
        <v>38</v>
      </c>
      <c r="C24" s="218">
        <v>10.49</v>
      </c>
      <c r="D24" s="218">
        <v>10.24</v>
      </c>
      <c r="E24" s="218">
        <v>10.44</v>
      </c>
      <c r="F24" s="218">
        <v>11.84</v>
      </c>
      <c r="G24" s="218">
        <v>9.2899999999999991</v>
      </c>
      <c r="H24" s="218">
        <v>8.67</v>
      </c>
      <c r="I24" s="218">
        <v>11.73</v>
      </c>
      <c r="J24" s="218">
        <v>7.47</v>
      </c>
      <c r="K24" s="218">
        <v>12.79</v>
      </c>
      <c r="L24" s="218">
        <v>12.86</v>
      </c>
      <c r="M24" s="218">
        <v>13.01</v>
      </c>
      <c r="N24" s="218">
        <v>14.21</v>
      </c>
      <c r="O24" s="218">
        <v>11.18</v>
      </c>
      <c r="P24" s="218">
        <v>12.73</v>
      </c>
      <c r="Q24" s="218">
        <v>13</v>
      </c>
      <c r="R24" s="218">
        <v>12.94</v>
      </c>
      <c r="S24" s="218">
        <v>12.35</v>
      </c>
      <c r="T24" s="218">
        <v>13.1</v>
      </c>
      <c r="U24" s="218">
        <v>12.913133965680803</v>
      </c>
      <c r="V24" s="218">
        <v>13.149862559127479</v>
      </c>
      <c r="X24" s="152"/>
      <c r="Y24" s="152"/>
      <c r="Z24" s="152"/>
    </row>
    <row r="25" spans="1:26" ht="15" customHeight="1">
      <c r="A25" s="77"/>
      <c r="B25" s="76" t="s">
        <v>39</v>
      </c>
      <c r="C25" s="218">
        <v>9.82</v>
      </c>
      <c r="D25" s="218">
        <v>9.7200000000000006</v>
      </c>
      <c r="E25" s="218">
        <v>10.11</v>
      </c>
      <c r="F25" s="218">
        <v>11.28</v>
      </c>
      <c r="G25" s="218">
        <v>11.19</v>
      </c>
      <c r="H25" s="218">
        <v>11.32</v>
      </c>
      <c r="I25" s="218">
        <v>11.84</v>
      </c>
      <c r="J25" s="218">
        <v>11.88</v>
      </c>
      <c r="K25" s="218">
        <v>12.25</v>
      </c>
      <c r="L25" s="218">
        <v>13.41</v>
      </c>
      <c r="M25" s="218">
        <v>12.82</v>
      </c>
      <c r="N25" s="218">
        <v>12.74</v>
      </c>
      <c r="O25" s="218">
        <v>12.46</v>
      </c>
      <c r="P25" s="218">
        <v>12.51</v>
      </c>
      <c r="Q25" s="218">
        <v>12.55</v>
      </c>
      <c r="R25" s="218">
        <v>12.9</v>
      </c>
      <c r="S25" s="218">
        <v>12.57</v>
      </c>
      <c r="T25" s="218">
        <v>12.83</v>
      </c>
      <c r="U25" s="218">
        <v>12.814404491789366</v>
      </c>
      <c r="V25" s="218">
        <v>12.708539253127721</v>
      </c>
      <c r="X25" s="152"/>
      <c r="Y25" s="152"/>
      <c r="Z25" s="152"/>
    </row>
    <row r="26" spans="1:26" ht="15" customHeight="1">
      <c r="A26" s="77"/>
      <c r="B26" s="21" t="s">
        <v>42</v>
      </c>
      <c r="C26" s="218">
        <v>11.93</v>
      </c>
      <c r="D26" s="218">
        <v>12.26</v>
      </c>
      <c r="E26" s="218">
        <v>13.75</v>
      </c>
      <c r="F26" s="218">
        <v>14.91</v>
      </c>
      <c r="G26" s="218">
        <v>12.27</v>
      </c>
      <c r="H26" s="218">
        <v>13.19</v>
      </c>
      <c r="I26" s="218">
        <v>14.22</v>
      </c>
      <c r="J26" s="218">
        <v>15.28</v>
      </c>
      <c r="K26" s="218">
        <v>17.690000000000001</v>
      </c>
      <c r="L26" s="218">
        <v>17.899999999999999</v>
      </c>
      <c r="M26" s="218">
        <v>16.46</v>
      </c>
      <c r="N26" s="218">
        <v>14.68</v>
      </c>
      <c r="O26" s="218">
        <v>13.21</v>
      </c>
      <c r="P26" s="218">
        <v>14.6</v>
      </c>
      <c r="Q26" s="218">
        <v>14.44</v>
      </c>
      <c r="R26" s="218">
        <v>14.37</v>
      </c>
      <c r="S26" s="218">
        <v>14.78</v>
      </c>
      <c r="T26" s="218">
        <v>14.83</v>
      </c>
      <c r="U26" s="218">
        <v>14.902155457231506</v>
      </c>
      <c r="V26" s="218">
        <v>14.876525450329771</v>
      </c>
      <c r="X26" s="152"/>
      <c r="Y26" s="152"/>
      <c r="Z26" s="152"/>
    </row>
    <row r="27" spans="1:26" ht="15" customHeight="1">
      <c r="A27" s="77"/>
      <c r="B27" s="76" t="s">
        <v>43</v>
      </c>
      <c r="C27" s="218">
        <v>13.19</v>
      </c>
      <c r="D27" s="218">
        <v>13.8</v>
      </c>
      <c r="E27" s="218">
        <v>14.68</v>
      </c>
      <c r="F27" s="218">
        <v>15.76</v>
      </c>
      <c r="G27" s="218">
        <v>13.22</v>
      </c>
      <c r="H27" s="218">
        <v>13.99</v>
      </c>
      <c r="I27" s="218">
        <v>15.63</v>
      </c>
      <c r="J27" s="218">
        <v>15.86</v>
      </c>
      <c r="K27" s="218">
        <v>17.22</v>
      </c>
      <c r="L27" s="218">
        <v>17.78</v>
      </c>
      <c r="M27" s="218">
        <v>17.7</v>
      </c>
      <c r="N27" s="218">
        <v>18.809999999999999</v>
      </c>
      <c r="O27" s="218">
        <v>14.84</v>
      </c>
      <c r="P27" s="218">
        <v>19.68</v>
      </c>
      <c r="Q27" s="218">
        <v>17.03</v>
      </c>
      <c r="R27" s="218">
        <v>13.42</v>
      </c>
      <c r="S27" s="218">
        <v>14.54</v>
      </c>
      <c r="T27" s="218">
        <v>14.86</v>
      </c>
      <c r="U27" s="218">
        <v>14.829924607133139</v>
      </c>
      <c r="V27" s="218">
        <v>14.917734984206396</v>
      </c>
      <c r="X27" s="152"/>
      <c r="Y27" s="152"/>
      <c r="Z27" s="152"/>
    </row>
    <row r="28" spans="1:26" ht="15" customHeight="1">
      <c r="A28" s="31"/>
      <c r="B28" s="21" t="s">
        <v>44</v>
      </c>
      <c r="C28" s="218" t="s">
        <v>73</v>
      </c>
      <c r="D28" s="218" t="s">
        <v>73</v>
      </c>
      <c r="E28" s="218" t="s">
        <v>73</v>
      </c>
      <c r="F28" s="218" t="s">
        <v>73</v>
      </c>
      <c r="G28" s="218" t="s">
        <v>73</v>
      </c>
      <c r="H28" s="218" t="s">
        <v>73</v>
      </c>
      <c r="I28" s="218" t="s">
        <v>73</v>
      </c>
      <c r="J28" s="218" t="s">
        <v>73</v>
      </c>
      <c r="K28" s="218" t="s">
        <v>73</v>
      </c>
      <c r="L28" s="218" t="s">
        <v>73</v>
      </c>
      <c r="M28" s="218" t="s">
        <v>73</v>
      </c>
      <c r="N28" s="218" t="s">
        <v>73</v>
      </c>
      <c r="O28" s="218" t="s">
        <v>73</v>
      </c>
      <c r="P28" s="218" t="s">
        <v>73</v>
      </c>
      <c r="Q28" s="218" t="s">
        <v>73</v>
      </c>
      <c r="R28" s="218" t="s">
        <v>73</v>
      </c>
      <c r="S28" s="218" t="s">
        <v>73</v>
      </c>
      <c r="T28" s="218" t="s">
        <v>73</v>
      </c>
      <c r="U28" s="218" t="s">
        <v>73</v>
      </c>
      <c r="V28" s="218" t="s">
        <v>73</v>
      </c>
    </row>
    <row r="29" spans="1:26" ht="15" customHeight="1">
      <c r="A29" s="32"/>
      <c r="B29" s="32" t="s">
        <v>45</v>
      </c>
      <c r="C29" s="218" t="s">
        <v>73</v>
      </c>
      <c r="D29" s="218" t="s">
        <v>73</v>
      </c>
      <c r="E29" s="218" t="s">
        <v>73</v>
      </c>
      <c r="F29" s="218" t="s">
        <v>73</v>
      </c>
      <c r="G29" s="218" t="s">
        <v>73</v>
      </c>
      <c r="H29" s="218" t="s">
        <v>73</v>
      </c>
      <c r="I29" s="218" t="s">
        <v>73</v>
      </c>
      <c r="J29" s="218" t="s">
        <v>73</v>
      </c>
      <c r="K29" s="218" t="s">
        <v>73</v>
      </c>
      <c r="L29" s="218" t="s">
        <v>73</v>
      </c>
      <c r="M29" s="218" t="s">
        <v>73</v>
      </c>
      <c r="N29" s="218" t="s">
        <v>73</v>
      </c>
      <c r="O29" s="218" t="s">
        <v>73</v>
      </c>
      <c r="P29" s="218" t="s">
        <v>73</v>
      </c>
      <c r="Q29" s="218" t="s">
        <v>73</v>
      </c>
      <c r="R29" s="218" t="s">
        <v>73</v>
      </c>
      <c r="S29" s="218" t="s">
        <v>73</v>
      </c>
      <c r="T29" s="218" t="s">
        <v>73</v>
      </c>
      <c r="U29" s="218" t="s">
        <v>73</v>
      </c>
      <c r="V29" s="218" t="s">
        <v>73</v>
      </c>
    </row>
    <row r="30" spans="1:26" ht="15" customHeight="1">
      <c r="A30" s="38"/>
      <c r="B30" s="38" t="s">
        <v>46</v>
      </c>
      <c r="C30" s="218" t="s">
        <v>73</v>
      </c>
      <c r="D30" s="218" t="s">
        <v>73</v>
      </c>
      <c r="E30" s="218" t="s">
        <v>73</v>
      </c>
      <c r="F30" s="218" t="s">
        <v>73</v>
      </c>
      <c r="G30" s="218" t="s">
        <v>73</v>
      </c>
      <c r="H30" s="218" t="s">
        <v>73</v>
      </c>
      <c r="I30" s="218" t="s">
        <v>73</v>
      </c>
      <c r="J30" s="218" t="s">
        <v>73</v>
      </c>
      <c r="K30" s="218" t="s">
        <v>73</v>
      </c>
      <c r="L30" s="218" t="s">
        <v>73</v>
      </c>
      <c r="M30" s="218" t="s">
        <v>73</v>
      </c>
      <c r="N30" s="218" t="s">
        <v>73</v>
      </c>
      <c r="O30" s="218" t="s">
        <v>73</v>
      </c>
      <c r="P30" s="218" t="s">
        <v>73</v>
      </c>
      <c r="Q30" s="218" t="s">
        <v>73</v>
      </c>
      <c r="R30" s="218" t="s">
        <v>73</v>
      </c>
      <c r="S30" s="218" t="s">
        <v>73</v>
      </c>
      <c r="T30" s="218" t="s">
        <v>73</v>
      </c>
      <c r="U30" s="218" t="s">
        <v>73</v>
      </c>
      <c r="V30" s="218" t="s">
        <v>73</v>
      </c>
    </row>
    <row r="31" spans="1:26" ht="15" customHeight="1" thickBot="1">
      <c r="A31" s="36"/>
      <c r="B31" s="432" t="s">
        <v>47</v>
      </c>
      <c r="C31" s="433" t="s">
        <v>73</v>
      </c>
      <c r="D31" s="433" t="s">
        <v>73</v>
      </c>
      <c r="E31" s="433" t="s">
        <v>73</v>
      </c>
      <c r="F31" s="433" t="s">
        <v>73</v>
      </c>
      <c r="G31" s="433" t="s">
        <v>73</v>
      </c>
      <c r="H31" s="433" t="s">
        <v>73</v>
      </c>
      <c r="I31" s="433" t="s">
        <v>73</v>
      </c>
      <c r="J31" s="433" t="s">
        <v>73</v>
      </c>
      <c r="K31" s="433" t="s">
        <v>73</v>
      </c>
      <c r="L31" s="433" t="s">
        <v>73</v>
      </c>
      <c r="M31" s="433" t="s">
        <v>73</v>
      </c>
      <c r="N31" s="433" t="s">
        <v>73</v>
      </c>
      <c r="O31" s="433" t="s">
        <v>73</v>
      </c>
      <c r="P31" s="433" t="s">
        <v>73</v>
      </c>
      <c r="Q31" s="433" t="s">
        <v>73</v>
      </c>
      <c r="R31" s="433" t="s">
        <v>73</v>
      </c>
      <c r="S31" s="433" t="s">
        <v>73</v>
      </c>
      <c r="T31" s="433" t="s">
        <v>73</v>
      </c>
      <c r="U31" s="433" t="s">
        <v>73</v>
      </c>
      <c r="V31" s="433" t="s">
        <v>73</v>
      </c>
    </row>
    <row r="32" spans="1:26" ht="11" customHeight="1">
      <c r="A32" s="529" t="s">
        <v>330</v>
      </c>
      <c r="B32" s="527"/>
      <c r="C32" s="833"/>
      <c r="D32" s="833"/>
      <c r="E32" s="833"/>
      <c r="F32" s="833"/>
      <c r="G32" s="833"/>
      <c r="H32" s="833"/>
      <c r="I32" s="471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</row>
    <row r="33" spans="1:22" ht="9" customHeight="1">
      <c r="A33" s="529" t="s">
        <v>304</v>
      </c>
      <c r="B33" s="527"/>
      <c r="C33" s="833"/>
      <c r="D33" s="833"/>
      <c r="E33" s="833"/>
      <c r="F33" s="833"/>
      <c r="G33" s="833"/>
      <c r="H33" s="833"/>
      <c r="I33" s="471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</row>
    <row r="34" spans="1:22" ht="9" customHeight="1">
      <c r="A34" s="527" t="s">
        <v>303</v>
      </c>
      <c r="B34" s="531"/>
      <c r="C34" s="833"/>
      <c r="D34" s="833"/>
      <c r="E34" s="833"/>
      <c r="F34" s="833"/>
      <c r="G34" s="833"/>
      <c r="H34" s="833"/>
      <c r="I34" s="471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4">
    <tabColor theme="9" tint="0.59999389629810485"/>
  </sheetPr>
  <dimension ref="A2:V62"/>
  <sheetViews>
    <sheetView showGridLines="0" zoomScaleNormal="100" workbookViewId="0">
      <selection activeCell="U3" sqref="U3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6.796875" style="76" customWidth="1"/>
    <col min="23" max="27" width="8.19921875" style="76" customWidth="1"/>
    <col min="28" max="16384" width="7" style="76"/>
  </cols>
  <sheetData>
    <row r="2" spans="1:22" ht="17.25" customHeight="1">
      <c r="A2" s="210" t="s">
        <v>510</v>
      </c>
      <c r="B2" s="211"/>
    </row>
    <row r="3" spans="1:22" ht="13.25" customHeight="1">
      <c r="A3" s="212" t="s">
        <v>208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2" ht="18" customHeight="1">
      <c r="A6" s="1020" t="s">
        <v>93</v>
      </c>
      <c r="B6" s="1020"/>
      <c r="C6" s="629">
        <f>(C8+C9+C10+C11+C12+C13+C14+C15+C16+C17+C18+C19+C20+C21+C22+C23+C24+C25+C26+C27+C28+C29+C30+C31)</f>
        <v>1269979</v>
      </c>
      <c r="D6" s="629">
        <f>(D8+D9+D10+D11+D12+D13+D14+D15+D16+D17+D18+D19+D20+D21+D22+D23+D24+D25+D26+D27+D28+D29+D30+D31)</f>
        <v>1256101</v>
      </c>
      <c r="E6" s="630">
        <v>1274425</v>
      </c>
      <c r="F6" s="630">
        <v>1262782</v>
      </c>
      <c r="G6" s="630">
        <v>1237593</v>
      </c>
      <c r="H6" s="630">
        <v>1245169</v>
      </c>
      <c r="I6" s="630">
        <v>1226612</v>
      </c>
      <c r="J6" s="630">
        <v>1194404</v>
      </c>
      <c r="K6" s="630">
        <v>1234089</v>
      </c>
      <c r="L6" s="630">
        <v>1211917</v>
      </c>
      <c r="M6" s="630">
        <v>1194708</v>
      </c>
      <c r="N6" s="630">
        <v>1105018</v>
      </c>
      <c r="O6" s="630">
        <v>1106201</v>
      </c>
      <c r="P6" s="630">
        <v>1093043</v>
      </c>
      <c r="Q6" s="630">
        <v>1089699</v>
      </c>
      <c r="R6" s="630">
        <v>1092770.6666666667</v>
      </c>
      <c r="S6" s="630">
        <f>SUM(S15:S27)</f>
        <v>1075425</v>
      </c>
      <c r="T6" s="630">
        <f>SUM(T15:T27)</f>
        <v>1069409</v>
      </c>
      <c r="U6" s="630">
        <f>SUM(U15:U27)</f>
        <v>1071971</v>
      </c>
      <c r="V6" s="630">
        <f>SUM(V15:V27)</f>
        <v>1056907</v>
      </c>
    </row>
    <row r="7" spans="1:22" ht="3" customHeight="1">
      <c r="A7" s="77"/>
      <c r="B7" s="78"/>
      <c r="C7" s="203"/>
      <c r="D7" s="203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</row>
    <row r="8" spans="1:22" ht="15" customHeight="1">
      <c r="A8" s="77"/>
      <c r="B8" s="21" t="s">
        <v>19</v>
      </c>
      <c r="C8" s="202">
        <v>0</v>
      </c>
      <c r="D8" s="202">
        <v>0</v>
      </c>
      <c r="E8" s="571" t="s">
        <v>212</v>
      </c>
      <c r="F8" s="571" t="s">
        <v>212</v>
      </c>
      <c r="G8" s="571" t="s">
        <v>212</v>
      </c>
      <c r="H8" s="571" t="s">
        <v>212</v>
      </c>
      <c r="I8" s="571" t="s">
        <v>212</v>
      </c>
      <c r="J8" s="571" t="s">
        <v>212</v>
      </c>
      <c r="K8" s="571" t="s">
        <v>212</v>
      </c>
      <c r="L8" s="571" t="s">
        <v>212</v>
      </c>
      <c r="M8" s="571" t="s">
        <v>212</v>
      </c>
      <c r="N8" s="571" t="s">
        <v>212</v>
      </c>
      <c r="O8" s="571" t="s">
        <v>212</v>
      </c>
      <c r="P8" s="571" t="s">
        <v>212</v>
      </c>
      <c r="Q8" s="571" t="s">
        <v>212</v>
      </c>
      <c r="R8" s="571" t="s">
        <v>212</v>
      </c>
      <c r="S8" s="571" t="s">
        <v>212</v>
      </c>
      <c r="T8" s="571" t="s">
        <v>212</v>
      </c>
      <c r="U8" s="571" t="s">
        <v>212</v>
      </c>
      <c r="V8" s="571" t="s">
        <v>212</v>
      </c>
    </row>
    <row r="9" spans="1:22" ht="15" customHeight="1">
      <c r="A9" s="77"/>
      <c r="B9" s="21" t="s">
        <v>20</v>
      </c>
      <c r="C9" s="202">
        <v>0</v>
      </c>
      <c r="D9" s="202">
        <v>0</v>
      </c>
      <c r="E9" s="571" t="s">
        <v>212</v>
      </c>
      <c r="F9" s="571" t="s">
        <v>212</v>
      </c>
      <c r="G9" s="571" t="s">
        <v>212</v>
      </c>
      <c r="H9" s="571" t="s">
        <v>212</v>
      </c>
      <c r="I9" s="571" t="s">
        <v>212</v>
      </c>
      <c r="J9" s="571" t="s">
        <v>212</v>
      </c>
      <c r="K9" s="571" t="s">
        <v>212</v>
      </c>
      <c r="L9" s="571" t="s">
        <v>212</v>
      </c>
      <c r="M9" s="571" t="s">
        <v>212</v>
      </c>
      <c r="N9" s="571" t="s">
        <v>212</v>
      </c>
      <c r="O9" s="571" t="s">
        <v>212</v>
      </c>
      <c r="P9" s="571" t="s">
        <v>212</v>
      </c>
      <c r="Q9" s="571" t="s">
        <v>212</v>
      </c>
      <c r="R9" s="571" t="s">
        <v>212</v>
      </c>
      <c r="S9" s="571" t="s">
        <v>212</v>
      </c>
      <c r="T9" s="571" t="s">
        <v>212</v>
      </c>
      <c r="U9" s="571" t="s">
        <v>212</v>
      </c>
      <c r="V9" s="571" t="s">
        <v>212</v>
      </c>
    </row>
    <row r="10" spans="1:22" ht="15" customHeight="1">
      <c r="A10" s="77"/>
      <c r="B10" s="21" t="s">
        <v>21</v>
      </c>
      <c r="C10" s="202">
        <v>0</v>
      </c>
      <c r="D10" s="202">
        <v>0</v>
      </c>
      <c r="E10" s="571" t="s">
        <v>212</v>
      </c>
      <c r="F10" s="571" t="s">
        <v>212</v>
      </c>
      <c r="G10" s="571" t="s">
        <v>212</v>
      </c>
      <c r="H10" s="571" t="s">
        <v>212</v>
      </c>
      <c r="I10" s="571" t="s">
        <v>212</v>
      </c>
      <c r="J10" s="571" t="s">
        <v>212</v>
      </c>
      <c r="K10" s="571" t="s">
        <v>212</v>
      </c>
      <c r="L10" s="571" t="s">
        <v>212</v>
      </c>
      <c r="M10" s="571" t="s">
        <v>212</v>
      </c>
      <c r="N10" s="571" t="s">
        <v>212</v>
      </c>
      <c r="O10" s="571" t="s">
        <v>212</v>
      </c>
      <c r="P10" s="571" t="s">
        <v>212</v>
      </c>
      <c r="Q10" s="571" t="s">
        <v>212</v>
      </c>
      <c r="R10" s="571" t="s">
        <v>212</v>
      </c>
      <c r="S10" s="571" t="s">
        <v>212</v>
      </c>
      <c r="T10" s="571" t="s">
        <v>212</v>
      </c>
      <c r="U10" s="571" t="s">
        <v>212</v>
      </c>
      <c r="V10" s="571" t="s">
        <v>212</v>
      </c>
    </row>
    <row r="11" spans="1:22" ht="15" customHeight="1">
      <c r="A11" s="77"/>
      <c r="B11" s="21" t="s">
        <v>22</v>
      </c>
      <c r="C11" s="202">
        <v>0</v>
      </c>
      <c r="D11" s="202">
        <v>0</v>
      </c>
      <c r="E11" s="571" t="s">
        <v>212</v>
      </c>
      <c r="F11" s="571" t="s">
        <v>212</v>
      </c>
      <c r="G11" s="571" t="s">
        <v>212</v>
      </c>
      <c r="H11" s="571" t="s">
        <v>212</v>
      </c>
      <c r="I11" s="571" t="s">
        <v>212</v>
      </c>
      <c r="J11" s="571" t="s">
        <v>212</v>
      </c>
      <c r="K11" s="571" t="s">
        <v>212</v>
      </c>
      <c r="L11" s="571" t="s">
        <v>212</v>
      </c>
      <c r="M11" s="571" t="s">
        <v>212</v>
      </c>
      <c r="N11" s="571" t="s">
        <v>212</v>
      </c>
      <c r="O11" s="571" t="s">
        <v>212</v>
      </c>
      <c r="P11" s="571" t="s">
        <v>212</v>
      </c>
      <c r="Q11" s="571" t="s">
        <v>212</v>
      </c>
      <c r="R11" s="571" t="s">
        <v>212</v>
      </c>
      <c r="S11" s="571" t="s">
        <v>212</v>
      </c>
      <c r="T11" s="571" t="s">
        <v>212</v>
      </c>
      <c r="U11" s="571" t="s">
        <v>212</v>
      </c>
      <c r="V11" s="571" t="s">
        <v>212</v>
      </c>
    </row>
    <row r="12" spans="1:22" ht="15" customHeight="1">
      <c r="A12" s="77"/>
      <c r="B12" s="21" t="s">
        <v>23</v>
      </c>
      <c r="C12" s="202">
        <v>0</v>
      </c>
      <c r="D12" s="202">
        <v>0</v>
      </c>
      <c r="E12" s="571" t="s">
        <v>212</v>
      </c>
      <c r="F12" s="571" t="s">
        <v>212</v>
      </c>
      <c r="G12" s="571" t="s">
        <v>212</v>
      </c>
      <c r="H12" s="571" t="s">
        <v>212</v>
      </c>
      <c r="I12" s="571" t="s">
        <v>212</v>
      </c>
      <c r="J12" s="571" t="s">
        <v>212</v>
      </c>
      <c r="K12" s="571" t="s">
        <v>212</v>
      </c>
      <c r="L12" s="571" t="s">
        <v>212</v>
      </c>
      <c r="M12" s="571" t="s">
        <v>212</v>
      </c>
      <c r="N12" s="571" t="s">
        <v>212</v>
      </c>
      <c r="O12" s="571" t="s">
        <v>212</v>
      </c>
      <c r="P12" s="571" t="s">
        <v>212</v>
      </c>
      <c r="Q12" s="571" t="s">
        <v>212</v>
      </c>
      <c r="R12" s="571" t="s">
        <v>212</v>
      </c>
      <c r="S12" s="571" t="s">
        <v>212</v>
      </c>
      <c r="T12" s="571" t="s">
        <v>212</v>
      </c>
      <c r="U12" s="571" t="s">
        <v>212</v>
      </c>
      <c r="V12" s="571" t="s">
        <v>212</v>
      </c>
    </row>
    <row r="13" spans="1:22" ht="15" customHeight="1">
      <c r="A13" s="77"/>
      <c r="B13" s="21" t="s">
        <v>27</v>
      </c>
      <c r="C13" s="202">
        <v>0</v>
      </c>
      <c r="D13" s="202">
        <v>0</v>
      </c>
      <c r="E13" s="571" t="s">
        <v>212</v>
      </c>
      <c r="F13" s="571" t="s">
        <v>212</v>
      </c>
      <c r="G13" s="571" t="s">
        <v>212</v>
      </c>
      <c r="H13" s="571" t="s">
        <v>212</v>
      </c>
      <c r="I13" s="571" t="s">
        <v>212</v>
      </c>
      <c r="J13" s="571" t="s">
        <v>212</v>
      </c>
      <c r="K13" s="571" t="s">
        <v>212</v>
      </c>
      <c r="L13" s="571" t="s">
        <v>212</v>
      </c>
      <c r="M13" s="571" t="s">
        <v>212</v>
      </c>
      <c r="N13" s="571" t="s">
        <v>212</v>
      </c>
      <c r="O13" s="571" t="s">
        <v>212</v>
      </c>
      <c r="P13" s="571" t="s">
        <v>212</v>
      </c>
      <c r="Q13" s="571" t="s">
        <v>212</v>
      </c>
      <c r="R13" s="571" t="s">
        <v>212</v>
      </c>
      <c r="S13" s="571" t="s">
        <v>212</v>
      </c>
      <c r="T13" s="571" t="s">
        <v>212</v>
      </c>
      <c r="U13" s="571" t="s">
        <v>212</v>
      </c>
      <c r="V13" s="571" t="s">
        <v>212</v>
      </c>
    </row>
    <row r="14" spans="1:22" ht="15" customHeight="1">
      <c r="A14" s="77"/>
      <c r="B14" s="21" t="s">
        <v>28</v>
      </c>
      <c r="C14" s="202">
        <v>1500</v>
      </c>
      <c r="D14" s="202">
        <v>0</v>
      </c>
      <c r="E14" s="571" t="s">
        <v>212</v>
      </c>
      <c r="F14" s="571" t="s">
        <v>212</v>
      </c>
      <c r="G14" s="571" t="s">
        <v>212</v>
      </c>
      <c r="H14" s="571" t="s">
        <v>212</v>
      </c>
      <c r="I14" s="571" t="s">
        <v>212</v>
      </c>
      <c r="J14" s="571" t="s">
        <v>212</v>
      </c>
      <c r="K14" s="571" t="s">
        <v>212</v>
      </c>
      <c r="L14" s="571" t="s">
        <v>212</v>
      </c>
      <c r="M14" s="571" t="s">
        <v>212</v>
      </c>
      <c r="N14" s="571" t="s">
        <v>212</v>
      </c>
      <c r="O14" s="571" t="s">
        <v>212</v>
      </c>
      <c r="P14" s="571" t="s">
        <v>212</v>
      </c>
      <c r="Q14" s="571" t="s">
        <v>212</v>
      </c>
      <c r="R14" s="571" t="s">
        <v>212</v>
      </c>
      <c r="S14" s="571" t="s">
        <v>212</v>
      </c>
      <c r="T14" s="571" t="s">
        <v>212</v>
      </c>
      <c r="U14" s="571" t="s">
        <v>212</v>
      </c>
      <c r="V14" s="571" t="s">
        <v>212</v>
      </c>
    </row>
    <row r="15" spans="1:22" ht="15" customHeight="1">
      <c r="A15" s="77"/>
      <c r="B15" s="21" t="s">
        <v>29</v>
      </c>
      <c r="C15" s="202">
        <v>21456</v>
      </c>
      <c r="D15" s="202">
        <v>23600</v>
      </c>
      <c r="E15" s="87">
        <v>23748</v>
      </c>
      <c r="F15" s="87">
        <v>21894</v>
      </c>
      <c r="G15" s="87">
        <v>22000</v>
      </c>
      <c r="H15" s="87">
        <v>22540</v>
      </c>
      <c r="I15" s="87">
        <v>22202</v>
      </c>
      <c r="J15" s="87">
        <v>23710</v>
      </c>
      <c r="K15" s="87">
        <v>23890</v>
      </c>
      <c r="L15" s="87">
        <v>24487</v>
      </c>
      <c r="M15" s="473">
        <v>24111</v>
      </c>
      <c r="N15" s="473">
        <v>20152</v>
      </c>
      <c r="O15" s="473">
        <v>21904</v>
      </c>
      <c r="P15" s="473">
        <v>22126</v>
      </c>
      <c r="Q15" s="473">
        <v>21780</v>
      </c>
      <c r="R15" s="473">
        <v>19780</v>
      </c>
      <c r="S15" s="473">
        <v>18780</v>
      </c>
      <c r="T15" s="473">
        <v>19280</v>
      </c>
      <c r="U15" s="473">
        <v>18780</v>
      </c>
      <c r="V15" s="473">
        <v>17886</v>
      </c>
    </row>
    <row r="16" spans="1:22" ht="15" customHeight="1">
      <c r="A16" s="77"/>
      <c r="B16" s="21" t="s">
        <v>30</v>
      </c>
      <c r="C16" s="202">
        <v>0</v>
      </c>
      <c r="D16" s="202">
        <v>0</v>
      </c>
      <c r="E16" s="571" t="s">
        <v>212</v>
      </c>
      <c r="F16" s="571" t="s">
        <v>212</v>
      </c>
      <c r="G16" s="571" t="s">
        <v>212</v>
      </c>
      <c r="H16" s="571" t="s">
        <v>212</v>
      </c>
      <c r="I16" s="571" t="s">
        <v>212</v>
      </c>
      <c r="J16" s="571" t="s">
        <v>212</v>
      </c>
      <c r="K16" s="571" t="s">
        <v>212</v>
      </c>
      <c r="L16" s="571" t="s">
        <v>212</v>
      </c>
      <c r="M16" s="571" t="s">
        <v>212</v>
      </c>
      <c r="N16" s="571" t="s">
        <v>212</v>
      </c>
      <c r="O16" s="571" t="s">
        <v>212</v>
      </c>
      <c r="P16" s="571" t="s">
        <v>212</v>
      </c>
      <c r="Q16" s="571" t="s">
        <v>212</v>
      </c>
      <c r="R16" s="571" t="s">
        <v>212</v>
      </c>
      <c r="S16" s="571" t="s">
        <v>212</v>
      </c>
      <c r="T16" s="571" t="s">
        <v>212</v>
      </c>
      <c r="U16" s="571" t="s">
        <v>212</v>
      </c>
      <c r="V16" s="571" t="s">
        <v>212</v>
      </c>
    </row>
    <row r="17" spans="1:22" ht="15" customHeight="1">
      <c r="A17" s="77"/>
      <c r="B17" s="21" t="s">
        <v>31</v>
      </c>
      <c r="C17" s="202">
        <v>6405</v>
      </c>
      <c r="D17" s="202">
        <v>0</v>
      </c>
      <c r="E17" s="571" t="s">
        <v>212</v>
      </c>
      <c r="F17" s="571" t="s">
        <v>212</v>
      </c>
      <c r="G17" s="571" t="s">
        <v>212</v>
      </c>
      <c r="H17" s="571" t="s">
        <v>212</v>
      </c>
      <c r="I17" s="571" t="s">
        <v>212</v>
      </c>
      <c r="J17" s="87">
        <v>3750</v>
      </c>
      <c r="K17" s="87">
        <v>3800</v>
      </c>
      <c r="L17" s="87">
        <v>4000</v>
      </c>
      <c r="M17" s="473">
        <v>3500</v>
      </c>
      <c r="N17" s="473">
        <v>3450</v>
      </c>
      <c r="O17" s="473">
        <v>3530</v>
      </c>
      <c r="P17" s="473">
        <v>3495</v>
      </c>
      <c r="Q17" s="473">
        <v>3512</v>
      </c>
      <c r="R17" s="473">
        <v>3460</v>
      </c>
      <c r="S17" s="473">
        <v>3485</v>
      </c>
      <c r="T17" s="473">
        <v>3472</v>
      </c>
      <c r="U17" s="473">
        <v>3479</v>
      </c>
      <c r="V17" s="473">
        <v>3570</v>
      </c>
    </row>
    <row r="18" spans="1:22" ht="15" customHeight="1">
      <c r="A18" s="77"/>
      <c r="B18" s="21" t="s">
        <v>32</v>
      </c>
      <c r="C18" s="202">
        <v>44590</v>
      </c>
      <c r="D18" s="202">
        <v>43194</v>
      </c>
      <c r="E18" s="87">
        <v>44310</v>
      </c>
      <c r="F18" s="87">
        <v>43124</v>
      </c>
      <c r="G18" s="87">
        <v>40880</v>
      </c>
      <c r="H18" s="87">
        <v>38635</v>
      </c>
      <c r="I18" s="87">
        <v>35755</v>
      </c>
      <c r="J18" s="87">
        <v>34591</v>
      </c>
      <c r="K18" s="87">
        <v>33297</v>
      </c>
      <c r="L18" s="87">
        <v>33924</v>
      </c>
      <c r="M18" s="473">
        <v>33584</v>
      </c>
      <c r="N18" s="473">
        <v>33250</v>
      </c>
      <c r="O18" s="473">
        <v>44169</v>
      </c>
      <c r="P18" s="473">
        <v>43590</v>
      </c>
      <c r="Q18" s="473">
        <v>43880</v>
      </c>
      <c r="R18" s="473">
        <v>44677</v>
      </c>
      <c r="S18" s="473">
        <v>44276</v>
      </c>
      <c r="T18" s="473">
        <v>44476</v>
      </c>
      <c r="U18" s="473">
        <v>44377</v>
      </c>
      <c r="V18" s="473">
        <v>45686</v>
      </c>
    </row>
    <row r="19" spans="1:22" ht="15" customHeight="1">
      <c r="A19" s="77"/>
      <c r="B19" s="21" t="s">
        <v>33</v>
      </c>
      <c r="C19" s="202">
        <v>38340</v>
      </c>
      <c r="D19" s="202">
        <v>36650</v>
      </c>
      <c r="E19" s="87">
        <v>38340</v>
      </c>
      <c r="F19" s="87">
        <v>40385</v>
      </c>
      <c r="G19" s="87">
        <v>39200</v>
      </c>
      <c r="H19" s="87">
        <v>37583</v>
      </c>
      <c r="I19" s="87">
        <v>40495</v>
      </c>
      <c r="J19" s="87">
        <v>60081</v>
      </c>
      <c r="K19" s="87">
        <v>51560</v>
      </c>
      <c r="L19" s="87">
        <v>52446</v>
      </c>
      <c r="M19" s="473">
        <v>52954</v>
      </c>
      <c r="N19" s="473">
        <v>52868</v>
      </c>
      <c r="O19" s="473">
        <v>59605</v>
      </c>
      <c r="P19" s="473">
        <v>62556</v>
      </c>
      <c r="Q19" s="473">
        <v>67302</v>
      </c>
      <c r="R19" s="473">
        <v>65597</v>
      </c>
      <c r="S19" s="473">
        <v>63128</v>
      </c>
      <c r="T19" s="473">
        <v>64362</v>
      </c>
      <c r="U19" s="473">
        <v>74625</v>
      </c>
      <c r="V19" s="473">
        <v>72513</v>
      </c>
    </row>
    <row r="20" spans="1:22" ht="15" customHeight="1">
      <c r="A20" s="77"/>
      <c r="B20" s="21" t="s">
        <v>34</v>
      </c>
      <c r="C20" s="202">
        <v>133333</v>
      </c>
      <c r="D20" s="202">
        <v>134065</v>
      </c>
      <c r="E20" s="87">
        <v>133670</v>
      </c>
      <c r="F20" s="87">
        <v>129100</v>
      </c>
      <c r="G20" s="87">
        <v>130864</v>
      </c>
      <c r="H20" s="87">
        <v>132206</v>
      </c>
      <c r="I20" s="87">
        <v>130987</v>
      </c>
      <c r="J20" s="87">
        <v>131420</v>
      </c>
      <c r="K20" s="87">
        <v>141096</v>
      </c>
      <c r="L20" s="87">
        <v>143295</v>
      </c>
      <c r="M20" s="473">
        <v>139124</v>
      </c>
      <c r="N20" s="473">
        <v>131758</v>
      </c>
      <c r="O20" s="473">
        <v>127731</v>
      </c>
      <c r="P20" s="473">
        <v>128540</v>
      </c>
      <c r="Q20" s="473">
        <v>131322</v>
      </c>
      <c r="R20" s="473">
        <v>129198</v>
      </c>
      <c r="S20" s="473">
        <v>129587</v>
      </c>
      <c r="T20" s="473">
        <v>129392</v>
      </c>
      <c r="U20" s="473">
        <v>129490</v>
      </c>
      <c r="V20" s="473">
        <v>130683</v>
      </c>
    </row>
    <row r="21" spans="1:22" ht="15" customHeight="1">
      <c r="A21" s="77"/>
      <c r="B21" s="21" t="s">
        <v>35</v>
      </c>
      <c r="C21" s="202">
        <v>115265</v>
      </c>
      <c r="D21" s="202">
        <v>116940</v>
      </c>
      <c r="E21" s="87">
        <v>114410</v>
      </c>
      <c r="F21" s="87">
        <v>112650</v>
      </c>
      <c r="G21" s="87">
        <v>108990</v>
      </c>
      <c r="H21" s="87">
        <v>105753</v>
      </c>
      <c r="I21" s="87">
        <v>107261</v>
      </c>
      <c r="J21" s="87">
        <v>106033</v>
      </c>
      <c r="K21" s="87">
        <v>101370</v>
      </c>
      <c r="L21" s="87">
        <v>102450</v>
      </c>
      <c r="M21" s="473">
        <v>99937</v>
      </c>
      <c r="N21" s="473">
        <v>91070</v>
      </c>
      <c r="O21" s="473">
        <v>87181</v>
      </c>
      <c r="P21" s="473">
        <v>90122</v>
      </c>
      <c r="Q21" s="473">
        <v>88209</v>
      </c>
      <c r="R21" s="473">
        <v>87209</v>
      </c>
      <c r="S21" s="473">
        <v>94372</v>
      </c>
      <c r="T21" s="473">
        <v>94914</v>
      </c>
      <c r="U21" s="473">
        <v>87938</v>
      </c>
      <c r="V21" s="473">
        <v>97639</v>
      </c>
    </row>
    <row r="22" spans="1:22" ht="15" customHeight="1">
      <c r="A22" s="77"/>
      <c r="B22" s="21" t="s">
        <v>36</v>
      </c>
      <c r="C22" s="202">
        <v>40508</v>
      </c>
      <c r="D22" s="202">
        <v>36448</v>
      </c>
      <c r="E22" s="87">
        <v>42803</v>
      </c>
      <c r="F22" s="87">
        <v>39301</v>
      </c>
      <c r="G22" s="87">
        <v>39600</v>
      </c>
      <c r="H22" s="87">
        <v>39732</v>
      </c>
      <c r="I22" s="87">
        <v>38737</v>
      </c>
      <c r="J22" s="87">
        <v>37450</v>
      </c>
      <c r="K22" s="87">
        <v>36980</v>
      </c>
      <c r="L22" s="87">
        <v>37027</v>
      </c>
      <c r="M22" s="473">
        <v>37704</v>
      </c>
      <c r="N22" s="473">
        <v>39589</v>
      </c>
      <c r="O22" s="473">
        <v>38640</v>
      </c>
      <c r="P22" s="473">
        <v>38670</v>
      </c>
      <c r="Q22" s="473">
        <v>38655</v>
      </c>
      <c r="R22" s="473">
        <v>38655</v>
      </c>
      <c r="S22" s="473">
        <v>38059</v>
      </c>
      <c r="T22" s="473">
        <v>38357</v>
      </c>
      <c r="U22" s="473">
        <v>38208</v>
      </c>
      <c r="V22" s="473">
        <v>37812</v>
      </c>
    </row>
    <row r="23" spans="1:22" ht="15" customHeight="1">
      <c r="A23" s="77"/>
      <c r="B23" s="21" t="s">
        <v>37</v>
      </c>
      <c r="C23" s="202">
        <v>18555</v>
      </c>
      <c r="D23" s="202">
        <v>18980</v>
      </c>
      <c r="E23" s="87">
        <v>14575</v>
      </c>
      <c r="F23" s="87">
        <v>19865</v>
      </c>
      <c r="G23" s="87">
        <v>18404</v>
      </c>
      <c r="H23" s="87">
        <v>20680</v>
      </c>
      <c r="I23" s="87">
        <v>20968</v>
      </c>
      <c r="J23" s="87">
        <v>21445</v>
      </c>
      <c r="K23" s="87">
        <v>27998</v>
      </c>
      <c r="L23" s="87">
        <v>27046</v>
      </c>
      <c r="M23" s="473">
        <v>28326</v>
      </c>
      <c r="N23" s="473">
        <v>29742</v>
      </c>
      <c r="O23" s="473">
        <v>28405</v>
      </c>
      <c r="P23" s="473">
        <v>28405</v>
      </c>
      <c r="Q23" s="473">
        <v>28405</v>
      </c>
      <c r="R23" s="473">
        <v>28405</v>
      </c>
      <c r="S23" s="473">
        <v>28397</v>
      </c>
      <c r="T23" s="473">
        <v>28401</v>
      </c>
      <c r="U23" s="473">
        <v>28399</v>
      </c>
      <c r="V23" s="473">
        <v>27860</v>
      </c>
    </row>
    <row r="24" spans="1:22" ht="15" customHeight="1">
      <c r="A24" s="77"/>
      <c r="B24" s="21" t="s">
        <v>38</v>
      </c>
      <c r="C24" s="202">
        <v>128288</v>
      </c>
      <c r="D24" s="202">
        <v>119003</v>
      </c>
      <c r="E24" s="87">
        <v>129320</v>
      </c>
      <c r="F24" s="87">
        <v>134210</v>
      </c>
      <c r="G24" s="87">
        <v>121678</v>
      </c>
      <c r="H24" s="87">
        <v>131132</v>
      </c>
      <c r="I24" s="87">
        <v>136942</v>
      </c>
      <c r="J24" s="87">
        <v>127960</v>
      </c>
      <c r="K24" s="87">
        <v>150209</v>
      </c>
      <c r="L24" s="87">
        <v>136915</v>
      </c>
      <c r="M24" s="473">
        <v>129387</v>
      </c>
      <c r="N24" s="473">
        <v>95020</v>
      </c>
      <c r="O24" s="473">
        <v>85162</v>
      </c>
      <c r="P24" s="473">
        <v>82871</v>
      </c>
      <c r="Q24" s="473">
        <v>79754</v>
      </c>
      <c r="R24" s="473">
        <v>78570</v>
      </c>
      <c r="S24" s="473">
        <v>78681</v>
      </c>
      <c r="T24" s="473">
        <v>78476</v>
      </c>
      <c r="U24" s="473">
        <v>78579</v>
      </c>
      <c r="V24" s="473">
        <v>79048</v>
      </c>
    </row>
    <row r="25" spans="1:22" ht="15" customHeight="1">
      <c r="A25" s="77"/>
      <c r="B25" s="21" t="s">
        <v>39</v>
      </c>
      <c r="C25" s="202">
        <v>51610</v>
      </c>
      <c r="D25" s="202">
        <v>57945</v>
      </c>
      <c r="E25" s="87">
        <v>58370</v>
      </c>
      <c r="F25" s="87">
        <v>66971</v>
      </c>
      <c r="G25" s="87">
        <v>65430</v>
      </c>
      <c r="H25" s="87">
        <v>63065</v>
      </c>
      <c r="I25" s="87">
        <v>61554</v>
      </c>
      <c r="J25" s="87">
        <v>63014</v>
      </c>
      <c r="K25" s="87">
        <v>67160</v>
      </c>
      <c r="L25" s="87">
        <v>67839</v>
      </c>
      <c r="M25" s="473">
        <v>69980</v>
      </c>
      <c r="N25" s="473">
        <v>73479</v>
      </c>
      <c r="O25" s="473">
        <v>72980</v>
      </c>
      <c r="P25" s="473">
        <v>72241</v>
      </c>
      <c r="Q25" s="473">
        <v>72610</v>
      </c>
      <c r="R25" s="473">
        <v>72240</v>
      </c>
      <c r="S25" s="473">
        <v>72280</v>
      </c>
      <c r="T25" s="473">
        <v>72260</v>
      </c>
      <c r="U25" s="473">
        <v>72271</v>
      </c>
      <c r="V25" s="473">
        <v>73490</v>
      </c>
    </row>
    <row r="26" spans="1:22" ht="15" customHeight="1">
      <c r="A26" s="77"/>
      <c r="B26" s="21" t="s">
        <v>42</v>
      </c>
      <c r="C26" s="202">
        <v>233219</v>
      </c>
      <c r="D26" s="202">
        <v>235396</v>
      </c>
      <c r="E26" s="87">
        <v>237789</v>
      </c>
      <c r="F26" s="87">
        <v>209672</v>
      </c>
      <c r="G26" s="87">
        <v>201287</v>
      </c>
      <c r="H26" s="87">
        <v>201473</v>
      </c>
      <c r="I26" s="87">
        <v>184421</v>
      </c>
      <c r="J26" s="87">
        <v>179650</v>
      </c>
      <c r="K26" s="87">
        <v>161609</v>
      </c>
      <c r="L26" s="87">
        <v>158708</v>
      </c>
      <c r="M26" s="473">
        <v>152251</v>
      </c>
      <c r="N26" s="473">
        <v>139859</v>
      </c>
      <c r="O26" s="473">
        <v>142064</v>
      </c>
      <c r="P26" s="473">
        <v>150238</v>
      </c>
      <c r="Q26" s="473">
        <v>150801</v>
      </c>
      <c r="R26" s="473">
        <v>148034</v>
      </c>
      <c r="S26" s="473">
        <v>144965</v>
      </c>
      <c r="T26" s="473">
        <v>139394</v>
      </c>
      <c r="U26" s="473">
        <v>138750</v>
      </c>
      <c r="V26" s="473">
        <v>138750</v>
      </c>
    </row>
    <row r="27" spans="1:22" ht="15" customHeight="1">
      <c r="A27" s="77"/>
      <c r="B27" s="21" t="s">
        <v>43</v>
      </c>
      <c r="C27" s="202">
        <v>436910</v>
      </c>
      <c r="D27" s="202">
        <v>433880</v>
      </c>
      <c r="E27" s="87">
        <v>437090</v>
      </c>
      <c r="F27" s="87">
        <v>445610</v>
      </c>
      <c r="G27" s="87">
        <v>449260</v>
      </c>
      <c r="H27" s="87">
        <v>452370</v>
      </c>
      <c r="I27" s="87">
        <v>447290</v>
      </c>
      <c r="J27" s="87">
        <v>405300</v>
      </c>
      <c r="K27" s="87">
        <v>435120</v>
      </c>
      <c r="L27" s="87">
        <v>423780</v>
      </c>
      <c r="M27" s="473">
        <v>423850</v>
      </c>
      <c r="N27" s="473">
        <v>394780</v>
      </c>
      <c r="O27" s="473">
        <v>394830</v>
      </c>
      <c r="P27" s="473">
        <v>370270</v>
      </c>
      <c r="Q27" s="473">
        <v>369690</v>
      </c>
      <c r="R27" s="473">
        <v>369725</v>
      </c>
      <c r="S27" s="473">
        <v>359415</v>
      </c>
      <c r="T27" s="473">
        <v>356625</v>
      </c>
      <c r="U27" s="473">
        <v>357075</v>
      </c>
      <c r="V27" s="473">
        <v>331970</v>
      </c>
    </row>
    <row r="28" spans="1:22" ht="15" customHeight="1">
      <c r="A28" s="77"/>
      <c r="B28" s="76" t="s">
        <v>44</v>
      </c>
      <c r="C28" s="202">
        <v>0</v>
      </c>
      <c r="D28" s="202">
        <v>0</v>
      </c>
      <c r="E28" s="571" t="s">
        <v>212</v>
      </c>
      <c r="F28" s="571" t="s">
        <v>212</v>
      </c>
      <c r="G28" s="571" t="s">
        <v>212</v>
      </c>
      <c r="H28" s="571" t="s">
        <v>212</v>
      </c>
      <c r="I28" s="571" t="s">
        <v>212</v>
      </c>
      <c r="J28" s="571" t="s">
        <v>212</v>
      </c>
      <c r="K28" s="571" t="s">
        <v>212</v>
      </c>
      <c r="L28" s="571" t="s">
        <v>212</v>
      </c>
      <c r="M28" s="571" t="s">
        <v>212</v>
      </c>
      <c r="N28" s="571" t="s">
        <v>212</v>
      </c>
      <c r="O28" s="571" t="s">
        <v>212</v>
      </c>
      <c r="P28" s="571" t="s">
        <v>212</v>
      </c>
      <c r="Q28" s="571" t="s">
        <v>212</v>
      </c>
      <c r="R28" s="571" t="s">
        <v>212</v>
      </c>
      <c r="S28" s="571" t="s">
        <v>212</v>
      </c>
      <c r="T28" s="571" t="s">
        <v>212</v>
      </c>
      <c r="U28" s="571" t="s">
        <v>212</v>
      </c>
      <c r="V28" s="571" t="s">
        <v>212</v>
      </c>
    </row>
    <row r="29" spans="1:22" ht="15" customHeight="1">
      <c r="A29" s="77"/>
      <c r="B29" s="21" t="s">
        <v>45</v>
      </c>
      <c r="C29" s="202">
        <v>0</v>
      </c>
      <c r="D29" s="202">
        <v>0</v>
      </c>
      <c r="E29" s="571" t="s">
        <v>212</v>
      </c>
      <c r="F29" s="571" t="s">
        <v>212</v>
      </c>
      <c r="G29" s="571" t="s">
        <v>212</v>
      </c>
      <c r="H29" s="571" t="s">
        <v>212</v>
      </c>
      <c r="I29" s="571" t="s">
        <v>212</v>
      </c>
      <c r="J29" s="571" t="s">
        <v>212</v>
      </c>
      <c r="K29" s="571" t="s">
        <v>212</v>
      </c>
      <c r="L29" s="571" t="s">
        <v>212</v>
      </c>
      <c r="M29" s="571" t="s">
        <v>212</v>
      </c>
      <c r="N29" s="571" t="s">
        <v>212</v>
      </c>
      <c r="O29" s="571" t="s">
        <v>212</v>
      </c>
      <c r="P29" s="571" t="s">
        <v>212</v>
      </c>
      <c r="Q29" s="571" t="s">
        <v>212</v>
      </c>
      <c r="R29" s="571" t="s">
        <v>212</v>
      </c>
      <c r="S29" s="571" t="s">
        <v>212</v>
      </c>
      <c r="T29" s="571" t="s">
        <v>212</v>
      </c>
      <c r="U29" s="571" t="s">
        <v>212</v>
      </c>
      <c r="V29" s="571" t="s">
        <v>212</v>
      </c>
    </row>
    <row r="30" spans="1:22" ht="15" customHeight="1">
      <c r="A30" s="77"/>
      <c r="B30" s="21" t="s">
        <v>46</v>
      </c>
      <c r="C30" s="202">
        <v>0</v>
      </c>
      <c r="D30" s="202">
        <v>0</v>
      </c>
      <c r="E30" s="571" t="s">
        <v>212</v>
      </c>
      <c r="F30" s="571" t="s">
        <v>212</v>
      </c>
      <c r="G30" s="571" t="s">
        <v>212</v>
      </c>
      <c r="H30" s="571" t="s">
        <v>212</v>
      </c>
      <c r="I30" s="571" t="s">
        <v>212</v>
      </c>
      <c r="J30" s="571" t="s">
        <v>212</v>
      </c>
      <c r="K30" s="571" t="s">
        <v>212</v>
      </c>
      <c r="L30" s="571" t="s">
        <v>212</v>
      </c>
      <c r="M30" s="571" t="s">
        <v>212</v>
      </c>
      <c r="N30" s="571" t="s">
        <v>212</v>
      </c>
      <c r="O30" s="571" t="s">
        <v>212</v>
      </c>
      <c r="P30" s="571" t="s">
        <v>212</v>
      </c>
      <c r="Q30" s="571" t="s">
        <v>212</v>
      </c>
      <c r="R30" s="571" t="s">
        <v>212</v>
      </c>
      <c r="S30" s="571" t="s">
        <v>212</v>
      </c>
      <c r="T30" s="571" t="s">
        <v>212</v>
      </c>
      <c r="U30" s="571" t="s">
        <v>212</v>
      </c>
      <c r="V30" s="571" t="s">
        <v>212</v>
      </c>
    </row>
    <row r="31" spans="1:22" ht="15" customHeight="1" thickBot="1">
      <c r="A31" s="82"/>
      <c r="B31" s="434" t="s">
        <v>47</v>
      </c>
      <c r="C31" s="438">
        <v>0</v>
      </c>
      <c r="D31" s="438">
        <v>0</v>
      </c>
      <c r="E31" s="572" t="s">
        <v>212</v>
      </c>
      <c r="F31" s="572" t="s">
        <v>212</v>
      </c>
      <c r="G31" s="572" t="s">
        <v>212</v>
      </c>
      <c r="H31" s="572" t="s">
        <v>212</v>
      </c>
      <c r="I31" s="572" t="s">
        <v>212</v>
      </c>
      <c r="J31" s="572" t="s">
        <v>212</v>
      </c>
      <c r="K31" s="572" t="s">
        <v>212</v>
      </c>
      <c r="L31" s="572" t="s">
        <v>212</v>
      </c>
      <c r="M31" s="572" t="s">
        <v>212</v>
      </c>
      <c r="N31" s="572" t="s">
        <v>212</v>
      </c>
      <c r="O31" s="572" t="s">
        <v>212</v>
      </c>
      <c r="P31" s="572" t="s">
        <v>212</v>
      </c>
      <c r="Q31" s="572" t="s">
        <v>212</v>
      </c>
      <c r="R31" s="572" t="s">
        <v>212</v>
      </c>
      <c r="S31" s="572" t="s">
        <v>212</v>
      </c>
      <c r="T31" s="572" t="s">
        <v>212</v>
      </c>
      <c r="U31" s="572" t="s">
        <v>212</v>
      </c>
      <c r="V31" s="572" t="s">
        <v>212</v>
      </c>
    </row>
    <row r="32" spans="1:22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  <c r="R35" s="78"/>
      <c r="S35" s="78"/>
      <c r="T35" s="78"/>
      <c r="U35" s="78"/>
      <c r="V35" s="78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  <c r="R36" s="78"/>
      <c r="S36" s="78"/>
      <c r="T36" s="78"/>
      <c r="U36" s="78"/>
      <c r="V36" s="78"/>
    </row>
    <row r="37" spans="1:22" ht="13.25" customHeight="1">
      <c r="V37" s="78"/>
    </row>
    <row r="38" spans="1:22" ht="13.25" customHeight="1">
      <c r="V38" s="78"/>
    </row>
    <row r="39" spans="1:22" ht="13.25" customHeight="1">
      <c r="V39" s="78"/>
    </row>
    <row r="40" spans="1:22" ht="13.25" customHeight="1">
      <c r="V40" s="78"/>
    </row>
    <row r="41" spans="1:22" ht="13.25" customHeight="1">
      <c r="V41" s="78"/>
    </row>
    <row r="42" spans="1:22" ht="13.25" customHeight="1">
      <c r="V42" s="78"/>
    </row>
    <row r="43" spans="1:22" ht="13.25" customHeight="1">
      <c r="V43" s="78"/>
    </row>
    <row r="44" spans="1:22" ht="13.25" customHeight="1">
      <c r="V44" s="78"/>
    </row>
    <row r="45" spans="1:22" ht="13.25" customHeight="1">
      <c r="V45" s="78"/>
    </row>
    <row r="46" spans="1:22" ht="13.25" customHeight="1">
      <c r="V46" s="78"/>
    </row>
    <row r="47" spans="1:22" ht="13.25" customHeight="1">
      <c r="V47" s="78"/>
    </row>
    <row r="48" spans="1:22" ht="13.25" customHeight="1">
      <c r="V48" s="78"/>
    </row>
    <row r="49" spans="22:22" ht="13.25" customHeight="1">
      <c r="V49" s="78"/>
    </row>
    <row r="50" spans="22:22" ht="13.25" customHeight="1">
      <c r="V50" s="78"/>
    </row>
    <row r="51" spans="22:22" ht="13.25" customHeight="1">
      <c r="V51" s="78"/>
    </row>
    <row r="52" spans="22:22" ht="13.25" customHeight="1">
      <c r="V52" s="78"/>
    </row>
    <row r="53" spans="22:22" ht="13.25" customHeight="1">
      <c r="V53" s="78"/>
    </row>
    <row r="54" spans="22:22" ht="13.25" customHeight="1">
      <c r="V54" s="78"/>
    </row>
    <row r="55" spans="22:22" ht="13.25" customHeight="1">
      <c r="V55" s="78"/>
    </row>
    <row r="56" spans="22:22" ht="13.25" customHeight="1">
      <c r="V56" s="78"/>
    </row>
    <row r="57" spans="22:22" ht="13.25" customHeight="1">
      <c r="V57" s="78"/>
    </row>
    <row r="58" spans="22:22" ht="13.25" customHeight="1">
      <c r="V58" s="78"/>
    </row>
    <row r="59" spans="22:22" ht="13.25" customHeight="1">
      <c r="V59" s="78"/>
    </row>
    <row r="60" spans="22:22" ht="13.25" customHeight="1">
      <c r="V60" s="78"/>
    </row>
    <row r="61" spans="22:22" ht="13.25" customHeight="1">
      <c r="V61" s="78"/>
    </row>
    <row r="62" spans="22:22" ht="13.25" customHeight="1">
      <c r="V62" s="7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45">
    <tabColor theme="9" tint="0.59999389629810485"/>
  </sheetPr>
  <dimension ref="A2:X36"/>
  <sheetViews>
    <sheetView showGridLines="0" topLeftCell="A2" zoomScaleNormal="100" workbookViewId="0">
      <selection activeCell="U10" sqref="U10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6.19921875" style="76" customWidth="1"/>
    <col min="23" max="29" width="8.19921875" style="76" customWidth="1"/>
    <col min="30" max="16384" width="7" style="76"/>
  </cols>
  <sheetData>
    <row r="2" spans="1:24" ht="17.25" customHeight="1">
      <c r="A2" s="210" t="s">
        <v>511</v>
      </c>
      <c r="B2" s="211"/>
    </row>
    <row r="3" spans="1:24" ht="13.25" customHeight="1">
      <c r="A3" s="212" t="s">
        <v>211</v>
      </c>
      <c r="B3" s="212"/>
    </row>
    <row r="4" spans="1:24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4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4" ht="18" customHeight="1">
      <c r="A6" s="1020" t="s">
        <v>93</v>
      </c>
      <c r="B6" s="1020"/>
      <c r="C6" s="632">
        <f>(C8+C9+C10+C11+C12+C13+C14+C15+C16+C17+C18+C19+C20+C21+C22+C23+C24+C25+C26+C27+C28+C29+C30+C31)</f>
        <v>112106</v>
      </c>
      <c r="D6" s="632">
        <f>(D8+D9+D10+D11+D12+D13+D14+D15+D16+D17+D18+D19+D20+D21+D22+D23+D24+D25+D26+D27+D28+D29+D30+D31)</f>
        <v>113801</v>
      </c>
      <c r="E6" s="629">
        <v>118399</v>
      </c>
      <c r="F6" s="629">
        <v>119237</v>
      </c>
      <c r="G6" s="629">
        <v>127316</v>
      </c>
      <c r="H6" s="629">
        <v>123384</v>
      </c>
      <c r="I6" s="629">
        <v>128346</v>
      </c>
      <c r="J6" s="629">
        <v>130530</v>
      </c>
      <c r="K6" s="629">
        <v>125729</v>
      </c>
      <c r="L6" s="629">
        <v>123360</v>
      </c>
      <c r="M6" s="629">
        <v>119806</v>
      </c>
      <c r="N6" s="629">
        <v>119195</v>
      </c>
      <c r="O6" s="629">
        <v>120748</v>
      </c>
      <c r="P6" s="629">
        <v>119726</v>
      </c>
      <c r="Q6" s="629">
        <f t="shared" ref="Q6:V6" si="0">SUM(Q8:Q31)</f>
        <v>115794</v>
      </c>
      <c r="R6" s="629">
        <f t="shared" si="0"/>
        <v>113686</v>
      </c>
      <c r="S6" s="629">
        <f t="shared" si="0"/>
        <v>117682</v>
      </c>
      <c r="T6" s="629">
        <f t="shared" si="0"/>
        <v>118241</v>
      </c>
      <c r="U6" s="629">
        <f t="shared" si="0"/>
        <v>120200</v>
      </c>
      <c r="V6" s="629">
        <f t="shared" si="0"/>
        <v>115666</v>
      </c>
    </row>
    <row r="7" spans="1:24" ht="3" customHeight="1">
      <c r="A7" s="77"/>
      <c r="B7" s="78"/>
      <c r="C7" s="213"/>
      <c r="D7" s="21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</row>
    <row r="8" spans="1:24" ht="15" customHeight="1">
      <c r="A8" s="77"/>
      <c r="B8" s="21" t="s">
        <v>19</v>
      </c>
      <c r="C8" s="219">
        <v>0</v>
      </c>
      <c r="D8" s="219">
        <v>0</v>
      </c>
      <c r="E8" s="204" t="s">
        <v>212</v>
      </c>
      <c r="F8" s="204" t="s">
        <v>212</v>
      </c>
      <c r="G8" s="204" t="s">
        <v>212</v>
      </c>
      <c r="H8" s="204" t="s">
        <v>212</v>
      </c>
      <c r="I8" s="204" t="s">
        <v>212</v>
      </c>
      <c r="J8" s="204" t="s">
        <v>212</v>
      </c>
      <c r="K8" s="204" t="s">
        <v>212</v>
      </c>
      <c r="L8" s="204" t="s">
        <v>212</v>
      </c>
      <c r="M8" s="204" t="s">
        <v>212</v>
      </c>
      <c r="N8" s="204" t="s">
        <v>212</v>
      </c>
      <c r="O8" s="204" t="s">
        <v>212</v>
      </c>
      <c r="P8" s="204" t="s">
        <v>212</v>
      </c>
      <c r="Q8" s="204">
        <v>4</v>
      </c>
      <c r="R8" s="204" t="s">
        <v>212</v>
      </c>
      <c r="S8" s="204" t="s">
        <v>212</v>
      </c>
      <c r="T8" s="204" t="s">
        <v>212</v>
      </c>
      <c r="U8" s="204" t="s">
        <v>212</v>
      </c>
      <c r="V8" s="204" t="s">
        <v>212</v>
      </c>
    </row>
    <row r="9" spans="1:24" ht="15" customHeight="1">
      <c r="A9" s="77"/>
      <c r="B9" s="21" t="s">
        <v>20</v>
      </c>
      <c r="C9" s="219">
        <v>0</v>
      </c>
      <c r="D9" s="219">
        <v>0</v>
      </c>
      <c r="E9" s="204" t="s">
        <v>212</v>
      </c>
      <c r="F9" s="204" t="s">
        <v>212</v>
      </c>
      <c r="G9" s="204" t="s">
        <v>212</v>
      </c>
      <c r="H9" s="204" t="s">
        <v>212</v>
      </c>
      <c r="I9" s="204" t="s">
        <v>212</v>
      </c>
      <c r="J9" s="204" t="s">
        <v>212</v>
      </c>
      <c r="K9" s="204" t="s">
        <v>212</v>
      </c>
      <c r="L9" s="204" t="s">
        <v>212</v>
      </c>
      <c r="M9" s="204" t="s">
        <v>212</v>
      </c>
      <c r="N9" s="204" t="s">
        <v>212</v>
      </c>
      <c r="O9" s="204" t="s">
        <v>212</v>
      </c>
      <c r="P9" s="204" t="s">
        <v>212</v>
      </c>
      <c r="Q9" s="204" t="s">
        <v>212</v>
      </c>
      <c r="R9" s="204" t="s">
        <v>212</v>
      </c>
      <c r="S9" s="204" t="s">
        <v>212</v>
      </c>
      <c r="T9" s="204" t="s">
        <v>212</v>
      </c>
      <c r="U9" s="204" t="s">
        <v>212</v>
      </c>
      <c r="V9" s="204" t="s">
        <v>212</v>
      </c>
      <c r="X9" s="84"/>
    </row>
    <row r="10" spans="1:24" ht="15" customHeight="1">
      <c r="A10" s="77"/>
      <c r="B10" s="21" t="s">
        <v>21</v>
      </c>
      <c r="C10" s="219">
        <v>0</v>
      </c>
      <c r="D10" s="219">
        <v>0</v>
      </c>
      <c r="E10" s="204" t="s">
        <v>212</v>
      </c>
      <c r="F10" s="204" t="s">
        <v>212</v>
      </c>
      <c r="G10" s="204" t="s">
        <v>212</v>
      </c>
      <c r="H10" s="204" t="s">
        <v>212</v>
      </c>
      <c r="I10" s="204" t="s">
        <v>212</v>
      </c>
      <c r="J10" s="204" t="s">
        <v>212</v>
      </c>
      <c r="K10" s="204" t="s">
        <v>212</v>
      </c>
      <c r="L10" s="204" t="s">
        <v>212</v>
      </c>
      <c r="M10" s="204" t="s">
        <v>212</v>
      </c>
      <c r="N10" s="204" t="s">
        <v>212</v>
      </c>
      <c r="O10" s="204" t="s">
        <v>212</v>
      </c>
      <c r="P10" s="204" t="s">
        <v>212</v>
      </c>
      <c r="Q10" s="204" t="s">
        <v>212</v>
      </c>
      <c r="R10" s="204" t="s">
        <v>212</v>
      </c>
      <c r="S10" s="204" t="s">
        <v>212</v>
      </c>
      <c r="T10" s="204" t="s">
        <v>212</v>
      </c>
      <c r="U10" s="204" t="s">
        <v>212</v>
      </c>
      <c r="V10" s="204" t="s">
        <v>212</v>
      </c>
      <c r="X10" s="84"/>
    </row>
    <row r="11" spans="1:24" ht="15" customHeight="1">
      <c r="A11" s="77"/>
      <c r="B11" s="21" t="s">
        <v>22</v>
      </c>
      <c r="C11" s="219">
        <v>0</v>
      </c>
      <c r="D11" s="219">
        <v>0</v>
      </c>
      <c r="E11" s="204" t="s">
        <v>212</v>
      </c>
      <c r="F11" s="204" t="s">
        <v>212</v>
      </c>
      <c r="G11" s="204" t="s">
        <v>212</v>
      </c>
      <c r="H11" s="204" t="s">
        <v>212</v>
      </c>
      <c r="I11" s="204" t="s">
        <v>212</v>
      </c>
      <c r="J11" s="204" t="s">
        <v>212</v>
      </c>
      <c r="K11" s="204" t="s">
        <v>212</v>
      </c>
      <c r="L11" s="204" t="s">
        <v>212</v>
      </c>
      <c r="M11" s="204" t="s">
        <v>212</v>
      </c>
      <c r="N11" s="204" t="s">
        <v>212</v>
      </c>
      <c r="O11" s="204" t="s">
        <v>212</v>
      </c>
      <c r="P11" s="204" t="s">
        <v>212</v>
      </c>
      <c r="Q11" s="204" t="s">
        <v>212</v>
      </c>
      <c r="R11" s="204" t="s">
        <v>212</v>
      </c>
      <c r="S11" s="204" t="s">
        <v>212</v>
      </c>
      <c r="T11" s="204" t="s">
        <v>212</v>
      </c>
      <c r="U11" s="204" t="s">
        <v>212</v>
      </c>
      <c r="V11" s="204" t="s">
        <v>212</v>
      </c>
      <c r="X11" s="84"/>
    </row>
    <row r="12" spans="1:24" ht="15" customHeight="1">
      <c r="A12" s="77"/>
      <c r="B12" s="21" t="s">
        <v>23</v>
      </c>
      <c r="C12" s="219">
        <v>0</v>
      </c>
      <c r="D12" s="219">
        <v>0</v>
      </c>
      <c r="E12" s="204" t="s">
        <v>212</v>
      </c>
      <c r="F12" s="204" t="s">
        <v>212</v>
      </c>
      <c r="G12" s="204" t="s">
        <v>212</v>
      </c>
      <c r="H12" s="204" t="s">
        <v>212</v>
      </c>
      <c r="I12" s="204" t="s">
        <v>212</v>
      </c>
      <c r="J12" s="204" t="s">
        <v>212</v>
      </c>
      <c r="K12" s="204" t="s">
        <v>212</v>
      </c>
      <c r="L12" s="204" t="s">
        <v>212</v>
      </c>
      <c r="M12" s="204" t="s">
        <v>212</v>
      </c>
      <c r="N12" s="204" t="s">
        <v>212</v>
      </c>
      <c r="O12" s="204" t="s">
        <v>212</v>
      </c>
      <c r="P12" s="204" t="s">
        <v>212</v>
      </c>
      <c r="Q12" s="204" t="s">
        <v>212</v>
      </c>
      <c r="R12" s="204" t="s">
        <v>212</v>
      </c>
      <c r="S12" s="204" t="s">
        <v>212</v>
      </c>
      <c r="T12" s="204" t="s">
        <v>212</v>
      </c>
      <c r="U12" s="204" t="s">
        <v>212</v>
      </c>
      <c r="V12" s="204" t="s">
        <v>212</v>
      </c>
      <c r="X12" s="84"/>
    </row>
    <row r="13" spans="1:24" ht="15" customHeight="1">
      <c r="A13" s="77"/>
      <c r="B13" s="21" t="s">
        <v>27</v>
      </c>
      <c r="C13" s="219">
        <v>0</v>
      </c>
      <c r="D13" s="219">
        <v>0</v>
      </c>
      <c r="E13" s="204" t="s">
        <v>212</v>
      </c>
      <c r="F13" s="204" t="s">
        <v>212</v>
      </c>
      <c r="G13" s="204" t="s">
        <v>212</v>
      </c>
      <c r="H13" s="204" t="s">
        <v>212</v>
      </c>
      <c r="I13" s="204" t="s">
        <v>212</v>
      </c>
      <c r="J13" s="204" t="s">
        <v>212</v>
      </c>
      <c r="K13" s="204" t="s">
        <v>212</v>
      </c>
      <c r="L13" s="204" t="s">
        <v>212</v>
      </c>
      <c r="M13" s="204" t="s">
        <v>212</v>
      </c>
      <c r="N13" s="204" t="s">
        <v>212</v>
      </c>
      <c r="O13" s="204" t="s">
        <v>212</v>
      </c>
      <c r="P13" s="204" t="s">
        <v>212</v>
      </c>
      <c r="Q13" s="204" t="s">
        <v>212</v>
      </c>
      <c r="R13" s="204" t="s">
        <v>212</v>
      </c>
      <c r="S13" s="204" t="s">
        <v>212</v>
      </c>
      <c r="T13" s="204" t="s">
        <v>212</v>
      </c>
      <c r="U13" s="204" t="s">
        <v>212</v>
      </c>
      <c r="V13" s="204" t="s">
        <v>212</v>
      </c>
      <c r="X13" s="84"/>
    </row>
    <row r="14" spans="1:24" ht="15" customHeight="1">
      <c r="A14" s="77"/>
      <c r="B14" s="21" t="s">
        <v>28</v>
      </c>
      <c r="C14" s="219">
        <v>0</v>
      </c>
      <c r="D14" s="219">
        <v>0</v>
      </c>
      <c r="E14" s="204" t="s">
        <v>212</v>
      </c>
      <c r="F14" s="204" t="s">
        <v>212</v>
      </c>
      <c r="G14" s="204" t="s">
        <v>212</v>
      </c>
      <c r="H14" s="204" t="s">
        <v>212</v>
      </c>
      <c r="I14" s="204" t="s">
        <v>212</v>
      </c>
      <c r="J14" s="204" t="s">
        <v>212</v>
      </c>
      <c r="K14" s="204" t="s">
        <v>212</v>
      </c>
      <c r="L14" s="204" t="s">
        <v>212</v>
      </c>
      <c r="M14" s="204" t="s">
        <v>212</v>
      </c>
      <c r="N14" s="204" t="s">
        <v>212</v>
      </c>
      <c r="O14" s="204" t="s">
        <v>212</v>
      </c>
      <c r="P14" s="204" t="s">
        <v>212</v>
      </c>
      <c r="Q14" s="204" t="s">
        <v>212</v>
      </c>
      <c r="R14" s="204" t="s">
        <v>212</v>
      </c>
      <c r="S14" s="204" t="s">
        <v>212</v>
      </c>
      <c r="T14" s="204" t="s">
        <v>212</v>
      </c>
      <c r="U14" s="204" t="s">
        <v>212</v>
      </c>
      <c r="V14" s="204" t="s">
        <v>212</v>
      </c>
      <c r="X14" s="84"/>
    </row>
    <row r="15" spans="1:24" ht="15" customHeight="1">
      <c r="A15" s="77"/>
      <c r="B15" s="21" t="s">
        <v>29</v>
      </c>
      <c r="C15" s="219">
        <v>2867</v>
      </c>
      <c r="D15" s="219">
        <v>2944</v>
      </c>
      <c r="E15" s="204">
        <v>2849</v>
      </c>
      <c r="F15" s="204">
        <v>2439</v>
      </c>
      <c r="G15" s="204">
        <v>2693</v>
      </c>
      <c r="H15" s="204">
        <v>2398</v>
      </c>
      <c r="I15" s="204">
        <v>2046</v>
      </c>
      <c r="J15" s="204">
        <v>2270</v>
      </c>
      <c r="K15" s="204">
        <v>1703</v>
      </c>
      <c r="L15" s="204">
        <v>1724</v>
      </c>
      <c r="M15" s="204">
        <v>1627</v>
      </c>
      <c r="N15" s="204">
        <v>1675</v>
      </c>
      <c r="O15" s="204">
        <v>1597</v>
      </c>
      <c r="P15" s="204">
        <v>2354</v>
      </c>
      <c r="Q15" s="204">
        <v>2030</v>
      </c>
      <c r="R15" s="204">
        <v>2296</v>
      </c>
      <c r="S15" s="204">
        <v>2126</v>
      </c>
      <c r="T15" s="204">
        <v>1963</v>
      </c>
      <c r="U15" s="204">
        <v>2120</v>
      </c>
      <c r="V15" s="204">
        <v>2175</v>
      </c>
      <c r="X15" s="84"/>
    </row>
    <row r="16" spans="1:24" ht="15" customHeight="1">
      <c r="A16" s="77"/>
      <c r="B16" s="21" t="s">
        <v>30</v>
      </c>
      <c r="C16" s="219">
        <v>0</v>
      </c>
      <c r="D16" s="219">
        <v>0</v>
      </c>
      <c r="E16" s="204" t="s">
        <v>212</v>
      </c>
      <c r="F16" s="204" t="s">
        <v>212</v>
      </c>
      <c r="G16" s="204" t="s">
        <v>212</v>
      </c>
      <c r="H16" s="204" t="s">
        <v>212</v>
      </c>
      <c r="I16" s="204" t="s">
        <v>212</v>
      </c>
      <c r="J16" s="204" t="s">
        <v>212</v>
      </c>
      <c r="K16" s="204" t="s">
        <v>212</v>
      </c>
      <c r="L16" s="204" t="s">
        <v>212</v>
      </c>
      <c r="M16" s="204" t="s">
        <v>212</v>
      </c>
      <c r="N16" s="204" t="s">
        <v>212</v>
      </c>
      <c r="O16" s="204" t="s">
        <v>212</v>
      </c>
      <c r="P16" s="204" t="s">
        <v>212</v>
      </c>
      <c r="Q16" s="204" t="s">
        <v>212</v>
      </c>
      <c r="R16" s="204" t="s">
        <v>212</v>
      </c>
      <c r="S16" s="204" t="s">
        <v>212</v>
      </c>
      <c r="T16" s="204" t="s">
        <v>212</v>
      </c>
      <c r="U16" s="204" t="s">
        <v>212</v>
      </c>
      <c r="V16" s="204" t="s">
        <v>212</v>
      </c>
      <c r="X16" s="84"/>
    </row>
    <row r="17" spans="1:24" ht="15" customHeight="1">
      <c r="A17" s="77"/>
      <c r="B17" s="21" t="s">
        <v>31</v>
      </c>
      <c r="C17" s="219">
        <v>0</v>
      </c>
      <c r="D17" s="219">
        <v>0</v>
      </c>
      <c r="E17" s="204" t="s">
        <v>212</v>
      </c>
      <c r="F17" s="204" t="s">
        <v>212</v>
      </c>
      <c r="G17" s="204" t="s">
        <v>212</v>
      </c>
      <c r="H17" s="204" t="s">
        <v>212</v>
      </c>
      <c r="I17" s="204" t="s">
        <v>212</v>
      </c>
      <c r="J17" s="204" t="s">
        <v>212</v>
      </c>
      <c r="K17" s="204">
        <v>351</v>
      </c>
      <c r="L17" s="204">
        <v>310</v>
      </c>
      <c r="M17" s="204">
        <v>112</v>
      </c>
      <c r="N17" s="204">
        <v>26</v>
      </c>
      <c r="O17" s="204">
        <v>45</v>
      </c>
      <c r="P17" s="204" t="s">
        <v>212</v>
      </c>
      <c r="Q17" s="204" t="s">
        <v>212</v>
      </c>
      <c r="R17" s="204" t="s">
        <v>212</v>
      </c>
      <c r="S17" s="204" t="s">
        <v>212</v>
      </c>
      <c r="T17" s="204" t="s">
        <v>212</v>
      </c>
      <c r="U17" s="204" t="s">
        <v>212</v>
      </c>
      <c r="V17" s="204" t="s">
        <v>212</v>
      </c>
      <c r="X17" s="84"/>
    </row>
    <row r="18" spans="1:24" ht="15" customHeight="1">
      <c r="A18" s="77"/>
      <c r="B18" s="21" t="s">
        <v>32</v>
      </c>
      <c r="C18" s="219">
        <v>1843</v>
      </c>
      <c r="D18" s="219">
        <v>3268</v>
      </c>
      <c r="E18" s="204">
        <v>3527</v>
      </c>
      <c r="F18" s="204">
        <v>3142</v>
      </c>
      <c r="G18" s="204">
        <v>3243</v>
      </c>
      <c r="H18" s="204">
        <v>3189</v>
      </c>
      <c r="I18" s="204">
        <v>3300</v>
      </c>
      <c r="J18" s="204">
        <v>3605</v>
      </c>
      <c r="K18" s="204">
        <v>3577</v>
      </c>
      <c r="L18" s="204">
        <v>3224</v>
      </c>
      <c r="M18" s="204">
        <v>3860</v>
      </c>
      <c r="N18" s="204">
        <v>3759</v>
      </c>
      <c r="O18" s="204">
        <v>3896</v>
      </c>
      <c r="P18" s="204">
        <v>4117</v>
      </c>
      <c r="Q18" s="204">
        <v>3832</v>
      </c>
      <c r="R18" s="204">
        <v>3856</v>
      </c>
      <c r="S18" s="204">
        <v>4122</v>
      </c>
      <c r="T18" s="204">
        <v>4193</v>
      </c>
      <c r="U18" s="204">
        <v>4437</v>
      </c>
      <c r="V18" s="204">
        <v>4273</v>
      </c>
      <c r="X18" s="84"/>
    </row>
    <row r="19" spans="1:24" ht="15" customHeight="1">
      <c r="A19" s="77"/>
      <c r="B19" s="21" t="s">
        <v>33</v>
      </c>
      <c r="C19" s="219">
        <v>2900</v>
      </c>
      <c r="D19" s="219">
        <v>2940</v>
      </c>
      <c r="E19" s="204">
        <v>3097</v>
      </c>
      <c r="F19" s="204">
        <v>2769</v>
      </c>
      <c r="G19" s="204">
        <v>3470</v>
      </c>
      <c r="H19" s="204">
        <v>3896</v>
      </c>
      <c r="I19" s="204">
        <v>5687</v>
      </c>
      <c r="J19" s="204">
        <v>6316</v>
      </c>
      <c r="K19" s="204">
        <v>6675</v>
      </c>
      <c r="L19" s="204">
        <v>6957</v>
      </c>
      <c r="M19" s="204">
        <v>7433</v>
      </c>
      <c r="N19" s="204">
        <v>8230</v>
      </c>
      <c r="O19" s="204">
        <v>9563</v>
      </c>
      <c r="P19" s="204">
        <v>11275</v>
      </c>
      <c r="Q19" s="204">
        <v>8636</v>
      </c>
      <c r="R19" s="204">
        <v>7247</v>
      </c>
      <c r="S19" s="204">
        <v>8361</v>
      </c>
      <c r="T19" s="204">
        <v>8850</v>
      </c>
      <c r="U19" s="204">
        <v>9188</v>
      </c>
      <c r="V19" s="204">
        <v>9372</v>
      </c>
      <c r="X19" s="84"/>
    </row>
    <row r="20" spans="1:24" ht="15" customHeight="1">
      <c r="A20" s="77"/>
      <c r="B20" s="21" t="s">
        <v>34</v>
      </c>
      <c r="C20" s="219">
        <v>11379</v>
      </c>
      <c r="D20" s="219">
        <v>10991</v>
      </c>
      <c r="E20" s="204">
        <v>10579</v>
      </c>
      <c r="F20" s="204">
        <v>10568</v>
      </c>
      <c r="G20" s="204">
        <v>11106</v>
      </c>
      <c r="H20" s="204">
        <v>10706</v>
      </c>
      <c r="I20" s="204">
        <v>10873</v>
      </c>
      <c r="J20" s="204">
        <v>12370</v>
      </c>
      <c r="K20" s="204">
        <v>12347</v>
      </c>
      <c r="L20" s="204">
        <v>12785</v>
      </c>
      <c r="M20" s="204">
        <v>13393</v>
      </c>
      <c r="N20" s="204">
        <v>12123</v>
      </c>
      <c r="O20" s="204">
        <v>11023</v>
      </c>
      <c r="P20" s="204">
        <v>9733</v>
      </c>
      <c r="Q20" s="204">
        <v>7899</v>
      </c>
      <c r="R20" s="204">
        <v>7613</v>
      </c>
      <c r="S20" s="204">
        <v>8199</v>
      </c>
      <c r="T20" s="204">
        <v>8444</v>
      </c>
      <c r="U20" s="204">
        <v>7834</v>
      </c>
      <c r="V20" s="204">
        <v>7363</v>
      </c>
      <c r="X20" s="84"/>
    </row>
    <row r="21" spans="1:24" ht="15" customHeight="1">
      <c r="A21" s="77"/>
      <c r="B21" s="21" t="s">
        <v>35</v>
      </c>
      <c r="C21" s="219">
        <v>14649</v>
      </c>
      <c r="D21" s="219">
        <v>14501</v>
      </c>
      <c r="E21" s="204">
        <v>14873</v>
      </c>
      <c r="F21" s="204">
        <v>15399</v>
      </c>
      <c r="G21" s="204">
        <v>15610</v>
      </c>
      <c r="H21" s="204">
        <v>10056</v>
      </c>
      <c r="I21" s="204">
        <v>9726</v>
      </c>
      <c r="J21" s="204">
        <v>10478</v>
      </c>
      <c r="K21" s="204">
        <v>11988</v>
      </c>
      <c r="L21" s="204">
        <v>15265</v>
      </c>
      <c r="M21" s="204">
        <v>14037</v>
      </c>
      <c r="N21" s="204">
        <v>10375</v>
      </c>
      <c r="O21" s="204">
        <v>11994</v>
      </c>
      <c r="P21" s="204">
        <v>10331</v>
      </c>
      <c r="Q21" s="204">
        <v>9379</v>
      </c>
      <c r="R21" s="204">
        <v>11033</v>
      </c>
      <c r="S21" s="204">
        <v>12612</v>
      </c>
      <c r="T21" s="204">
        <v>12838</v>
      </c>
      <c r="U21" s="204">
        <v>13353</v>
      </c>
      <c r="V21" s="204">
        <v>10787</v>
      </c>
      <c r="X21" s="84"/>
    </row>
    <row r="22" spans="1:24" ht="15" customHeight="1">
      <c r="A22" s="77"/>
      <c r="B22" s="21" t="s">
        <v>36</v>
      </c>
      <c r="C22" s="219">
        <v>2087</v>
      </c>
      <c r="D22" s="219">
        <v>2060</v>
      </c>
      <c r="E22" s="204">
        <v>2155</v>
      </c>
      <c r="F22" s="204">
        <v>1848</v>
      </c>
      <c r="G22" s="204">
        <v>2566</v>
      </c>
      <c r="H22" s="204">
        <v>2781</v>
      </c>
      <c r="I22" s="204">
        <v>2996</v>
      </c>
      <c r="J22" s="204">
        <v>2649</v>
      </c>
      <c r="K22" s="204">
        <v>2841</v>
      </c>
      <c r="L22" s="204">
        <v>2216</v>
      </c>
      <c r="M22" s="204">
        <v>2209</v>
      </c>
      <c r="N22" s="204">
        <v>2586</v>
      </c>
      <c r="O22" s="204">
        <v>1788</v>
      </c>
      <c r="P22" s="204">
        <v>1454</v>
      </c>
      <c r="Q22" s="204">
        <v>1353</v>
      </c>
      <c r="R22" s="204">
        <v>1304</v>
      </c>
      <c r="S22" s="204">
        <v>1665</v>
      </c>
      <c r="T22" s="204">
        <v>1689</v>
      </c>
      <c r="U22" s="204">
        <v>1905</v>
      </c>
      <c r="V22" s="204">
        <v>2130</v>
      </c>
      <c r="X22" s="84"/>
    </row>
    <row r="23" spans="1:24" ht="15" customHeight="1">
      <c r="A23" s="77"/>
      <c r="B23" s="21" t="s">
        <v>37</v>
      </c>
      <c r="C23" s="219">
        <v>4239</v>
      </c>
      <c r="D23" s="219">
        <v>4243</v>
      </c>
      <c r="E23" s="204">
        <v>3798</v>
      </c>
      <c r="F23" s="204">
        <v>3552</v>
      </c>
      <c r="G23" s="204">
        <v>3191</v>
      </c>
      <c r="H23" s="204">
        <v>3491</v>
      </c>
      <c r="I23" s="204">
        <v>3582</v>
      </c>
      <c r="J23" s="204">
        <v>3658</v>
      </c>
      <c r="K23" s="204">
        <v>3872</v>
      </c>
      <c r="L23" s="204">
        <v>4238</v>
      </c>
      <c r="M23" s="204">
        <v>4103</v>
      </c>
      <c r="N23" s="204">
        <v>4326</v>
      </c>
      <c r="O23" s="204">
        <v>4418</v>
      </c>
      <c r="P23" s="204">
        <v>4469</v>
      </c>
      <c r="Q23" s="204">
        <v>4650</v>
      </c>
      <c r="R23" s="204">
        <v>4656</v>
      </c>
      <c r="S23" s="204">
        <v>4938</v>
      </c>
      <c r="T23" s="204">
        <v>5134</v>
      </c>
      <c r="U23" s="204">
        <v>5408</v>
      </c>
      <c r="V23" s="204">
        <v>5447</v>
      </c>
      <c r="X23" s="84"/>
    </row>
    <row r="24" spans="1:24" ht="15" customHeight="1">
      <c r="A24" s="77"/>
      <c r="B24" s="21" t="s">
        <v>38</v>
      </c>
      <c r="C24" s="219">
        <v>12781</v>
      </c>
      <c r="D24" s="219">
        <v>11464</v>
      </c>
      <c r="E24" s="204">
        <v>13170</v>
      </c>
      <c r="F24" s="204">
        <v>12957</v>
      </c>
      <c r="G24" s="204">
        <v>14449</v>
      </c>
      <c r="H24" s="204">
        <v>14367</v>
      </c>
      <c r="I24" s="204">
        <v>15796</v>
      </c>
      <c r="J24" s="204">
        <v>13982</v>
      </c>
      <c r="K24" s="204">
        <v>13479</v>
      </c>
      <c r="L24" s="204">
        <v>8793</v>
      </c>
      <c r="M24" s="204">
        <v>9682</v>
      </c>
      <c r="N24" s="204">
        <v>8666</v>
      </c>
      <c r="O24" s="204">
        <v>8586</v>
      </c>
      <c r="P24" s="204">
        <v>8081</v>
      </c>
      <c r="Q24" s="204">
        <v>8451</v>
      </c>
      <c r="R24" s="204">
        <v>6966</v>
      </c>
      <c r="S24" s="204">
        <v>5520</v>
      </c>
      <c r="T24" s="204">
        <v>5586</v>
      </c>
      <c r="U24" s="204">
        <v>5640</v>
      </c>
      <c r="V24" s="204">
        <v>5888</v>
      </c>
      <c r="X24" s="84"/>
    </row>
    <row r="25" spans="1:24" ht="15" customHeight="1">
      <c r="A25" s="77"/>
      <c r="B25" s="21" t="s">
        <v>39</v>
      </c>
      <c r="C25" s="219">
        <v>6157</v>
      </c>
      <c r="D25" s="219">
        <v>6926</v>
      </c>
      <c r="E25" s="204">
        <v>7952</v>
      </c>
      <c r="F25" s="204">
        <v>7975</v>
      </c>
      <c r="G25" s="204">
        <v>8696</v>
      </c>
      <c r="H25" s="204">
        <v>9012</v>
      </c>
      <c r="I25" s="204">
        <v>9372</v>
      </c>
      <c r="J25" s="204">
        <v>9382</v>
      </c>
      <c r="K25" s="204">
        <v>9395</v>
      </c>
      <c r="L25" s="204">
        <v>8866</v>
      </c>
      <c r="M25" s="204">
        <v>9039</v>
      </c>
      <c r="N25" s="204">
        <v>9459</v>
      </c>
      <c r="O25" s="204">
        <v>9871</v>
      </c>
      <c r="P25" s="204">
        <v>9623</v>
      </c>
      <c r="Q25" s="204">
        <v>9923</v>
      </c>
      <c r="R25" s="204">
        <v>9438</v>
      </c>
      <c r="S25" s="204">
        <v>10267</v>
      </c>
      <c r="T25" s="204">
        <v>10042</v>
      </c>
      <c r="U25" s="204">
        <v>10090</v>
      </c>
      <c r="V25" s="204">
        <v>8940</v>
      </c>
      <c r="X25" s="84"/>
    </row>
    <row r="26" spans="1:24" ht="15" customHeight="1">
      <c r="A26" s="77"/>
      <c r="B26" s="21" t="s">
        <v>42</v>
      </c>
      <c r="C26" s="219">
        <v>14894</v>
      </c>
      <c r="D26" s="219">
        <v>14894</v>
      </c>
      <c r="E26" s="204">
        <v>15559</v>
      </c>
      <c r="F26" s="204">
        <v>17113</v>
      </c>
      <c r="G26" s="204">
        <v>19842</v>
      </c>
      <c r="H26" s="204">
        <v>21448</v>
      </c>
      <c r="I26" s="204">
        <v>21154</v>
      </c>
      <c r="J26" s="204">
        <v>22572</v>
      </c>
      <c r="K26" s="204">
        <v>16076</v>
      </c>
      <c r="L26" s="204">
        <v>15807</v>
      </c>
      <c r="M26" s="204">
        <v>17606</v>
      </c>
      <c r="N26" s="204">
        <v>18183</v>
      </c>
      <c r="O26" s="204">
        <v>17966</v>
      </c>
      <c r="P26" s="204">
        <v>18455</v>
      </c>
      <c r="Q26" s="204">
        <v>19710</v>
      </c>
      <c r="R26" s="204">
        <v>19393</v>
      </c>
      <c r="S26" s="204">
        <v>20127</v>
      </c>
      <c r="T26" s="204">
        <v>20037</v>
      </c>
      <c r="U26" s="204">
        <v>20280</v>
      </c>
      <c r="V26" s="204">
        <v>19736</v>
      </c>
      <c r="X26" s="84"/>
    </row>
    <row r="27" spans="1:24" ht="15" customHeight="1">
      <c r="A27" s="77"/>
      <c r="B27" s="21" t="s">
        <v>43</v>
      </c>
      <c r="C27" s="219">
        <v>38310</v>
      </c>
      <c r="D27" s="219">
        <v>39570</v>
      </c>
      <c r="E27" s="204">
        <v>40840</v>
      </c>
      <c r="F27" s="204">
        <v>41475</v>
      </c>
      <c r="G27" s="204">
        <v>42450</v>
      </c>
      <c r="H27" s="204">
        <v>42040</v>
      </c>
      <c r="I27" s="204">
        <v>43814</v>
      </c>
      <c r="J27" s="204">
        <v>43248</v>
      </c>
      <c r="K27" s="204">
        <v>43425</v>
      </c>
      <c r="L27" s="204">
        <v>43175</v>
      </c>
      <c r="M27" s="204">
        <v>36705</v>
      </c>
      <c r="N27" s="204">
        <v>39787</v>
      </c>
      <c r="O27" s="204">
        <v>40001</v>
      </c>
      <c r="P27" s="204">
        <v>39834</v>
      </c>
      <c r="Q27" s="204">
        <v>39927</v>
      </c>
      <c r="R27" s="204">
        <v>39884</v>
      </c>
      <c r="S27" s="204">
        <v>39745</v>
      </c>
      <c r="T27" s="204">
        <v>39465</v>
      </c>
      <c r="U27" s="204">
        <v>39945</v>
      </c>
      <c r="V27" s="204">
        <v>39555</v>
      </c>
      <c r="X27" s="84"/>
    </row>
    <row r="28" spans="1:24" ht="15" customHeight="1">
      <c r="A28" s="77"/>
      <c r="B28" s="76" t="s">
        <v>44</v>
      </c>
      <c r="C28" s="219">
        <v>0</v>
      </c>
      <c r="D28" s="219">
        <v>0</v>
      </c>
      <c r="E28" s="204" t="s">
        <v>212</v>
      </c>
      <c r="F28" s="204" t="s">
        <v>212</v>
      </c>
      <c r="G28" s="204" t="s">
        <v>212</v>
      </c>
      <c r="H28" s="204" t="s">
        <v>212</v>
      </c>
      <c r="I28" s="204" t="s">
        <v>212</v>
      </c>
      <c r="J28" s="204" t="s">
        <v>212</v>
      </c>
      <c r="K28" s="204" t="s">
        <v>212</v>
      </c>
      <c r="L28" s="204" t="s">
        <v>212</v>
      </c>
      <c r="M28" s="204" t="s">
        <v>212</v>
      </c>
      <c r="N28" s="204" t="s">
        <v>212</v>
      </c>
      <c r="O28" s="204" t="s">
        <v>212</v>
      </c>
      <c r="P28" s="204" t="s">
        <v>212</v>
      </c>
      <c r="Q28" s="204" t="s">
        <v>212</v>
      </c>
      <c r="R28" s="204" t="s">
        <v>212</v>
      </c>
      <c r="S28" s="204" t="s">
        <v>212</v>
      </c>
      <c r="T28" s="204" t="s">
        <v>212</v>
      </c>
      <c r="U28" s="204" t="s">
        <v>212</v>
      </c>
      <c r="V28" s="204" t="s">
        <v>212</v>
      </c>
      <c r="X28" s="84"/>
    </row>
    <row r="29" spans="1:24" ht="15" customHeight="1">
      <c r="A29" s="77"/>
      <c r="B29" s="21" t="s">
        <v>45</v>
      </c>
      <c r="C29" s="219">
        <v>0</v>
      </c>
      <c r="D29" s="219">
        <v>0</v>
      </c>
      <c r="E29" s="204" t="s">
        <v>212</v>
      </c>
      <c r="F29" s="204" t="s">
        <v>212</v>
      </c>
      <c r="G29" s="204" t="s">
        <v>212</v>
      </c>
      <c r="H29" s="204" t="s">
        <v>212</v>
      </c>
      <c r="I29" s="204" t="s">
        <v>212</v>
      </c>
      <c r="J29" s="204" t="s">
        <v>212</v>
      </c>
      <c r="K29" s="204" t="s">
        <v>212</v>
      </c>
      <c r="L29" s="204" t="s">
        <v>212</v>
      </c>
      <c r="M29" s="204" t="s">
        <v>212</v>
      </c>
      <c r="N29" s="204" t="s">
        <v>212</v>
      </c>
      <c r="O29" s="204" t="s">
        <v>212</v>
      </c>
      <c r="P29" s="204" t="s">
        <v>212</v>
      </c>
      <c r="Q29" s="204" t="s">
        <v>212</v>
      </c>
      <c r="R29" s="204" t="s">
        <v>212</v>
      </c>
      <c r="S29" s="204" t="s">
        <v>212</v>
      </c>
      <c r="T29" s="204" t="s">
        <v>212</v>
      </c>
      <c r="U29" s="204" t="s">
        <v>212</v>
      </c>
      <c r="V29" s="204" t="s">
        <v>212</v>
      </c>
      <c r="X29" s="84"/>
    </row>
    <row r="30" spans="1:24" ht="15" customHeight="1">
      <c r="A30" s="77"/>
      <c r="B30" s="21" t="s">
        <v>46</v>
      </c>
      <c r="C30" s="219">
        <v>0</v>
      </c>
      <c r="D30" s="219">
        <v>0</v>
      </c>
      <c r="E30" s="204" t="s">
        <v>212</v>
      </c>
      <c r="F30" s="204" t="s">
        <v>212</v>
      </c>
      <c r="G30" s="204" t="s">
        <v>212</v>
      </c>
      <c r="H30" s="204" t="s">
        <v>212</v>
      </c>
      <c r="I30" s="204" t="s">
        <v>212</v>
      </c>
      <c r="J30" s="204" t="s">
        <v>212</v>
      </c>
      <c r="K30" s="204" t="s">
        <v>212</v>
      </c>
      <c r="L30" s="204" t="s">
        <v>212</v>
      </c>
      <c r="M30" s="204" t="s">
        <v>212</v>
      </c>
      <c r="N30" s="204" t="s">
        <v>212</v>
      </c>
      <c r="O30" s="204" t="s">
        <v>212</v>
      </c>
      <c r="P30" s="204" t="s">
        <v>212</v>
      </c>
      <c r="Q30" s="204" t="s">
        <v>212</v>
      </c>
      <c r="R30" s="204" t="s">
        <v>212</v>
      </c>
      <c r="S30" s="204" t="s">
        <v>212</v>
      </c>
      <c r="T30" s="204" t="s">
        <v>212</v>
      </c>
      <c r="U30" s="204" t="s">
        <v>212</v>
      </c>
      <c r="V30" s="204" t="s">
        <v>212</v>
      </c>
      <c r="X30" s="84"/>
    </row>
    <row r="31" spans="1:24" ht="15" customHeight="1" thickBot="1">
      <c r="A31" s="82"/>
      <c r="B31" s="434" t="s">
        <v>47</v>
      </c>
      <c r="C31" s="437">
        <v>0</v>
      </c>
      <c r="D31" s="437">
        <v>0</v>
      </c>
      <c r="E31" s="439" t="s">
        <v>212</v>
      </c>
      <c r="F31" s="439" t="s">
        <v>212</v>
      </c>
      <c r="G31" s="439" t="s">
        <v>212</v>
      </c>
      <c r="H31" s="439" t="s">
        <v>212</v>
      </c>
      <c r="I31" s="439" t="s">
        <v>212</v>
      </c>
      <c r="J31" s="439" t="s">
        <v>212</v>
      </c>
      <c r="K31" s="439" t="s">
        <v>212</v>
      </c>
      <c r="L31" s="439" t="s">
        <v>212</v>
      </c>
      <c r="M31" s="439" t="s">
        <v>212</v>
      </c>
      <c r="N31" s="439" t="s">
        <v>212</v>
      </c>
      <c r="O31" s="439" t="s">
        <v>212</v>
      </c>
      <c r="P31" s="439" t="s">
        <v>212</v>
      </c>
      <c r="Q31" s="439" t="s">
        <v>212</v>
      </c>
      <c r="R31" s="439" t="s">
        <v>212</v>
      </c>
      <c r="S31" s="439" t="s">
        <v>212</v>
      </c>
      <c r="T31" s="439" t="s">
        <v>212</v>
      </c>
      <c r="U31" s="439" t="s">
        <v>212</v>
      </c>
      <c r="V31" s="439" t="s">
        <v>212</v>
      </c>
      <c r="X31" s="84"/>
    </row>
    <row r="32" spans="1:24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6"/>
      <c r="Q33" s="206"/>
      <c r="R33" s="206"/>
      <c r="S33" s="206"/>
      <c r="T33" s="206"/>
      <c r="U33" s="206"/>
      <c r="V33" s="206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46">
    <tabColor theme="9" tint="0.59999389629810485"/>
  </sheetPr>
  <dimension ref="A2:Y36"/>
  <sheetViews>
    <sheetView showGridLines="0" zoomScaleNormal="100" workbookViewId="0">
      <selection activeCell="V5" sqref="V5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59765625" style="76" customWidth="1"/>
    <col min="24" max="30" width="8.19921875" style="76" customWidth="1"/>
    <col min="31" max="16384" width="7" style="76"/>
  </cols>
  <sheetData>
    <row r="2" spans="1:25" ht="13.5" customHeight="1">
      <c r="A2" s="210" t="s">
        <v>512</v>
      </c>
      <c r="B2" s="211"/>
    </row>
    <row r="3" spans="1:25" ht="13.25" customHeight="1">
      <c r="A3" s="212" t="s">
        <v>210</v>
      </c>
      <c r="B3" s="212"/>
    </row>
    <row r="4" spans="1:25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5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5" ht="18" customHeight="1">
      <c r="A6" s="1020" t="s">
        <v>93</v>
      </c>
      <c r="B6" s="1020"/>
      <c r="C6" s="633">
        <f>(C8+C9+C10+C11+C12+C13+C14+C15+C16+C17+C18+C19+C20+C21+C22+C23+C24+C25+C26+C27+C28+C29+C30+C31)</f>
        <v>3862</v>
      </c>
      <c r="D6" s="633">
        <f>(D8+D9+D10+D11+D12+D13+D14+D15+D16+D17+D18+D19+D20+D21+D22+D23+D24+D25+D26+D27+D28+D29+D30+D31)</f>
        <v>3839</v>
      </c>
      <c r="E6" s="629">
        <v>4053</v>
      </c>
      <c r="F6" s="629">
        <v>3971</v>
      </c>
      <c r="G6" s="629">
        <v>4175</v>
      </c>
      <c r="H6" s="629">
        <v>4075</v>
      </c>
      <c r="I6" s="629">
        <v>4235</v>
      </c>
      <c r="J6" s="629">
        <v>4350</v>
      </c>
      <c r="K6" s="629">
        <v>4179</v>
      </c>
      <c r="L6" s="629">
        <v>4170</v>
      </c>
      <c r="M6" s="629">
        <v>3980</v>
      </c>
      <c r="N6" s="629">
        <v>3977</v>
      </c>
      <c r="O6" s="629">
        <v>4009</v>
      </c>
      <c r="P6" s="629">
        <v>4003</v>
      </c>
      <c r="Q6" s="629">
        <f t="shared" ref="Q6:V6" si="0">SUM(Q8:Q31)</f>
        <v>3849</v>
      </c>
      <c r="R6" s="629">
        <f t="shared" si="0"/>
        <v>3818.2999999999997</v>
      </c>
      <c r="S6" s="629">
        <f t="shared" si="0"/>
        <v>3940.2</v>
      </c>
      <c r="T6" s="629">
        <f t="shared" si="0"/>
        <v>3971.3</v>
      </c>
      <c r="U6" s="629">
        <f t="shared" si="0"/>
        <v>4021.2753660604249</v>
      </c>
      <c r="V6" s="629">
        <f t="shared" si="0"/>
        <v>3961.8268804917006</v>
      </c>
    </row>
    <row r="7" spans="1:25" ht="3" customHeight="1">
      <c r="A7" s="77"/>
      <c r="B7" s="78"/>
      <c r="C7" s="215"/>
      <c r="D7" s="215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</row>
    <row r="8" spans="1:25" ht="15" customHeight="1">
      <c r="A8" s="77"/>
      <c r="B8" s="21" t="s">
        <v>19</v>
      </c>
      <c r="C8" s="220">
        <v>0</v>
      </c>
      <c r="D8" s="220">
        <v>0</v>
      </c>
      <c r="E8" s="204" t="s">
        <v>213</v>
      </c>
      <c r="F8" s="204" t="s">
        <v>213</v>
      </c>
      <c r="G8" s="204" t="s">
        <v>213</v>
      </c>
      <c r="H8" s="204" t="s">
        <v>213</v>
      </c>
      <c r="I8" s="204" t="s">
        <v>213</v>
      </c>
      <c r="J8" s="204" t="s">
        <v>213</v>
      </c>
      <c r="K8" s="204" t="s">
        <v>213</v>
      </c>
      <c r="L8" s="204" t="s">
        <v>213</v>
      </c>
      <c r="M8" s="204" t="s">
        <v>213</v>
      </c>
      <c r="N8" s="204" t="s">
        <v>213</v>
      </c>
      <c r="O8" s="204" t="s">
        <v>213</v>
      </c>
      <c r="P8" s="204" t="s">
        <v>213</v>
      </c>
      <c r="Q8" s="204" t="s">
        <v>213</v>
      </c>
      <c r="R8" s="204" t="s">
        <v>213</v>
      </c>
      <c r="S8" s="204" t="s">
        <v>213</v>
      </c>
      <c r="T8" s="204" t="s">
        <v>213</v>
      </c>
      <c r="U8" s="204" t="s">
        <v>213</v>
      </c>
      <c r="V8" s="204" t="s">
        <v>213</v>
      </c>
    </row>
    <row r="9" spans="1:25" ht="15" customHeight="1">
      <c r="A9" s="77"/>
      <c r="B9" s="21" t="s">
        <v>20</v>
      </c>
      <c r="C9" s="220">
        <v>0</v>
      </c>
      <c r="D9" s="220">
        <v>0</v>
      </c>
      <c r="E9" s="204" t="s">
        <v>213</v>
      </c>
      <c r="F9" s="204" t="s">
        <v>213</v>
      </c>
      <c r="G9" s="204" t="s">
        <v>213</v>
      </c>
      <c r="H9" s="204" t="s">
        <v>213</v>
      </c>
      <c r="I9" s="204" t="s">
        <v>213</v>
      </c>
      <c r="J9" s="204" t="s">
        <v>213</v>
      </c>
      <c r="K9" s="204" t="s">
        <v>213</v>
      </c>
      <c r="L9" s="204" t="s">
        <v>213</v>
      </c>
      <c r="M9" s="204" t="s">
        <v>213</v>
      </c>
      <c r="N9" s="204" t="s">
        <v>213</v>
      </c>
      <c r="O9" s="204" t="s">
        <v>213</v>
      </c>
      <c r="P9" s="204" t="s">
        <v>213</v>
      </c>
      <c r="Q9" s="204" t="s">
        <v>213</v>
      </c>
      <c r="R9" s="204" t="s">
        <v>213</v>
      </c>
      <c r="S9" s="204" t="s">
        <v>213</v>
      </c>
      <c r="T9" s="204" t="s">
        <v>213</v>
      </c>
      <c r="U9" s="204" t="s">
        <v>213</v>
      </c>
      <c r="V9" s="204" t="s">
        <v>213</v>
      </c>
      <c r="X9" s="84"/>
    </row>
    <row r="10" spans="1:25" ht="15" customHeight="1">
      <c r="A10" s="77"/>
      <c r="B10" s="21" t="s">
        <v>21</v>
      </c>
      <c r="C10" s="220">
        <v>0</v>
      </c>
      <c r="D10" s="220">
        <v>0</v>
      </c>
      <c r="E10" s="204" t="s">
        <v>213</v>
      </c>
      <c r="F10" s="204" t="s">
        <v>213</v>
      </c>
      <c r="G10" s="204" t="s">
        <v>213</v>
      </c>
      <c r="H10" s="204" t="s">
        <v>213</v>
      </c>
      <c r="I10" s="204" t="s">
        <v>213</v>
      </c>
      <c r="J10" s="204" t="s">
        <v>213</v>
      </c>
      <c r="K10" s="204" t="s">
        <v>213</v>
      </c>
      <c r="L10" s="204" t="s">
        <v>213</v>
      </c>
      <c r="M10" s="204" t="s">
        <v>213</v>
      </c>
      <c r="N10" s="204" t="s">
        <v>213</v>
      </c>
      <c r="O10" s="204" t="s">
        <v>213</v>
      </c>
      <c r="P10" s="204" t="s">
        <v>213</v>
      </c>
      <c r="Q10" s="204" t="s">
        <v>213</v>
      </c>
      <c r="R10" s="204" t="s">
        <v>213</v>
      </c>
      <c r="S10" s="204" t="s">
        <v>213</v>
      </c>
      <c r="T10" s="204" t="s">
        <v>213</v>
      </c>
      <c r="U10" s="204" t="s">
        <v>213</v>
      </c>
      <c r="V10" s="204" t="s">
        <v>213</v>
      </c>
      <c r="X10" s="84"/>
    </row>
    <row r="11" spans="1:25" ht="15" customHeight="1">
      <c r="A11" s="77"/>
      <c r="B11" s="21" t="s">
        <v>22</v>
      </c>
      <c r="C11" s="220">
        <v>0</v>
      </c>
      <c r="D11" s="220">
        <v>0</v>
      </c>
      <c r="E11" s="204" t="s">
        <v>213</v>
      </c>
      <c r="F11" s="204" t="s">
        <v>213</v>
      </c>
      <c r="G11" s="204" t="s">
        <v>213</v>
      </c>
      <c r="H11" s="204" t="s">
        <v>213</v>
      </c>
      <c r="I11" s="204" t="s">
        <v>213</v>
      </c>
      <c r="J11" s="204" t="s">
        <v>213</v>
      </c>
      <c r="K11" s="204" t="s">
        <v>213</v>
      </c>
      <c r="L11" s="204" t="s">
        <v>213</v>
      </c>
      <c r="M11" s="204" t="s">
        <v>213</v>
      </c>
      <c r="N11" s="204" t="s">
        <v>213</v>
      </c>
      <c r="O11" s="204" t="s">
        <v>213</v>
      </c>
      <c r="P11" s="204" t="s">
        <v>213</v>
      </c>
      <c r="Q11" s="204" t="s">
        <v>213</v>
      </c>
      <c r="R11" s="204" t="s">
        <v>213</v>
      </c>
      <c r="S11" s="204" t="s">
        <v>213</v>
      </c>
      <c r="T11" s="204" t="s">
        <v>213</v>
      </c>
      <c r="U11" s="204" t="s">
        <v>213</v>
      </c>
      <c r="V11" s="204" t="s">
        <v>213</v>
      </c>
      <c r="X11" s="84"/>
    </row>
    <row r="12" spans="1:25" ht="15" customHeight="1">
      <c r="A12" s="77"/>
      <c r="B12" s="21" t="s">
        <v>23</v>
      </c>
      <c r="C12" s="220">
        <v>0</v>
      </c>
      <c r="D12" s="220">
        <v>0</v>
      </c>
      <c r="E12" s="204" t="s">
        <v>213</v>
      </c>
      <c r="F12" s="204" t="s">
        <v>213</v>
      </c>
      <c r="G12" s="204" t="s">
        <v>213</v>
      </c>
      <c r="H12" s="204" t="s">
        <v>213</v>
      </c>
      <c r="I12" s="204" t="s">
        <v>213</v>
      </c>
      <c r="J12" s="204" t="s">
        <v>213</v>
      </c>
      <c r="K12" s="204" t="s">
        <v>213</v>
      </c>
      <c r="L12" s="204" t="s">
        <v>213</v>
      </c>
      <c r="M12" s="204" t="s">
        <v>213</v>
      </c>
      <c r="N12" s="204" t="s">
        <v>213</v>
      </c>
      <c r="O12" s="204" t="s">
        <v>213</v>
      </c>
      <c r="P12" s="204" t="s">
        <v>213</v>
      </c>
      <c r="Q12" s="204" t="s">
        <v>213</v>
      </c>
      <c r="R12" s="204" t="s">
        <v>213</v>
      </c>
      <c r="S12" s="204" t="s">
        <v>213</v>
      </c>
      <c r="T12" s="204" t="s">
        <v>213</v>
      </c>
      <c r="U12" s="204" t="s">
        <v>213</v>
      </c>
      <c r="V12" s="204" t="s">
        <v>213</v>
      </c>
      <c r="X12" s="84"/>
    </row>
    <row r="13" spans="1:25" ht="15" customHeight="1">
      <c r="A13" s="77"/>
      <c r="B13" s="21" t="s">
        <v>27</v>
      </c>
      <c r="C13" s="220">
        <v>0</v>
      </c>
      <c r="D13" s="220">
        <v>0</v>
      </c>
      <c r="E13" s="204" t="s">
        <v>213</v>
      </c>
      <c r="F13" s="204" t="s">
        <v>213</v>
      </c>
      <c r="G13" s="204" t="s">
        <v>213</v>
      </c>
      <c r="H13" s="204" t="s">
        <v>213</v>
      </c>
      <c r="I13" s="204" t="s">
        <v>213</v>
      </c>
      <c r="J13" s="204" t="s">
        <v>213</v>
      </c>
      <c r="K13" s="204" t="s">
        <v>213</v>
      </c>
      <c r="L13" s="204" t="s">
        <v>213</v>
      </c>
      <c r="M13" s="204" t="s">
        <v>213</v>
      </c>
      <c r="N13" s="204" t="s">
        <v>213</v>
      </c>
      <c r="O13" s="204" t="s">
        <v>213</v>
      </c>
      <c r="P13" s="204" t="s">
        <v>213</v>
      </c>
      <c r="Q13" s="204" t="s">
        <v>213</v>
      </c>
      <c r="R13" s="204" t="s">
        <v>213</v>
      </c>
      <c r="S13" s="204" t="s">
        <v>213</v>
      </c>
      <c r="T13" s="204" t="s">
        <v>213</v>
      </c>
      <c r="U13" s="204" t="s">
        <v>213</v>
      </c>
      <c r="V13" s="204" t="s">
        <v>213</v>
      </c>
      <c r="X13" s="84"/>
    </row>
    <row r="14" spans="1:25" ht="15" customHeight="1">
      <c r="A14" s="77"/>
      <c r="B14" s="21" t="s">
        <v>28</v>
      </c>
      <c r="C14" s="220">
        <v>0</v>
      </c>
      <c r="D14" s="220">
        <v>0</v>
      </c>
      <c r="E14" s="204" t="s">
        <v>213</v>
      </c>
      <c r="F14" s="204" t="s">
        <v>213</v>
      </c>
      <c r="G14" s="204" t="s">
        <v>213</v>
      </c>
      <c r="H14" s="204" t="s">
        <v>213</v>
      </c>
      <c r="I14" s="204" t="s">
        <v>213</v>
      </c>
      <c r="J14" s="204" t="s">
        <v>213</v>
      </c>
      <c r="K14" s="204" t="s">
        <v>213</v>
      </c>
      <c r="L14" s="204" t="s">
        <v>213</v>
      </c>
      <c r="M14" s="204" t="s">
        <v>213</v>
      </c>
      <c r="N14" s="204" t="s">
        <v>213</v>
      </c>
      <c r="O14" s="204" t="s">
        <v>213</v>
      </c>
      <c r="P14" s="204" t="s">
        <v>213</v>
      </c>
      <c r="Q14" s="204" t="s">
        <v>213</v>
      </c>
      <c r="R14" s="204" t="s">
        <v>213</v>
      </c>
      <c r="S14" s="204" t="s">
        <v>213</v>
      </c>
      <c r="T14" s="204" t="s">
        <v>213</v>
      </c>
      <c r="U14" s="204"/>
      <c r="V14" s="204"/>
      <c r="X14" s="84"/>
    </row>
    <row r="15" spans="1:25" ht="15" customHeight="1">
      <c r="A15" s="77"/>
      <c r="B15" s="21" t="s">
        <v>29</v>
      </c>
      <c r="C15" s="220">
        <v>107</v>
      </c>
      <c r="D15" s="220">
        <v>109</v>
      </c>
      <c r="E15" s="204">
        <v>110</v>
      </c>
      <c r="F15" s="204">
        <v>96</v>
      </c>
      <c r="G15" s="204">
        <v>106</v>
      </c>
      <c r="H15" s="204">
        <v>88</v>
      </c>
      <c r="I15" s="204">
        <v>70</v>
      </c>
      <c r="J15" s="204">
        <v>72</v>
      </c>
      <c r="K15" s="204">
        <v>56</v>
      </c>
      <c r="L15" s="204">
        <v>57</v>
      </c>
      <c r="M15" s="204">
        <v>53</v>
      </c>
      <c r="N15" s="204">
        <v>55</v>
      </c>
      <c r="O15" s="204">
        <v>50</v>
      </c>
      <c r="P15" s="204">
        <v>75</v>
      </c>
      <c r="Q15" s="204">
        <v>63</v>
      </c>
      <c r="R15" s="204">
        <v>68.8</v>
      </c>
      <c r="S15" s="204">
        <v>63.4</v>
      </c>
      <c r="T15" s="204">
        <v>59.7</v>
      </c>
      <c r="U15" s="204">
        <v>68.453325000000007</v>
      </c>
      <c r="V15" s="204">
        <v>70.63409</v>
      </c>
      <c r="W15" s="216"/>
      <c r="X15" s="564"/>
      <c r="Y15" s="564"/>
    </row>
    <row r="16" spans="1:25" ht="15" customHeight="1">
      <c r="A16" s="77"/>
      <c r="B16" s="21" t="s">
        <v>30</v>
      </c>
      <c r="C16" s="220">
        <v>0</v>
      </c>
      <c r="D16" s="220">
        <v>0</v>
      </c>
      <c r="E16" s="204" t="s">
        <v>213</v>
      </c>
      <c r="F16" s="204" t="s">
        <v>213</v>
      </c>
      <c r="G16" s="204" t="s">
        <v>213</v>
      </c>
      <c r="H16" s="204" t="s">
        <v>213</v>
      </c>
      <c r="I16" s="204" t="s">
        <v>213</v>
      </c>
      <c r="J16" s="204" t="s">
        <v>213</v>
      </c>
      <c r="K16" s="204" t="s">
        <v>213</v>
      </c>
      <c r="L16" s="204" t="s">
        <v>213</v>
      </c>
      <c r="M16" s="204" t="s">
        <v>213</v>
      </c>
      <c r="N16" s="204" t="s">
        <v>213</v>
      </c>
      <c r="O16" s="204" t="s">
        <v>213</v>
      </c>
      <c r="P16" s="204" t="s">
        <v>213</v>
      </c>
      <c r="Q16" s="204" t="s">
        <v>213</v>
      </c>
      <c r="R16" s="204" t="s">
        <v>213</v>
      </c>
      <c r="S16" s="204" t="s">
        <v>213</v>
      </c>
      <c r="T16" s="204" t="s">
        <v>213</v>
      </c>
      <c r="U16" s="204" t="s">
        <v>213</v>
      </c>
      <c r="V16" s="204" t="s">
        <v>213</v>
      </c>
      <c r="X16" s="84"/>
    </row>
    <row r="17" spans="1:25" ht="15" customHeight="1">
      <c r="A17" s="77"/>
      <c r="B17" s="21" t="s">
        <v>31</v>
      </c>
      <c r="C17" s="220">
        <v>0</v>
      </c>
      <c r="D17" s="220">
        <v>0</v>
      </c>
      <c r="E17" s="204" t="s">
        <v>213</v>
      </c>
      <c r="F17" s="204" t="s">
        <v>213</v>
      </c>
      <c r="G17" s="204" t="s">
        <v>213</v>
      </c>
      <c r="H17" s="204" t="s">
        <v>213</v>
      </c>
      <c r="I17" s="204" t="s">
        <v>213</v>
      </c>
      <c r="J17" s="204" t="s">
        <v>213</v>
      </c>
      <c r="K17" s="204">
        <v>11</v>
      </c>
      <c r="L17" s="204">
        <v>10</v>
      </c>
      <c r="M17" s="204">
        <v>4</v>
      </c>
      <c r="N17" s="204">
        <v>1</v>
      </c>
      <c r="O17" s="204">
        <v>1</v>
      </c>
      <c r="P17" s="204" t="s">
        <v>213</v>
      </c>
      <c r="Q17" s="204" t="s">
        <v>213</v>
      </c>
      <c r="R17" s="204" t="s">
        <v>213</v>
      </c>
      <c r="S17" s="204" t="s">
        <v>213</v>
      </c>
      <c r="T17" s="204" t="s">
        <v>213</v>
      </c>
      <c r="U17" s="204" t="s">
        <v>213</v>
      </c>
      <c r="V17" s="204" t="s">
        <v>213</v>
      </c>
      <c r="X17" s="84"/>
    </row>
    <row r="18" spans="1:25" ht="15" customHeight="1">
      <c r="A18" s="77"/>
      <c r="B18" s="21" t="s">
        <v>32</v>
      </c>
      <c r="C18" s="220">
        <v>64</v>
      </c>
      <c r="D18" s="220">
        <v>100</v>
      </c>
      <c r="E18" s="204">
        <v>109</v>
      </c>
      <c r="F18" s="204">
        <v>90</v>
      </c>
      <c r="G18" s="204">
        <v>90</v>
      </c>
      <c r="H18" s="204">
        <v>89</v>
      </c>
      <c r="I18" s="204">
        <v>94</v>
      </c>
      <c r="J18" s="204">
        <v>106</v>
      </c>
      <c r="K18" s="204">
        <v>106</v>
      </c>
      <c r="L18" s="204">
        <v>98</v>
      </c>
      <c r="M18" s="204">
        <v>106</v>
      </c>
      <c r="N18" s="204">
        <v>107</v>
      </c>
      <c r="O18" s="204">
        <v>115</v>
      </c>
      <c r="P18" s="204">
        <v>119</v>
      </c>
      <c r="Q18" s="204">
        <v>111</v>
      </c>
      <c r="R18" s="204">
        <v>107.9</v>
      </c>
      <c r="S18" s="204">
        <v>119.1</v>
      </c>
      <c r="T18" s="204">
        <v>122</v>
      </c>
      <c r="U18" s="204">
        <v>129.9974803682673</v>
      </c>
      <c r="V18" s="204">
        <v>129.74100584628502</v>
      </c>
      <c r="W18" s="564"/>
      <c r="X18" s="564"/>
      <c r="Y18" s="564"/>
    </row>
    <row r="19" spans="1:25" ht="15" customHeight="1">
      <c r="A19" s="77"/>
      <c r="B19" s="21" t="s">
        <v>33</v>
      </c>
      <c r="C19" s="220">
        <v>97</v>
      </c>
      <c r="D19" s="220">
        <v>98</v>
      </c>
      <c r="E19" s="204">
        <v>105</v>
      </c>
      <c r="F19" s="204">
        <v>95</v>
      </c>
      <c r="G19" s="204">
        <v>104</v>
      </c>
      <c r="H19" s="204">
        <v>109</v>
      </c>
      <c r="I19" s="204">
        <v>157</v>
      </c>
      <c r="J19" s="204">
        <v>176</v>
      </c>
      <c r="K19" s="204">
        <v>182</v>
      </c>
      <c r="L19" s="204">
        <v>194</v>
      </c>
      <c r="M19" s="204">
        <v>202</v>
      </c>
      <c r="N19" s="204">
        <v>233</v>
      </c>
      <c r="O19" s="204">
        <v>273</v>
      </c>
      <c r="P19" s="204">
        <v>324</v>
      </c>
      <c r="Q19" s="204">
        <v>240</v>
      </c>
      <c r="R19" s="204">
        <v>199.7</v>
      </c>
      <c r="S19" s="204">
        <v>231.7</v>
      </c>
      <c r="T19" s="204">
        <v>248.5</v>
      </c>
      <c r="U19" s="204">
        <v>256.83930000000004</v>
      </c>
      <c r="V19" s="204">
        <v>245.59514999999999</v>
      </c>
      <c r="W19" s="564"/>
      <c r="X19" s="564"/>
      <c r="Y19" s="564"/>
    </row>
    <row r="20" spans="1:25" ht="15" customHeight="1">
      <c r="A20" s="77"/>
      <c r="B20" s="21" t="s">
        <v>34</v>
      </c>
      <c r="C20" s="220">
        <v>384</v>
      </c>
      <c r="D20" s="220">
        <v>370</v>
      </c>
      <c r="E20" s="204">
        <v>356</v>
      </c>
      <c r="F20" s="204">
        <v>354</v>
      </c>
      <c r="G20" s="204">
        <v>359</v>
      </c>
      <c r="H20" s="204">
        <v>343</v>
      </c>
      <c r="I20" s="204">
        <v>387</v>
      </c>
      <c r="J20" s="204">
        <v>445</v>
      </c>
      <c r="K20" s="204">
        <v>406</v>
      </c>
      <c r="L20" s="204">
        <v>426</v>
      </c>
      <c r="M20" s="204">
        <v>432</v>
      </c>
      <c r="N20" s="204">
        <v>356</v>
      </c>
      <c r="O20" s="204">
        <v>376</v>
      </c>
      <c r="P20" s="204">
        <v>339</v>
      </c>
      <c r="Q20" s="204">
        <v>269</v>
      </c>
      <c r="R20" s="204">
        <v>258.7</v>
      </c>
      <c r="S20" s="204">
        <v>257.60000000000002</v>
      </c>
      <c r="T20" s="204">
        <v>252.7</v>
      </c>
      <c r="U20" s="204">
        <v>248.480073</v>
      </c>
      <c r="V20" s="204">
        <v>246.20049999999998</v>
      </c>
      <c r="W20" s="564"/>
      <c r="X20" s="564"/>
      <c r="Y20" s="564"/>
    </row>
    <row r="21" spans="1:25" ht="15" customHeight="1">
      <c r="A21" s="77"/>
      <c r="B21" s="21" t="s">
        <v>35</v>
      </c>
      <c r="C21" s="220">
        <v>523</v>
      </c>
      <c r="D21" s="220">
        <v>497</v>
      </c>
      <c r="E21" s="204">
        <v>511</v>
      </c>
      <c r="F21" s="204">
        <v>506</v>
      </c>
      <c r="G21" s="204">
        <v>513</v>
      </c>
      <c r="H21" s="204">
        <v>334</v>
      </c>
      <c r="I21" s="204">
        <v>331</v>
      </c>
      <c r="J21" s="204">
        <v>365</v>
      </c>
      <c r="K21" s="204">
        <v>415</v>
      </c>
      <c r="L21" s="204">
        <v>526</v>
      </c>
      <c r="M21" s="204">
        <v>479</v>
      </c>
      <c r="N21" s="204">
        <v>358</v>
      </c>
      <c r="O21" s="204">
        <v>380</v>
      </c>
      <c r="P21" s="204">
        <v>354</v>
      </c>
      <c r="Q21" s="204">
        <v>324</v>
      </c>
      <c r="R21" s="204">
        <v>380.5</v>
      </c>
      <c r="S21" s="204">
        <v>435.2</v>
      </c>
      <c r="T21" s="204">
        <v>443.4</v>
      </c>
      <c r="U21" s="204">
        <v>461.2183</v>
      </c>
      <c r="V21" s="204">
        <v>373.40910000000002</v>
      </c>
      <c r="W21" s="564"/>
      <c r="X21" s="564"/>
      <c r="Y21" s="564"/>
    </row>
    <row r="22" spans="1:25" ht="15" customHeight="1">
      <c r="A22" s="77"/>
      <c r="B22" s="21" t="s">
        <v>36</v>
      </c>
      <c r="C22" s="220">
        <v>89</v>
      </c>
      <c r="D22" s="220">
        <v>89</v>
      </c>
      <c r="E22" s="204">
        <v>91</v>
      </c>
      <c r="F22" s="204">
        <v>77</v>
      </c>
      <c r="G22" s="204">
        <v>93</v>
      </c>
      <c r="H22" s="204">
        <v>112</v>
      </c>
      <c r="I22" s="204">
        <v>117</v>
      </c>
      <c r="J22" s="204">
        <v>110</v>
      </c>
      <c r="K22" s="204">
        <v>123</v>
      </c>
      <c r="L22" s="204">
        <v>101</v>
      </c>
      <c r="M22" s="204">
        <v>98</v>
      </c>
      <c r="N22" s="204">
        <v>101</v>
      </c>
      <c r="O22" s="204">
        <v>77</v>
      </c>
      <c r="P22" s="204">
        <v>62</v>
      </c>
      <c r="Q22" s="204">
        <v>59</v>
      </c>
      <c r="R22" s="204">
        <v>55.8</v>
      </c>
      <c r="S22" s="204">
        <v>60.4</v>
      </c>
      <c r="T22" s="204">
        <v>61.3</v>
      </c>
      <c r="U22" s="204">
        <v>63.381679924000004</v>
      </c>
      <c r="V22" s="204">
        <v>66.181644645415545</v>
      </c>
      <c r="W22" s="564"/>
      <c r="X22" s="564"/>
      <c r="Y22" s="564"/>
    </row>
    <row r="23" spans="1:25" ht="15" customHeight="1">
      <c r="A23" s="77"/>
      <c r="B23" s="21" t="s">
        <v>37</v>
      </c>
      <c r="C23" s="220">
        <v>135</v>
      </c>
      <c r="D23" s="220">
        <v>134</v>
      </c>
      <c r="E23" s="204">
        <v>119</v>
      </c>
      <c r="F23" s="204">
        <v>116</v>
      </c>
      <c r="G23" s="204">
        <v>101</v>
      </c>
      <c r="H23" s="204">
        <v>106</v>
      </c>
      <c r="I23" s="204">
        <v>109</v>
      </c>
      <c r="J23" s="204">
        <v>113</v>
      </c>
      <c r="K23" s="204">
        <v>123</v>
      </c>
      <c r="L23" s="204">
        <v>135</v>
      </c>
      <c r="M23" s="204">
        <v>125</v>
      </c>
      <c r="N23" s="204">
        <v>128</v>
      </c>
      <c r="O23" s="204">
        <v>129</v>
      </c>
      <c r="P23" s="204">
        <v>131</v>
      </c>
      <c r="Q23" s="204">
        <v>137</v>
      </c>
      <c r="R23" s="204">
        <v>137.1</v>
      </c>
      <c r="S23" s="204">
        <v>144.80000000000001</v>
      </c>
      <c r="T23" s="204">
        <v>149.19999999999999</v>
      </c>
      <c r="U23" s="204">
        <v>153.44805076815709</v>
      </c>
      <c r="V23" s="204">
        <v>161.42228999999998</v>
      </c>
      <c r="W23" s="564"/>
      <c r="X23" s="564"/>
      <c r="Y23" s="564"/>
    </row>
    <row r="24" spans="1:25" ht="15" customHeight="1">
      <c r="A24" s="77"/>
      <c r="B24" s="21" t="s">
        <v>38</v>
      </c>
      <c r="C24" s="220">
        <v>404</v>
      </c>
      <c r="D24" s="220">
        <v>377</v>
      </c>
      <c r="E24" s="204">
        <v>447</v>
      </c>
      <c r="F24" s="204">
        <v>389</v>
      </c>
      <c r="G24" s="204">
        <v>435</v>
      </c>
      <c r="H24" s="204">
        <v>421</v>
      </c>
      <c r="I24" s="204">
        <v>463</v>
      </c>
      <c r="J24" s="204">
        <v>403</v>
      </c>
      <c r="K24" s="204">
        <v>396</v>
      </c>
      <c r="L24" s="204">
        <v>262</v>
      </c>
      <c r="M24" s="204">
        <v>288</v>
      </c>
      <c r="N24" s="204">
        <v>296</v>
      </c>
      <c r="O24" s="204">
        <v>260</v>
      </c>
      <c r="P24" s="204">
        <v>244</v>
      </c>
      <c r="Q24" s="204">
        <v>252</v>
      </c>
      <c r="R24" s="204">
        <v>206.3</v>
      </c>
      <c r="S24" s="204">
        <v>169.3</v>
      </c>
      <c r="T24" s="204">
        <v>167.7</v>
      </c>
      <c r="U24" s="204">
        <v>158.01255</v>
      </c>
      <c r="V24" s="204">
        <v>158.53879999999998</v>
      </c>
      <c r="W24" s="564"/>
      <c r="X24" s="564"/>
      <c r="Y24" s="564"/>
    </row>
    <row r="25" spans="1:25" ht="15" customHeight="1">
      <c r="A25" s="77"/>
      <c r="B25" s="21" t="s">
        <v>39</v>
      </c>
      <c r="C25" s="220">
        <v>190</v>
      </c>
      <c r="D25" s="220">
        <v>204</v>
      </c>
      <c r="E25" s="204">
        <v>255</v>
      </c>
      <c r="F25" s="204">
        <v>244</v>
      </c>
      <c r="G25" s="204">
        <v>269</v>
      </c>
      <c r="H25" s="204">
        <v>275</v>
      </c>
      <c r="I25" s="204">
        <v>290</v>
      </c>
      <c r="J25" s="204">
        <v>299</v>
      </c>
      <c r="K25" s="204">
        <v>292</v>
      </c>
      <c r="L25" s="204">
        <v>289</v>
      </c>
      <c r="M25" s="204">
        <v>288</v>
      </c>
      <c r="N25" s="204">
        <v>291</v>
      </c>
      <c r="O25" s="204">
        <v>291</v>
      </c>
      <c r="P25" s="204">
        <v>286</v>
      </c>
      <c r="Q25" s="204">
        <v>284</v>
      </c>
      <c r="R25" s="204">
        <v>283.60000000000002</v>
      </c>
      <c r="S25" s="204">
        <v>285.39999999999998</v>
      </c>
      <c r="T25" s="204">
        <v>284.3</v>
      </c>
      <c r="U25" s="204">
        <v>278.84900699999997</v>
      </c>
      <c r="V25" s="204">
        <v>275.10039999999998</v>
      </c>
      <c r="W25" s="564"/>
      <c r="X25" s="564"/>
      <c r="Y25" s="564"/>
    </row>
    <row r="26" spans="1:25" ht="15" customHeight="1">
      <c r="A26" s="77"/>
      <c r="B26" s="21" t="s">
        <v>42</v>
      </c>
      <c r="C26" s="220">
        <v>484</v>
      </c>
      <c r="D26" s="220">
        <v>458</v>
      </c>
      <c r="E26" s="204">
        <v>500</v>
      </c>
      <c r="F26" s="204">
        <v>507</v>
      </c>
      <c r="G26" s="204">
        <v>582</v>
      </c>
      <c r="H26" s="204">
        <v>628</v>
      </c>
      <c r="I26" s="204">
        <v>614</v>
      </c>
      <c r="J26" s="204">
        <v>642</v>
      </c>
      <c r="K26" s="204">
        <v>437</v>
      </c>
      <c r="L26" s="204">
        <v>435</v>
      </c>
      <c r="M26" s="204">
        <v>515</v>
      </c>
      <c r="N26" s="204">
        <v>532</v>
      </c>
      <c r="O26" s="204">
        <v>526</v>
      </c>
      <c r="P26" s="204">
        <v>539</v>
      </c>
      <c r="Q26" s="204">
        <v>573</v>
      </c>
      <c r="R26" s="204">
        <v>574.9</v>
      </c>
      <c r="S26" s="204">
        <v>615</v>
      </c>
      <c r="T26" s="204">
        <v>614.6</v>
      </c>
      <c r="U26" s="204">
        <v>619.43309999999985</v>
      </c>
      <c r="V26" s="204">
        <v>626.24889999999994</v>
      </c>
      <c r="W26" s="564"/>
      <c r="X26" s="564"/>
      <c r="Y26" s="564"/>
    </row>
    <row r="27" spans="1:25" ht="15" customHeight="1">
      <c r="A27" s="77"/>
      <c r="B27" s="21" t="s">
        <v>43</v>
      </c>
      <c r="C27" s="220">
        <v>1385</v>
      </c>
      <c r="D27" s="220">
        <v>1403</v>
      </c>
      <c r="E27" s="204">
        <v>1451</v>
      </c>
      <c r="F27" s="204">
        <v>1498</v>
      </c>
      <c r="G27" s="204">
        <v>1524</v>
      </c>
      <c r="H27" s="204">
        <v>1569</v>
      </c>
      <c r="I27" s="204">
        <v>1604</v>
      </c>
      <c r="J27" s="204">
        <v>1619</v>
      </c>
      <c r="K27" s="204">
        <v>1632</v>
      </c>
      <c r="L27" s="204">
        <v>1637</v>
      </c>
      <c r="M27" s="204">
        <v>1390</v>
      </c>
      <c r="N27" s="204">
        <v>1520</v>
      </c>
      <c r="O27" s="204">
        <v>1529</v>
      </c>
      <c r="P27" s="204">
        <v>1528</v>
      </c>
      <c r="Q27" s="204">
        <v>1537</v>
      </c>
      <c r="R27" s="204">
        <v>1545</v>
      </c>
      <c r="S27" s="204">
        <v>1558.3</v>
      </c>
      <c r="T27" s="204">
        <v>1567.9</v>
      </c>
      <c r="U27" s="204">
        <v>1583.1625000000001</v>
      </c>
      <c r="V27" s="204">
        <v>1608.7550000000001</v>
      </c>
      <c r="W27" s="564"/>
      <c r="X27" s="564"/>
      <c r="Y27" s="564"/>
    </row>
    <row r="28" spans="1:25" ht="15" customHeight="1">
      <c r="A28" s="77"/>
      <c r="B28" s="76" t="s">
        <v>44</v>
      </c>
      <c r="C28" s="220">
        <v>0</v>
      </c>
      <c r="D28" s="220">
        <v>0</v>
      </c>
      <c r="E28" s="204" t="s">
        <v>213</v>
      </c>
      <c r="F28" s="204" t="s">
        <v>213</v>
      </c>
      <c r="G28" s="204" t="s">
        <v>213</v>
      </c>
      <c r="H28" s="204" t="s">
        <v>213</v>
      </c>
      <c r="I28" s="204" t="s">
        <v>213</v>
      </c>
      <c r="J28" s="204" t="s">
        <v>213</v>
      </c>
      <c r="K28" s="204" t="s">
        <v>213</v>
      </c>
      <c r="L28" s="204" t="s">
        <v>213</v>
      </c>
      <c r="M28" s="204" t="s">
        <v>213</v>
      </c>
      <c r="N28" s="204" t="s">
        <v>213</v>
      </c>
      <c r="O28" s="204" t="s">
        <v>213</v>
      </c>
      <c r="P28" s="204" t="s">
        <v>213</v>
      </c>
      <c r="Q28" s="204" t="s">
        <v>213</v>
      </c>
      <c r="R28" s="204" t="s">
        <v>213</v>
      </c>
      <c r="S28" s="204" t="s">
        <v>213</v>
      </c>
      <c r="T28" s="204" t="s">
        <v>213</v>
      </c>
      <c r="U28" s="204" t="s">
        <v>213</v>
      </c>
      <c r="V28" s="204" t="s">
        <v>213</v>
      </c>
      <c r="X28" s="84"/>
    </row>
    <row r="29" spans="1:25" ht="15" customHeight="1">
      <c r="A29" s="77"/>
      <c r="B29" s="21" t="s">
        <v>45</v>
      </c>
      <c r="C29" s="220">
        <v>0</v>
      </c>
      <c r="D29" s="220">
        <v>0</v>
      </c>
      <c r="E29" s="204" t="s">
        <v>213</v>
      </c>
      <c r="F29" s="204" t="s">
        <v>213</v>
      </c>
      <c r="G29" s="204" t="s">
        <v>213</v>
      </c>
      <c r="H29" s="204" t="s">
        <v>213</v>
      </c>
      <c r="I29" s="204" t="s">
        <v>213</v>
      </c>
      <c r="J29" s="204" t="s">
        <v>213</v>
      </c>
      <c r="K29" s="204" t="s">
        <v>213</v>
      </c>
      <c r="L29" s="204" t="s">
        <v>213</v>
      </c>
      <c r="M29" s="204" t="s">
        <v>213</v>
      </c>
      <c r="N29" s="204" t="s">
        <v>213</v>
      </c>
      <c r="O29" s="204" t="s">
        <v>213</v>
      </c>
      <c r="P29" s="204" t="s">
        <v>213</v>
      </c>
      <c r="Q29" s="204" t="s">
        <v>213</v>
      </c>
      <c r="R29" s="204" t="s">
        <v>213</v>
      </c>
      <c r="S29" s="204" t="s">
        <v>213</v>
      </c>
      <c r="T29" s="204" t="s">
        <v>213</v>
      </c>
      <c r="U29" s="204" t="s">
        <v>213</v>
      </c>
      <c r="V29" s="204" t="s">
        <v>213</v>
      </c>
      <c r="X29" s="84"/>
    </row>
    <row r="30" spans="1:25" ht="15" customHeight="1">
      <c r="A30" s="77"/>
      <c r="B30" s="21" t="s">
        <v>46</v>
      </c>
      <c r="C30" s="220">
        <v>0</v>
      </c>
      <c r="D30" s="220">
        <v>0</v>
      </c>
      <c r="E30" s="204" t="s">
        <v>213</v>
      </c>
      <c r="F30" s="204" t="s">
        <v>213</v>
      </c>
      <c r="G30" s="204" t="s">
        <v>213</v>
      </c>
      <c r="H30" s="204" t="s">
        <v>213</v>
      </c>
      <c r="I30" s="204" t="s">
        <v>213</v>
      </c>
      <c r="J30" s="204" t="s">
        <v>213</v>
      </c>
      <c r="K30" s="204" t="s">
        <v>213</v>
      </c>
      <c r="L30" s="204" t="s">
        <v>213</v>
      </c>
      <c r="M30" s="204" t="s">
        <v>213</v>
      </c>
      <c r="N30" s="204" t="s">
        <v>213</v>
      </c>
      <c r="O30" s="204" t="s">
        <v>213</v>
      </c>
      <c r="P30" s="204" t="s">
        <v>213</v>
      </c>
      <c r="Q30" s="204" t="s">
        <v>213</v>
      </c>
      <c r="R30" s="204" t="s">
        <v>213</v>
      </c>
      <c r="S30" s="204" t="s">
        <v>213</v>
      </c>
      <c r="T30" s="204" t="s">
        <v>213</v>
      </c>
      <c r="U30" s="204" t="s">
        <v>213</v>
      </c>
      <c r="V30" s="204" t="s">
        <v>213</v>
      </c>
      <c r="X30" s="84"/>
    </row>
    <row r="31" spans="1:25" ht="15" customHeight="1" thickBot="1">
      <c r="A31" s="82"/>
      <c r="B31" s="434" t="s">
        <v>47</v>
      </c>
      <c r="C31" s="436">
        <v>0</v>
      </c>
      <c r="D31" s="436">
        <v>0</v>
      </c>
      <c r="E31" s="439" t="s">
        <v>213</v>
      </c>
      <c r="F31" s="439" t="s">
        <v>213</v>
      </c>
      <c r="G31" s="439" t="s">
        <v>213</v>
      </c>
      <c r="H31" s="439" t="s">
        <v>213</v>
      </c>
      <c r="I31" s="439" t="s">
        <v>213</v>
      </c>
      <c r="J31" s="439" t="s">
        <v>213</v>
      </c>
      <c r="K31" s="439" t="s">
        <v>213</v>
      </c>
      <c r="L31" s="439" t="s">
        <v>213</v>
      </c>
      <c r="M31" s="439" t="s">
        <v>213</v>
      </c>
      <c r="N31" s="439" t="s">
        <v>213</v>
      </c>
      <c r="O31" s="439" t="s">
        <v>213</v>
      </c>
      <c r="P31" s="439" t="s">
        <v>213</v>
      </c>
      <c r="Q31" s="439" t="s">
        <v>213</v>
      </c>
      <c r="R31" s="439" t="s">
        <v>213</v>
      </c>
      <c r="S31" s="439" t="s">
        <v>213</v>
      </c>
      <c r="T31" s="439" t="s">
        <v>213</v>
      </c>
      <c r="U31" s="439" t="s">
        <v>213</v>
      </c>
      <c r="V31" s="439" t="s">
        <v>213</v>
      </c>
      <c r="X31" s="84"/>
    </row>
    <row r="32" spans="1:25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6"/>
      <c r="Q33" s="206"/>
      <c r="R33" s="206"/>
      <c r="S33" s="206"/>
      <c r="T33" s="206"/>
      <c r="U33" s="206"/>
      <c r="V33" s="206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7">
    <tabColor theme="9" tint="0.59999389629810485"/>
  </sheetPr>
  <dimension ref="A2:V36"/>
  <sheetViews>
    <sheetView showGridLines="0" zoomScaleNormal="100" workbookViewId="0">
      <selection activeCell="U6" sqref="U6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3" width="6.59765625" style="76" customWidth="1"/>
    <col min="24" max="25" width="8.19921875" style="76" customWidth="1"/>
    <col min="26" max="16384" width="7" style="76"/>
  </cols>
  <sheetData>
    <row r="2" spans="1:22" ht="16.5" customHeight="1">
      <c r="A2" s="210" t="s">
        <v>513</v>
      </c>
      <c r="B2" s="211"/>
    </row>
    <row r="3" spans="1:22" ht="13.25" customHeight="1">
      <c r="A3" s="212" t="s">
        <v>342</v>
      </c>
      <c r="B3" s="212"/>
    </row>
    <row r="4" spans="1:22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2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2" ht="18" customHeight="1">
      <c r="A6" s="1020" t="s">
        <v>100</v>
      </c>
      <c r="B6" s="1020"/>
      <c r="C6" s="631" t="s">
        <v>48</v>
      </c>
      <c r="D6" s="631" t="s">
        <v>48</v>
      </c>
      <c r="E6" s="631">
        <v>2.31</v>
      </c>
      <c r="F6" s="631">
        <v>2.7</v>
      </c>
      <c r="G6" s="631">
        <v>2.88</v>
      </c>
      <c r="H6" s="631">
        <v>3.02</v>
      </c>
      <c r="I6" s="631">
        <v>3.4</v>
      </c>
      <c r="J6" s="631">
        <v>3.61</v>
      </c>
      <c r="K6" s="631">
        <v>3.87</v>
      </c>
      <c r="L6" s="631">
        <v>4.26</v>
      </c>
      <c r="M6" s="631">
        <v>4.09</v>
      </c>
      <c r="N6" s="631">
        <v>4.32</v>
      </c>
      <c r="O6" s="631">
        <v>4.25</v>
      </c>
      <c r="P6" s="631">
        <v>4.28</v>
      </c>
      <c r="Q6" s="631">
        <v>4.2699999999999996</v>
      </c>
      <c r="R6" s="631">
        <v>4.13</v>
      </c>
      <c r="S6" s="631">
        <v>3.97</v>
      </c>
      <c r="T6" s="631">
        <v>3.97</v>
      </c>
      <c r="U6" s="631">
        <v>3.8021183423451341</v>
      </c>
      <c r="V6" s="631">
        <v>3.86088675537352</v>
      </c>
    </row>
    <row r="7" spans="1:22" ht="3" customHeight="1">
      <c r="A7" s="77"/>
      <c r="B7" s="78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</row>
    <row r="8" spans="1:22" ht="15" customHeight="1">
      <c r="A8" s="77"/>
      <c r="B8" s="21" t="s">
        <v>19</v>
      </c>
      <c r="C8" s="218" t="s">
        <v>73</v>
      </c>
      <c r="D8" s="218" t="s">
        <v>73</v>
      </c>
      <c r="E8" s="218" t="s">
        <v>73</v>
      </c>
      <c r="F8" s="218" t="s">
        <v>73</v>
      </c>
      <c r="G8" s="218" t="s">
        <v>73</v>
      </c>
      <c r="H8" s="218" t="s">
        <v>73</v>
      </c>
      <c r="I8" s="218" t="s">
        <v>73</v>
      </c>
      <c r="J8" s="218" t="s">
        <v>73</v>
      </c>
      <c r="K8" s="218" t="s">
        <v>73</v>
      </c>
      <c r="L8" s="218" t="s">
        <v>73</v>
      </c>
      <c r="M8" s="218" t="s">
        <v>73</v>
      </c>
      <c r="N8" s="218" t="s">
        <v>73</v>
      </c>
      <c r="O8" s="218" t="s">
        <v>73</v>
      </c>
      <c r="P8" s="218" t="s">
        <v>73</v>
      </c>
      <c r="Q8" s="218" t="s">
        <v>73</v>
      </c>
      <c r="R8" s="218" t="s">
        <v>73</v>
      </c>
      <c r="S8" s="218" t="s">
        <v>73</v>
      </c>
      <c r="T8" s="218" t="s">
        <v>73</v>
      </c>
      <c r="U8" s="218" t="s">
        <v>73</v>
      </c>
      <c r="V8" s="218" t="s">
        <v>73</v>
      </c>
    </row>
    <row r="9" spans="1:22" ht="15" customHeight="1">
      <c r="A9" s="77"/>
      <c r="B9" s="21" t="s">
        <v>20</v>
      </c>
      <c r="C9" s="218" t="s">
        <v>73</v>
      </c>
      <c r="D9" s="218" t="s">
        <v>73</v>
      </c>
      <c r="E9" s="218" t="s">
        <v>73</v>
      </c>
      <c r="F9" s="218" t="s">
        <v>73</v>
      </c>
      <c r="G9" s="218" t="s">
        <v>73</v>
      </c>
      <c r="H9" s="218" t="s">
        <v>73</v>
      </c>
      <c r="I9" s="218" t="s">
        <v>73</v>
      </c>
      <c r="J9" s="218" t="s">
        <v>73</v>
      </c>
      <c r="K9" s="218" t="s">
        <v>73</v>
      </c>
      <c r="L9" s="218" t="s">
        <v>73</v>
      </c>
      <c r="M9" s="218" t="s">
        <v>73</v>
      </c>
      <c r="N9" s="218" t="s">
        <v>73</v>
      </c>
      <c r="O9" s="218" t="s">
        <v>73</v>
      </c>
      <c r="P9" s="218" t="s">
        <v>73</v>
      </c>
      <c r="Q9" s="218" t="s">
        <v>73</v>
      </c>
      <c r="R9" s="218" t="s">
        <v>73</v>
      </c>
      <c r="S9" s="218" t="s">
        <v>73</v>
      </c>
      <c r="T9" s="218" t="s">
        <v>73</v>
      </c>
      <c r="U9" s="218" t="s">
        <v>73</v>
      </c>
      <c r="V9" s="218" t="s">
        <v>73</v>
      </c>
    </row>
    <row r="10" spans="1:22" ht="15" customHeight="1">
      <c r="A10" s="77"/>
      <c r="B10" s="21" t="s">
        <v>21</v>
      </c>
      <c r="C10" s="218" t="s">
        <v>73</v>
      </c>
      <c r="D10" s="218" t="s">
        <v>73</v>
      </c>
      <c r="E10" s="218" t="s">
        <v>73</v>
      </c>
      <c r="F10" s="218" t="s">
        <v>73</v>
      </c>
      <c r="G10" s="218" t="s">
        <v>73</v>
      </c>
      <c r="H10" s="218" t="s">
        <v>73</v>
      </c>
      <c r="I10" s="218" t="s">
        <v>73</v>
      </c>
      <c r="J10" s="218" t="s">
        <v>73</v>
      </c>
      <c r="K10" s="218" t="s">
        <v>73</v>
      </c>
      <c r="L10" s="218" t="s">
        <v>73</v>
      </c>
      <c r="M10" s="218" t="s">
        <v>73</v>
      </c>
      <c r="N10" s="218" t="s">
        <v>73</v>
      </c>
      <c r="O10" s="218" t="s">
        <v>73</v>
      </c>
      <c r="P10" s="218" t="s">
        <v>73</v>
      </c>
      <c r="Q10" s="218" t="s">
        <v>73</v>
      </c>
      <c r="R10" s="218" t="s">
        <v>73</v>
      </c>
      <c r="S10" s="218" t="s">
        <v>73</v>
      </c>
      <c r="T10" s="218" t="s">
        <v>73</v>
      </c>
      <c r="U10" s="218" t="s">
        <v>73</v>
      </c>
      <c r="V10" s="218" t="s">
        <v>73</v>
      </c>
    </row>
    <row r="11" spans="1:22" ht="15" customHeight="1">
      <c r="A11" s="77"/>
      <c r="B11" s="21" t="s">
        <v>22</v>
      </c>
      <c r="C11" s="218" t="s">
        <v>73</v>
      </c>
      <c r="D11" s="218" t="s">
        <v>73</v>
      </c>
      <c r="E11" s="218" t="s">
        <v>73</v>
      </c>
      <c r="F11" s="218" t="s">
        <v>73</v>
      </c>
      <c r="G11" s="218" t="s">
        <v>73</v>
      </c>
      <c r="H11" s="218" t="s">
        <v>73</v>
      </c>
      <c r="I11" s="218" t="s">
        <v>73</v>
      </c>
      <c r="J11" s="218" t="s">
        <v>73</v>
      </c>
      <c r="K11" s="218" t="s">
        <v>73</v>
      </c>
      <c r="L11" s="218" t="s">
        <v>73</v>
      </c>
      <c r="M11" s="218" t="s">
        <v>73</v>
      </c>
      <c r="N11" s="218" t="s">
        <v>73</v>
      </c>
      <c r="O11" s="218" t="s">
        <v>73</v>
      </c>
      <c r="P11" s="218" t="s">
        <v>73</v>
      </c>
      <c r="Q11" s="218" t="s">
        <v>73</v>
      </c>
      <c r="R11" s="218" t="s">
        <v>73</v>
      </c>
      <c r="S11" s="218" t="s">
        <v>73</v>
      </c>
      <c r="T11" s="218" t="s">
        <v>73</v>
      </c>
      <c r="U11" s="218" t="s">
        <v>73</v>
      </c>
      <c r="V11" s="218" t="s">
        <v>73</v>
      </c>
    </row>
    <row r="12" spans="1:22" ht="15" customHeight="1">
      <c r="A12" s="77"/>
      <c r="B12" s="21" t="s">
        <v>23</v>
      </c>
      <c r="C12" s="218" t="s">
        <v>73</v>
      </c>
      <c r="D12" s="218" t="s">
        <v>73</v>
      </c>
      <c r="E12" s="218" t="s">
        <v>73</v>
      </c>
      <c r="F12" s="218" t="s">
        <v>73</v>
      </c>
      <c r="G12" s="218" t="s">
        <v>73</v>
      </c>
      <c r="H12" s="218" t="s">
        <v>73</v>
      </c>
      <c r="I12" s="218" t="s">
        <v>73</v>
      </c>
      <c r="J12" s="218" t="s">
        <v>73</v>
      </c>
      <c r="K12" s="218" t="s">
        <v>73</v>
      </c>
      <c r="L12" s="218" t="s">
        <v>73</v>
      </c>
      <c r="M12" s="218" t="s">
        <v>73</v>
      </c>
      <c r="N12" s="218" t="s">
        <v>73</v>
      </c>
      <c r="O12" s="218" t="s">
        <v>73</v>
      </c>
      <c r="P12" s="218" t="s">
        <v>73</v>
      </c>
      <c r="Q12" s="218" t="s">
        <v>73</v>
      </c>
      <c r="R12" s="218" t="s">
        <v>73</v>
      </c>
      <c r="S12" s="218" t="s">
        <v>73</v>
      </c>
      <c r="T12" s="218" t="s">
        <v>73</v>
      </c>
      <c r="U12" s="218" t="s">
        <v>73</v>
      </c>
      <c r="V12" s="218" t="s">
        <v>73</v>
      </c>
    </row>
    <row r="13" spans="1:22" ht="15" customHeight="1">
      <c r="A13" s="77"/>
      <c r="B13" s="21" t="s">
        <v>27</v>
      </c>
      <c r="C13" s="218" t="s">
        <v>73</v>
      </c>
      <c r="D13" s="218" t="s">
        <v>73</v>
      </c>
      <c r="E13" s="218" t="s">
        <v>73</v>
      </c>
      <c r="F13" s="218" t="s">
        <v>73</v>
      </c>
      <c r="G13" s="218" t="s">
        <v>73</v>
      </c>
      <c r="H13" s="218" t="s">
        <v>73</v>
      </c>
      <c r="I13" s="218" t="s">
        <v>73</v>
      </c>
      <c r="J13" s="218" t="s">
        <v>73</v>
      </c>
      <c r="K13" s="218" t="s">
        <v>73</v>
      </c>
      <c r="L13" s="218" t="s">
        <v>73</v>
      </c>
      <c r="M13" s="218" t="s">
        <v>73</v>
      </c>
      <c r="N13" s="218" t="s">
        <v>73</v>
      </c>
      <c r="O13" s="218" t="s">
        <v>73</v>
      </c>
      <c r="P13" s="218" t="s">
        <v>73</v>
      </c>
      <c r="Q13" s="218" t="s">
        <v>73</v>
      </c>
      <c r="R13" s="218" t="s">
        <v>73</v>
      </c>
      <c r="S13" s="218" t="s">
        <v>73</v>
      </c>
      <c r="T13" s="218" t="s">
        <v>73</v>
      </c>
      <c r="U13" s="218" t="s">
        <v>73</v>
      </c>
      <c r="V13" s="218" t="s">
        <v>73</v>
      </c>
    </row>
    <row r="14" spans="1:22" ht="15" customHeight="1">
      <c r="A14" s="77"/>
      <c r="B14" s="21" t="s">
        <v>28</v>
      </c>
      <c r="C14" s="218" t="s">
        <v>73</v>
      </c>
      <c r="D14" s="218" t="s">
        <v>73</v>
      </c>
      <c r="E14" s="218" t="s">
        <v>73</v>
      </c>
      <c r="F14" s="218" t="s">
        <v>73</v>
      </c>
      <c r="G14" s="218" t="s">
        <v>73</v>
      </c>
      <c r="H14" s="218" t="s">
        <v>73</v>
      </c>
      <c r="I14" s="218" t="s">
        <v>73</v>
      </c>
      <c r="J14" s="218" t="s">
        <v>73</v>
      </c>
      <c r="K14" s="218" t="s">
        <v>73</v>
      </c>
      <c r="L14" s="218" t="s">
        <v>73</v>
      </c>
      <c r="M14" s="218" t="s">
        <v>73</v>
      </c>
      <c r="N14" s="218" t="s">
        <v>73</v>
      </c>
      <c r="O14" s="218" t="s">
        <v>73</v>
      </c>
      <c r="P14" s="218" t="s">
        <v>73</v>
      </c>
      <c r="Q14" s="218" t="s">
        <v>73</v>
      </c>
      <c r="R14" s="218" t="s">
        <v>73</v>
      </c>
      <c r="S14" s="218" t="s">
        <v>73</v>
      </c>
      <c r="T14" s="218" t="s">
        <v>73</v>
      </c>
      <c r="U14" s="218" t="s">
        <v>73</v>
      </c>
      <c r="V14" s="218" t="s">
        <v>73</v>
      </c>
    </row>
    <row r="15" spans="1:22" ht="15" customHeight="1">
      <c r="A15" s="77"/>
      <c r="B15" s="21" t="s">
        <v>29</v>
      </c>
      <c r="C15" s="218"/>
      <c r="D15" s="218"/>
      <c r="E15" s="218">
        <v>2.4900000000000002</v>
      </c>
      <c r="F15" s="218">
        <v>2.58</v>
      </c>
      <c r="G15" s="218">
        <v>2.65</v>
      </c>
      <c r="H15" s="218">
        <v>2.91</v>
      </c>
      <c r="I15" s="218">
        <v>3.05</v>
      </c>
      <c r="J15" s="218">
        <v>3.28</v>
      </c>
      <c r="K15" s="218">
        <v>3.36</v>
      </c>
      <c r="L15" s="218">
        <v>3.66</v>
      </c>
      <c r="M15" s="218">
        <v>4.03</v>
      </c>
      <c r="N15" s="218">
        <v>4.8099999999999996</v>
      </c>
      <c r="O15" s="218">
        <v>3.72</v>
      </c>
      <c r="P15" s="218">
        <v>3.76</v>
      </c>
      <c r="Q15" s="218">
        <v>3.81</v>
      </c>
      <c r="R15" s="218">
        <v>3.77</v>
      </c>
      <c r="S15" s="218">
        <v>3.64</v>
      </c>
      <c r="T15" s="218">
        <v>3.51</v>
      </c>
      <c r="U15" s="218">
        <v>3.3192858225659596</v>
      </c>
      <c r="V15" s="218">
        <v>3.3646038105396423</v>
      </c>
    </row>
    <row r="16" spans="1:22" ht="15" customHeight="1">
      <c r="A16" s="77"/>
      <c r="B16" s="21" t="s">
        <v>30</v>
      </c>
      <c r="C16" s="218" t="s">
        <v>73</v>
      </c>
      <c r="D16" s="218" t="s">
        <v>73</v>
      </c>
      <c r="E16" s="218" t="s">
        <v>73</v>
      </c>
      <c r="F16" s="218" t="s">
        <v>73</v>
      </c>
      <c r="G16" s="218" t="s">
        <v>73</v>
      </c>
      <c r="H16" s="218" t="s">
        <v>73</v>
      </c>
      <c r="I16" s="218" t="s">
        <v>73</v>
      </c>
      <c r="J16" s="218" t="s">
        <v>73</v>
      </c>
      <c r="K16" s="218" t="s">
        <v>73</v>
      </c>
      <c r="L16" s="218" t="s">
        <v>73</v>
      </c>
      <c r="M16" s="218" t="s">
        <v>73</v>
      </c>
      <c r="N16" s="218" t="s">
        <v>73</v>
      </c>
      <c r="O16" s="218" t="s">
        <v>73</v>
      </c>
      <c r="P16" s="218" t="s">
        <v>73</v>
      </c>
      <c r="Q16" s="218" t="s">
        <v>73</v>
      </c>
      <c r="R16" s="218" t="s">
        <v>73</v>
      </c>
      <c r="S16" s="218" t="s">
        <v>73</v>
      </c>
      <c r="T16" s="218" t="s">
        <v>73</v>
      </c>
      <c r="U16" s="218" t="s">
        <v>73</v>
      </c>
      <c r="V16" s="218" t="s">
        <v>73</v>
      </c>
    </row>
    <row r="17" spans="1:22" ht="15" customHeight="1">
      <c r="A17" s="77"/>
      <c r="B17" s="21" t="s">
        <v>31</v>
      </c>
      <c r="C17" s="218" t="s">
        <v>73</v>
      </c>
      <c r="D17" s="218" t="s">
        <v>73</v>
      </c>
      <c r="E17" s="218" t="s">
        <v>73</v>
      </c>
      <c r="F17" s="218" t="s">
        <v>73</v>
      </c>
      <c r="G17" s="218" t="s">
        <v>73</v>
      </c>
      <c r="H17" s="218" t="s">
        <v>73</v>
      </c>
      <c r="I17" s="218" t="s">
        <v>73</v>
      </c>
      <c r="J17" s="218" t="s">
        <v>73</v>
      </c>
      <c r="K17" s="218">
        <v>3.4</v>
      </c>
      <c r="L17" s="218">
        <v>3.68</v>
      </c>
      <c r="M17" s="218">
        <v>3.95</v>
      </c>
      <c r="N17" s="218">
        <v>3.9</v>
      </c>
      <c r="O17" s="218">
        <v>3.9</v>
      </c>
      <c r="P17" s="218" t="s">
        <v>73</v>
      </c>
      <c r="Q17" s="218" t="s">
        <v>73</v>
      </c>
      <c r="R17" s="218" t="s">
        <v>73</v>
      </c>
      <c r="S17" s="218" t="s">
        <v>73</v>
      </c>
      <c r="T17" s="218" t="s">
        <v>73</v>
      </c>
      <c r="U17" s="218" t="s">
        <v>73</v>
      </c>
      <c r="V17" s="218" t="s">
        <v>73</v>
      </c>
    </row>
    <row r="18" spans="1:22" ht="15" customHeight="1">
      <c r="A18" s="77"/>
      <c r="B18" s="21" t="s">
        <v>32</v>
      </c>
      <c r="C18" s="218" t="s">
        <v>73</v>
      </c>
      <c r="D18" s="218" t="s">
        <v>73</v>
      </c>
      <c r="E18" s="218">
        <v>2.63</v>
      </c>
      <c r="F18" s="218">
        <v>3.01</v>
      </c>
      <c r="G18" s="218">
        <v>2.91</v>
      </c>
      <c r="H18" s="218">
        <v>3.19</v>
      </c>
      <c r="I18" s="218">
        <v>3.64</v>
      </c>
      <c r="J18" s="218">
        <v>3.66</v>
      </c>
      <c r="K18" s="218">
        <v>3.53</v>
      </c>
      <c r="L18" s="218">
        <v>3.91</v>
      </c>
      <c r="M18" s="218">
        <v>4.25</v>
      </c>
      <c r="N18" s="218">
        <v>4.1399999999999997</v>
      </c>
      <c r="O18" s="218">
        <v>3.91</v>
      </c>
      <c r="P18" s="218">
        <v>3.95</v>
      </c>
      <c r="Q18" s="218">
        <v>3.87</v>
      </c>
      <c r="R18" s="218">
        <v>3.8</v>
      </c>
      <c r="S18" s="218">
        <v>3.65</v>
      </c>
      <c r="T18" s="218">
        <v>3.52</v>
      </c>
      <c r="U18" s="218">
        <v>3.4148644388179634</v>
      </c>
      <c r="V18" s="218">
        <v>3.4438690928430566</v>
      </c>
    </row>
    <row r="19" spans="1:22" ht="15" customHeight="1">
      <c r="A19" s="77"/>
      <c r="B19" s="21" t="s">
        <v>33</v>
      </c>
      <c r="C19" s="218" t="s">
        <v>73</v>
      </c>
      <c r="D19" s="218" t="s">
        <v>73</v>
      </c>
      <c r="E19" s="218">
        <v>2.16</v>
      </c>
      <c r="F19" s="218">
        <v>2.4500000000000002</v>
      </c>
      <c r="G19" s="218">
        <v>2.92</v>
      </c>
      <c r="H19" s="218">
        <v>3.16</v>
      </c>
      <c r="I19" s="218">
        <v>3.28</v>
      </c>
      <c r="J19" s="218">
        <v>3.17</v>
      </c>
      <c r="K19" s="218">
        <v>3.35</v>
      </c>
      <c r="L19" s="218">
        <v>3.41</v>
      </c>
      <c r="M19" s="218">
        <v>3.75</v>
      </c>
      <c r="N19" s="218">
        <v>3.84</v>
      </c>
      <c r="O19" s="218">
        <v>3.97</v>
      </c>
      <c r="P19" s="218">
        <v>3.97</v>
      </c>
      <c r="Q19" s="218">
        <v>3.9</v>
      </c>
      <c r="R19" s="218">
        <v>3.82</v>
      </c>
      <c r="S19" s="218">
        <v>3.67</v>
      </c>
      <c r="T19" s="218">
        <v>3.58</v>
      </c>
      <c r="U19" s="218">
        <v>3.4751775195618424</v>
      </c>
      <c r="V19" s="218">
        <v>3.4991603721001825</v>
      </c>
    </row>
    <row r="20" spans="1:22" ht="15" customHeight="1">
      <c r="A20" s="77"/>
      <c r="B20" s="21" t="s">
        <v>34</v>
      </c>
      <c r="C20" s="218" t="s">
        <v>73</v>
      </c>
      <c r="D20" s="218" t="s">
        <v>73</v>
      </c>
      <c r="E20" s="218">
        <v>2.2599999999999998</v>
      </c>
      <c r="F20" s="218">
        <v>2.66</v>
      </c>
      <c r="G20" s="218">
        <v>2.87</v>
      </c>
      <c r="H20" s="218">
        <v>3.1</v>
      </c>
      <c r="I20" s="218">
        <v>3.29</v>
      </c>
      <c r="J20" s="218">
        <v>3.51</v>
      </c>
      <c r="K20" s="218">
        <v>3.49</v>
      </c>
      <c r="L20" s="218">
        <v>3.7</v>
      </c>
      <c r="M20" s="218">
        <v>4.37</v>
      </c>
      <c r="N20" s="218">
        <v>4.24</v>
      </c>
      <c r="O20" s="218">
        <v>4.04</v>
      </c>
      <c r="P20" s="218">
        <v>3.99</v>
      </c>
      <c r="Q20" s="218">
        <v>3.92</v>
      </c>
      <c r="R20" s="218">
        <v>3.75</v>
      </c>
      <c r="S20" s="218">
        <v>3.55</v>
      </c>
      <c r="T20" s="218">
        <v>3.42</v>
      </c>
      <c r="U20" s="218">
        <v>3.301452255694564</v>
      </c>
      <c r="V20" s="218">
        <v>3.3271847368303482</v>
      </c>
    </row>
    <row r="21" spans="1:22" ht="15" customHeight="1">
      <c r="A21" s="77"/>
      <c r="B21" s="21" t="s">
        <v>35</v>
      </c>
      <c r="C21" s="218" t="s">
        <v>73</v>
      </c>
      <c r="D21" s="218" t="s">
        <v>73</v>
      </c>
      <c r="E21" s="218">
        <v>1.55</v>
      </c>
      <c r="F21" s="218">
        <v>2.72</v>
      </c>
      <c r="G21" s="218">
        <v>2.66</v>
      </c>
      <c r="H21" s="218">
        <v>2.94</v>
      </c>
      <c r="I21" s="218">
        <v>3.32</v>
      </c>
      <c r="J21" s="218">
        <v>3.58</v>
      </c>
      <c r="K21" s="218">
        <v>3.87</v>
      </c>
      <c r="L21" s="218">
        <v>4.25</v>
      </c>
      <c r="M21" s="218">
        <v>4.25</v>
      </c>
      <c r="N21" s="218">
        <v>4.54</v>
      </c>
      <c r="O21" s="218">
        <v>4.41</v>
      </c>
      <c r="P21" s="218">
        <v>4.55</v>
      </c>
      <c r="Q21" s="218">
        <v>4.5599999999999996</v>
      </c>
      <c r="R21" s="218">
        <v>3.65</v>
      </c>
      <c r="S21" s="218">
        <v>3.51</v>
      </c>
      <c r="T21" s="218">
        <v>3.59</v>
      </c>
      <c r="U21" s="218">
        <v>3.633774916498326</v>
      </c>
      <c r="V21" s="218">
        <v>3.6733242084887592</v>
      </c>
    </row>
    <row r="22" spans="1:22" ht="15" customHeight="1">
      <c r="A22" s="77"/>
      <c r="B22" s="21" t="s">
        <v>36</v>
      </c>
      <c r="C22" s="218" t="s">
        <v>73</v>
      </c>
      <c r="D22" s="218" t="s">
        <v>73</v>
      </c>
      <c r="E22" s="218">
        <v>2.19</v>
      </c>
      <c r="F22" s="218">
        <v>2.41</v>
      </c>
      <c r="G22" s="218">
        <v>2.4500000000000002</v>
      </c>
      <c r="H22" s="218">
        <v>2.69</v>
      </c>
      <c r="I22" s="218">
        <v>3.01</v>
      </c>
      <c r="J22" s="218">
        <v>3.2</v>
      </c>
      <c r="K22" s="218">
        <v>3.4</v>
      </c>
      <c r="L22" s="218">
        <v>3.59</v>
      </c>
      <c r="M22" s="218">
        <v>3.69</v>
      </c>
      <c r="N22" s="218">
        <v>3.89</v>
      </c>
      <c r="O22" s="218">
        <v>3.91</v>
      </c>
      <c r="P22" s="218">
        <v>4.07</v>
      </c>
      <c r="Q22" s="218">
        <v>4.12</v>
      </c>
      <c r="R22" s="218">
        <v>4.0599999999999996</v>
      </c>
      <c r="S22" s="218">
        <v>3.78</v>
      </c>
      <c r="T22" s="218">
        <v>3.46</v>
      </c>
      <c r="U22" s="218">
        <v>3.4016569419643958</v>
      </c>
      <c r="V22" s="218">
        <v>3.4361523158756615</v>
      </c>
    </row>
    <row r="23" spans="1:22" ht="15" customHeight="1">
      <c r="A23" s="77"/>
      <c r="B23" s="21" t="s">
        <v>37</v>
      </c>
      <c r="C23" s="218" t="s">
        <v>73</v>
      </c>
      <c r="D23" s="218" t="s">
        <v>73</v>
      </c>
      <c r="E23" s="218">
        <v>2.2400000000000002</v>
      </c>
      <c r="F23" s="218">
        <v>2.4900000000000002</v>
      </c>
      <c r="G23" s="218">
        <v>2.5099999999999998</v>
      </c>
      <c r="H23" s="218">
        <v>2.87</v>
      </c>
      <c r="I23" s="218">
        <v>3.01</v>
      </c>
      <c r="J23" s="218">
        <v>3.38</v>
      </c>
      <c r="K23" s="218">
        <v>3.52</v>
      </c>
      <c r="L23" s="218">
        <v>3.75</v>
      </c>
      <c r="M23" s="218">
        <v>3.82</v>
      </c>
      <c r="N23" s="218">
        <v>3.98</v>
      </c>
      <c r="O23" s="218">
        <v>4.03</v>
      </c>
      <c r="P23" s="218">
        <v>4.16</v>
      </c>
      <c r="Q23" s="218">
        <v>4.17</v>
      </c>
      <c r="R23" s="218">
        <v>4.13</v>
      </c>
      <c r="S23" s="218">
        <v>3.95</v>
      </c>
      <c r="T23" s="218">
        <v>3.78</v>
      </c>
      <c r="U23" s="218">
        <v>3.7285854409454515</v>
      </c>
      <c r="V23" s="218">
        <v>3.7880631762193446</v>
      </c>
    </row>
    <row r="24" spans="1:22" ht="15" customHeight="1">
      <c r="A24" s="77"/>
      <c r="B24" s="21" t="s">
        <v>38</v>
      </c>
      <c r="C24" s="218" t="s">
        <v>73</v>
      </c>
      <c r="D24" s="218" t="s">
        <v>73</v>
      </c>
      <c r="E24" s="218">
        <v>2.2999999999999998</v>
      </c>
      <c r="F24" s="218">
        <v>2.63</v>
      </c>
      <c r="G24" s="218">
        <v>2.92</v>
      </c>
      <c r="H24" s="218">
        <v>3.21</v>
      </c>
      <c r="I24" s="218">
        <v>3.32</v>
      </c>
      <c r="J24" s="218">
        <v>3.54</v>
      </c>
      <c r="K24" s="218">
        <v>3.77</v>
      </c>
      <c r="L24" s="218">
        <v>3.76</v>
      </c>
      <c r="M24" s="218">
        <v>4.29</v>
      </c>
      <c r="N24" s="218">
        <v>4.2</v>
      </c>
      <c r="O24" s="218">
        <v>4.08</v>
      </c>
      <c r="P24" s="218">
        <v>4.18</v>
      </c>
      <c r="Q24" s="218">
        <v>4.1900000000000004</v>
      </c>
      <c r="R24" s="218">
        <v>4.0999999999999996</v>
      </c>
      <c r="S24" s="218">
        <v>3.91</v>
      </c>
      <c r="T24" s="218">
        <v>3.74</v>
      </c>
      <c r="U24" s="218">
        <v>3.6372071743668468</v>
      </c>
      <c r="V24" s="218">
        <v>3.7163977480591512</v>
      </c>
    </row>
    <row r="25" spans="1:22" ht="15" customHeight="1">
      <c r="A25" s="77"/>
      <c r="B25" s="76" t="s">
        <v>39</v>
      </c>
      <c r="C25" s="218" t="s">
        <v>73</v>
      </c>
      <c r="D25" s="218" t="s">
        <v>73</v>
      </c>
      <c r="E25" s="218">
        <v>2.25</v>
      </c>
      <c r="F25" s="218">
        <v>2.23</v>
      </c>
      <c r="G25" s="218">
        <v>2.31</v>
      </c>
      <c r="H25" s="218">
        <v>2.69</v>
      </c>
      <c r="I25" s="218">
        <v>3.54</v>
      </c>
      <c r="J25" s="218">
        <v>3.83</v>
      </c>
      <c r="K25" s="218">
        <v>3.59</v>
      </c>
      <c r="L25" s="218">
        <v>3.48</v>
      </c>
      <c r="M25" s="218">
        <v>3.54</v>
      </c>
      <c r="N25" s="218">
        <v>3.71</v>
      </c>
      <c r="O25" s="218">
        <v>3.6</v>
      </c>
      <c r="P25" s="218">
        <v>3.77</v>
      </c>
      <c r="Q25" s="218">
        <v>3.78</v>
      </c>
      <c r="R25" s="218">
        <v>3.74</v>
      </c>
      <c r="S25" s="218">
        <v>3.64</v>
      </c>
      <c r="T25" s="218">
        <v>3.55</v>
      </c>
      <c r="U25" s="218">
        <v>3.4668876601378757</v>
      </c>
      <c r="V25" s="218">
        <v>3.4766133168108806</v>
      </c>
    </row>
    <row r="26" spans="1:22" ht="15" customHeight="1">
      <c r="A26" s="77"/>
      <c r="B26" s="21" t="s">
        <v>42</v>
      </c>
      <c r="C26" s="218" t="s">
        <v>73</v>
      </c>
      <c r="D26" s="218" t="s">
        <v>73</v>
      </c>
      <c r="E26" s="218">
        <v>2.77</v>
      </c>
      <c r="F26" s="218">
        <v>2.81</v>
      </c>
      <c r="G26" s="218">
        <v>2.87</v>
      </c>
      <c r="H26" s="218">
        <v>2.57</v>
      </c>
      <c r="I26" s="218">
        <v>3.1</v>
      </c>
      <c r="J26" s="218">
        <v>3.28</v>
      </c>
      <c r="K26" s="218">
        <v>3.5</v>
      </c>
      <c r="L26" s="218">
        <v>3.6</v>
      </c>
      <c r="M26" s="218">
        <v>3.82</v>
      </c>
      <c r="N26" s="218">
        <v>3.92</v>
      </c>
      <c r="O26" s="218">
        <v>4.03</v>
      </c>
      <c r="P26" s="218">
        <v>3.83</v>
      </c>
      <c r="Q26" s="218">
        <v>3.96</v>
      </c>
      <c r="R26" s="218">
        <v>3.97</v>
      </c>
      <c r="S26" s="218">
        <v>3.94</v>
      </c>
      <c r="T26" s="218">
        <v>3.91</v>
      </c>
      <c r="U26" s="218">
        <v>3.9514421087119822</v>
      </c>
      <c r="V26" s="218">
        <v>4.0448894222409022</v>
      </c>
    </row>
    <row r="27" spans="1:22" ht="15" customHeight="1">
      <c r="A27" s="77"/>
      <c r="B27" s="76" t="s">
        <v>43</v>
      </c>
      <c r="C27" s="218" t="s">
        <v>73</v>
      </c>
      <c r="D27" s="218" t="s">
        <v>73</v>
      </c>
      <c r="E27" s="218">
        <v>2.42</v>
      </c>
      <c r="F27" s="218">
        <v>2.81</v>
      </c>
      <c r="G27" s="218">
        <v>3.1</v>
      </c>
      <c r="H27" s="218">
        <v>3.24</v>
      </c>
      <c r="I27" s="218">
        <v>3.61</v>
      </c>
      <c r="J27" s="218">
        <v>3.87</v>
      </c>
      <c r="K27" s="218">
        <v>4.3099999999999996</v>
      </c>
      <c r="L27" s="218">
        <v>5.0199999999999996</v>
      </c>
      <c r="M27" s="218">
        <v>4.22</v>
      </c>
      <c r="N27" s="218">
        <v>4.7</v>
      </c>
      <c r="O27" s="218">
        <v>4.63</v>
      </c>
      <c r="P27" s="218">
        <v>4.68</v>
      </c>
      <c r="Q27" s="218">
        <v>4.6100000000000003</v>
      </c>
      <c r="R27" s="218">
        <v>4.5199999999999996</v>
      </c>
      <c r="S27" s="218">
        <v>4.33</v>
      </c>
      <c r="T27" s="218">
        <v>4.17</v>
      </c>
      <c r="U27" s="218">
        <v>4.0756970052031924</v>
      </c>
      <c r="V27" s="218">
        <v>4.1298442359153507</v>
      </c>
    </row>
    <row r="28" spans="1:22" ht="15" customHeight="1">
      <c r="A28" s="31"/>
      <c r="B28" s="21" t="s">
        <v>44</v>
      </c>
      <c r="C28" s="218" t="s">
        <v>73</v>
      </c>
      <c r="D28" s="218" t="s">
        <v>73</v>
      </c>
      <c r="E28" s="218" t="s">
        <v>73</v>
      </c>
      <c r="F28" s="218" t="s">
        <v>73</v>
      </c>
      <c r="G28" s="218" t="s">
        <v>73</v>
      </c>
      <c r="H28" s="218" t="s">
        <v>73</v>
      </c>
      <c r="I28" s="218" t="s">
        <v>73</v>
      </c>
      <c r="J28" s="218" t="s">
        <v>73</v>
      </c>
      <c r="K28" s="218" t="s">
        <v>73</v>
      </c>
      <c r="L28" s="218" t="s">
        <v>73</v>
      </c>
      <c r="M28" s="218" t="s">
        <v>73</v>
      </c>
      <c r="N28" s="218" t="s">
        <v>73</v>
      </c>
      <c r="O28" s="218" t="s">
        <v>73</v>
      </c>
      <c r="P28" s="218" t="s">
        <v>73</v>
      </c>
      <c r="Q28" s="218" t="s">
        <v>73</v>
      </c>
      <c r="R28" s="218" t="s">
        <v>73</v>
      </c>
      <c r="S28" s="218" t="s">
        <v>73</v>
      </c>
      <c r="T28" s="218" t="s">
        <v>73</v>
      </c>
      <c r="U28" s="218" t="s">
        <v>73</v>
      </c>
      <c r="V28" s="218" t="s">
        <v>73</v>
      </c>
    </row>
    <row r="29" spans="1:22" ht="15" customHeight="1">
      <c r="A29" s="32"/>
      <c r="B29" s="32" t="s">
        <v>45</v>
      </c>
      <c r="C29" s="218" t="s">
        <v>73</v>
      </c>
      <c r="D29" s="218" t="s">
        <v>73</v>
      </c>
      <c r="E29" s="218" t="s">
        <v>73</v>
      </c>
      <c r="F29" s="218" t="s">
        <v>73</v>
      </c>
      <c r="G29" s="218" t="s">
        <v>73</v>
      </c>
      <c r="H29" s="218" t="s">
        <v>73</v>
      </c>
      <c r="I29" s="218" t="s">
        <v>73</v>
      </c>
      <c r="J29" s="218" t="s">
        <v>73</v>
      </c>
      <c r="K29" s="218" t="s">
        <v>73</v>
      </c>
      <c r="L29" s="218" t="s">
        <v>73</v>
      </c>
      <c r="M29" s="218" t="s">
        <v>73</v>
      </c>
      <c r="N29" s="218" t="s">
        <v>73</v>
      </c>
      <c r="O29" s="218" t="s">
        <v>73</v>
      </c>
      <c r="P29" s="218" t="s">
        <v>73</v>
      </c>
      <c r="Q29" s="218" t="s">
        <v>73</v>
      </c>
      <c r="R29" s="218" t="s">
        <v>73</v>
      </c>
      <c r="S29" s="218" t="s">
        <v>73</v>
      </c>
      <c r="T29" s="218" t="s">
        <v>73</v>
      </c>
      <c r="U29" s="218" t="s">
        <v>73</v>
      </c>
      <c r="V29" s="218" t="s">
        <v>73</v>
      </c>
    </row>
    <row r="30" spans="1:22" ht="15" customHeight="1">
      <c r="A30" s="38"/>
      <c r="B30" s="38" t="s">
        <v>46</v>
      </c>
      <c r="C30" s="218" t="s">
        <v>73</v>
      </c>
      <c r="D30" s="218" t="s">
        <v>73</v>
      </c>
      <c r="E30" s="218" t="s">
        <v>73</v>
      </c>
      <c r="F30" s="218" t="s">
        <v>73</v>
      </c>
      <c r="G30" s="218" t="s">
        <v>73</v>
      </c>
      <c r="H30" s="218" t="s">
        <v>73</v>
      </c>
      <c r="I30" s="218" t="s">
        <v>73</v>
      </c>
      <c r="J30" s="218" t="s">
        <v>73</v>
      </c>
      <c r="K30" s="218" t="s">
        <v>73</v>
      </c>
      <c r="L30" s="218" t="s">
        <v>73</v>
      </c>
      <c r="M30" s="218" t="s">
        <v>73</v>
      </c>
      <c r="N30" s="218" t="s">
        <v>73</v>
      </c>
      <c r="O30" s="218" t="s">
        <v>73</v>
      </c>
      <c r="P30" s="218" t="s">
        <v>73</v>
      </c>
      <c r="Q30" s="218" t="s">
        <v>73</v>
      </c>
      <c r="R30" s="218" t="s">
        <v>73</v>
      </c>
      <c r="S30" s="218" t="s">
        <v>73</v>
      </c>
      <c r="T30" s="218" t="s">
        <v>73</v>
      </c>
      <c r="U30" s="218" t="s">
        <v>73</v>
      </c>
      <c r="V30" s="218" t="s">
        <v>73</v>
      </c>
    </row>
    <row r="31" spans="1:22" ht="15" customHeight="1" thickBot="1">
      <c r="A31" s="36"/>
      <c r="B31" s="432" t="s">
        <v>47</v>
      </c>
      <c r="C31" s="433" t="s">
        <v>73</v>
      </c>
      <c r="D31" s="433" t="s">
        <v>73</v>
      </c>
      <c r="E31" s="433" t="s">
        <v>73</v>
      </c>
      <c r="F31" s="433" t="s">
        <v>73</v>
      </c>
      <c r="G31" s="433" t="s">
        <v>73</v>
      </c>
      <c r="H31" s="433" t="s">
        <v>73</v>
      </c>
      <c r="I31" s="433" t="s">
        <v>73</v>
      </c>
      <c r="J31" s="433" t="s">
        <v>73</v>
      </c>
      <c r="K31" s="433" t="s">
        <v>73</v>
      </c>
      <c r="L31" s="433" t="s">
        <v>73</v>
      </c>
      <c r="M31" s="433" t="s">
        <v>73</v>
      </c>
      <c r="N31" s="433" t="s">
        <v>73</v>
      </c>
      <c r="O31" s="433" t="s">
        <v>73</v>
      </c>
      <c r="P31" s="433" t="s">
        <v>73</v>
      </c>
      <c r="Q31" s="433" t="s">
        <v>73</v>
      </c>
      <c r="R31" s="433" t="s">
        <v>73</v>
      </c>
      <c r="S31" s="433" t="s">
        <v>73</v>
      </c>
      <c r="T31" s="433" t="s">
        <v>73</v>
      </c>
      <c r="U31" s="433" t="s">
        <v>73</v>
      </c>
      <c r="V31" s="433" t="s">
        <v>73</v>
      </c>
    </row>
    <row r="32" spans="1:22" ht="11" customHeight="1">
      <c r="A32" s="529" t="s">
        <v>330</v>
      </c>
      <c r="B32" s="527"/>
      <c r="C32" s="833"/>
      <c r="D32" s="833"/>
      <c r="E32" s="833"/>
      <c r="F32" s="833"/>
      <c r="G32" s="833"/>
      <c r="H32" s="836" t="s">
        <v>346</v>
      </c>
      <c r="I32" s="471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</row>
    <row r="33" spans="1:22" ht="9" customHeight="1">
      <c r="A33" s="529" t="s">
        <v>304</v>
      </c>
      <c r="B33" s="527"/>
      <c r="C33" s="833"/>
      <c r="D33" s="833"/>
      <c r="E33" s="833"/>
      <c r="F33" s="833"/>
      <c r="G33" s="833"/>
      <c r="H33" s="833"/>
      <c r="I33" s="471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</row>
    <row r="34" spans="1:22" ht="9" customHeight="1">
      <c r="A34" s="527" t="s">
        <v>303</v>
      </c>
      <c r="B34" s="531"/>
      <c r="C34" s="833"/>
      <c r="D34" s="833"/>
      <c r="E34" s="833"/>
      <c r="F34" s="833"/>
      <c r="G34" s="833"/>
      <c r="H34" s="833"/>
      <c r="I34" s="471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4"/>
      <c r="D36" s="834"/>
      <c r="E36" s="834"/>
      <c r="F36" s="834"/>
      <c r="G36" s="834"/>
      <c r="H36" s="83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8">
    <tabColor theme="9" tint="0.59999389629810485"/>
  </sheetPr>
  <dimension ref="A2:X36"/>
  <sheetViews>
    <sheetView showGridLines="0" topLeftCell="A2" zoomScaleNormal="100" workbookViewId="0">
      <selection activeCell="R12" sqref="R12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6.796875" style="76" customWidth="1"/>
    <col min="23" max="27" width="8.19921875" style="76" customWidth="1"/>
    <col min="28" max="16384" width="7" style="76"/>
  </cols>
  <sheetData>
    <row r="2" spans="1:24" ht="13.25" customHeight="1">
      <c r="A2" s="210" t="s">
        <v>514</v>
      </c>
      <c r="B2" s="211"/>
    </row>
    <row r="3" spans="1:24" ht="13.25" customHeight="1">
      <c r="A3" s="212" t="s">
        <v>211</v>
      </c>
      <c r="B3" s="212"/>
    </row>
    <row r="4" spans="1:24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4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4" ht="18" customHeight="1">
      <c r="A6" s="1020" t="s">
        <v>93</v>
      </c>
      <c r="B6" s="1020"/>
      <c r="C6" s="632">
        <f>(C8+C9+C10+C11+C12+C13+C14+C15+C16+C17+C18+C19+C20+C21+C22+C23+C24+C25+C26+C27+C28+C29+C30+C31)</f>
        <v>388716</v>
      </c>
      <c r="D6" s="632">
        <f>(D8+D9+D10+D11+D12+D13+D14+D15+D16+D17+D18+D19+D20+D21+D22+D23+D24+D25+D26+D27+D28+D29+D30+D31)</f>
        <v>400609</v>
      </c>
      <c r="E6" s="629">
        <v>452090</v>
      </c>
      <c r="F6" s="629">
        <v>444255</v>
      </c>
      <c r="G6" s="629">
        <v>447983</v>
      </c>
      <c r="H6" s="629">
        <v>403510</v>
      </c>
      <c r="I6" s="629">
        <v>434702</v>
      </c>
      <c r="J6" s="629">
        <v>449117</v>
      </c>
      <c r="K6" s="629">
        <v>415602</v>
      </c>
      <c r="L6" s="629">
        <v>485141</v>
      </c>
      <c r="M6" s="629">
        <v>365636</v>
      </c>
      <c r="N6" s="629">
        <v>374408</v>
      </c>
      <c r="O6" s="629">
        <v>373971</v>
      </c>
      <c r="P6" s="629">
        <v>356929</v>
      </c>
      <c r="Q6" s="629">
        <f t="shared" ref="Q6:V6" si="0">SUM(Q8:Q31)</f>
        <v>340347</v>
      </c>
      <c r="R6" s="629">
        <f t="shared" si="0"/>
        <v>331804.37</v>
      </c>
      <c r="S6" s="629">
        <f t="shared" si="0"/>
        <v>338242.3</v>
      </c>
      <c r="T6" s="629">
        <f t="shared" si="0"/>
        <v>347563.8</v>
      </c>
      <c r="U6" s="629">
        <f t="shared" si="0"/>
        <v>339233.3</v>
      </c>
      <c r="V6" s="629">
        <f t="shared" si="0"/>
        <v>336239</v>
      </c>
    </row>
    <row r="7" spans="1:24" ht="3" customHeight="1">
      <c r="A7" s="77"/>
      <c r="B7" s="78"/>
      <c r="C7" s="213"/>
      <c r="D7" s="21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</row>
    <row r="8" spans="1:24" ht="15" customHeight="1">
      <c r="A8" s="77"/>
      <c r="B8" s="21" t="s">
        <v>19</v>
      </c>
      <c r="C8" s="219">
        <v>0</v>
      </c>
      <c r="D8" s="219">
        <v>0</v>
      </c>
      <c r="E8" s="204" t="s">
        <v>215</v>
      </c>
      <c r="F8" s="204" t="s">
        <v>215</v>
      </c>
      <c r="G8" s="204" t="s">
        <v>215</v>
      </c>
      <c r="H8" s="204" t="s">
        <v>215</v>
      </c>
      <c r="I8" s="204" t="s">
        <v>215</v>
      </c>
      <c r="J8" s="204" t="s">
        <v>215</v>
      </c>
      <c r="K8" s="204" t="s">
        <v>215</v>
      </c>
      <c r="L8" s="204" t="s">
        <v>215</v>
      </c>
      <c r="M8" s="204" t="s">
        <v>215</v>
      </c>
      <c r="N8" s="204" t="s">
        <v>215</v>
      </c>
      <c r="O8" s="204" t="s">
        <v>215</v>
      </c>
      <c r="P8" s="204" t="s">
        <v>215</v>
      </c>
      <c r="Q8" s="204" t="s">
        <v>215</v>
      </c>
      <c r="R8" s="204" t="s">
        <v>215</v>
      </c>
      <c r="S8" s="204" t="s">
        <v>215</v>
      </c>
      <c r="T8" s="204" t="s">
        <v>215</v>
      </c>
      <c r="U8" s="204" t="s">
        <v>215</v>
      </c>
      <c r="V8" s="204" t="s">
        <v>215</v>
      </c>
    </row>
    <row r="9" spans="1:24" ht="15" customHeight="1">
      <c r="A9" s="77"/>
      <c r="B9" s="21" t="s">
        <v>20</v>
      </c>
      <c r="C9" s="219">
        <v>0</v>
      </c>
      <c r="D9" s="219">
        <v>0</v>
      </c>
      <c r="E9" s="204" t="s">
        <v>215</v>
      </c>
      <c r="F9" s="204" t="s">
        <v>215</v>
      </c>
      <c r="G9" s="204" t="s">
        <v>215</v>
      </c>
      <c r="H9" s="204" t="s">
        <v>215</v>
      </c>
      <c r="I9" s="204" t="s">
        <v>215</v>
      </c>
      <c r="J9" s="204" t="s">
        <v>215</v>
      </c>
      <c r="K9" s="204" t="s">
        <v>215</v>
      </c>
      <c r="L9" s="204" t="s">
        <v>215</v>
      </c>
      <c r="M9" s="204" t="s">
        <v>215</v>
      </c>
      <c r="N9" s="204" t="s">
        <v>215</v>
      </c>
      <c r="O9" s="204" t="s">
        <v>215</v>
      </c>
      <c r="P9" s="204" t="s">
        <v>215</v>
      </c>
      <c r="Q9" s="204" t="s">
        <v>215</v>
      </c>
      <c r="R9" s="204" t="s">
        <v>215</v>
      </c>
      <c r="S9" s="204" t="s">
        <v>215</v>
      </c>
      <c r="T9" s="204" t="s">
        <v>215</v>
      </c>
      <c r="U9" s="204" t="s">
        <v>215</v>
      </c>
      <c r="V9" s="204" t="s">
        <v>215</v>
      </c>
      <c r="X9" s="84"/>
    </row>
    <row r="10" spans="1:24" ht="15" customHeight="1">
      <c r="A10" s="77"/>
      <c r="B10" s="21" t="s">
        <v>21</v>
      </c>
      <c r="C10" s="219">
        <v>0</v>
      </c>
      <c r="D10" s="219">
        <v>0</v>
      </c>
      <c r="E10" s="204" t="s">
        <v>215</v>
      </c>
      <c r="F10" s="204" t="s">
        <v>215</v>
      </c>
      <c r="G10" s="204" t="s">
        <v>215</v>
      </c>
      <c r="H10" s="204" t="s">
        <v>215</v>
      </c>
      <c r="I10" s="204" t="s">
        <v>215</v>
      </c>
      <c r="J10" s="204" t="s">
        <v>215</v>
      </c>
      <c r="K10" s="204" t="s">
        <v>215</v>
      </c>
      <c r="L10" s="204" t="s">
        <v>215</v>
      </c>
      <c r="M10" s="204" t="s">
        <v>215</v>
      </c>
      <c r="N10" s="204" t="s">
        <v>215</v>
      </c>
      <c r="O10" s="204" t="s">
        <v>215</v>
      </c>
      <c r="P10" s="204" t="s">
        <v>215</v>
      </c>
      <c r="Q10" s="204" t="s">
        <v>215</v>
      </c>
      <c r="R10" s="204" t="s">
        <v>215</v>
      </c>
      <c r="S10" s="204" t="s">
        <v>215</v>
      </c>
      <c r="T10" s="204" t="s">
        <v>215</v>
      </c>
      <c r="U10" s="204" t="s">
        <v>215</v>
      </c>
      <c r="V10" s="204" t="s">
        <v>215</v>
      </c>
      <c r="X10" s="84"/>
    </row>
    <row r="11" spans="1:24" ht="15" customHeight="1">
      <c r="A11" s="77"/>
      <c r="B11" s="21" t="s">
        <v>22</v>
      </c>
      <c r="C11" s="219">
        <v>0</v>
      </c>
      <c r="D11" s="219">
        <v>0</v>
      </c>
      <c r="E11" s="204" t="s">
        <v>215</v>
      </c>
      <c r="F11" s="204" t="s">
        <v>215</v>
      </c>
      <c r="G11" s="204" t="s">
        <v>215</v>
      </c>
      <c r="H11" s="204" t="s">
        <v>215</v>
      </c>
      <c r="I11" s="204" t="s">
        <v>215</v>
      </c>
      <c r="J11" s="204" t="s">
        <v>215</v>
      </c>
      <c r="K11" s="204" t="s">
        <v>215</v>
      </c>
      <c r="L11" s="204" t="s">
        <v>215</v>
      </c>
      <c r="M11" s="204" t="s">
        <v>215</v>
      </c>
      <c r="N11" s="204" t="s">
        <v>215</v>
      </c>
      <c r="O11" s="204" t="s">
        <v>215</v>
      </c>
      <c r="P11" s="204" t="s">
        <v>215</v>
      </c>
      <c r="Q11" s="204" t="s">
        <v>215</v>
      </c>
      <c r="R11" s="204" t="s">
        <v>215</v>
      </c>
      <c r="S11" s="204" t="s">
        <v>215</v>
      </c>
      <c r="T11" s="204" t="s">
        <v>215</v>
      </c>
      <c r="U11" s="204" t="s">
        <v>215</v>
      </c>
      <c r="V11" s="204" t="s">
        <v>215</v>
      </c>
      <c r="X11" s="84"/>
    </row>
    <row r="12" spans="1:24" ht="15" customHeight="1">
      <c r="A12" s="77"/>
      <c r="B12" s="21" t="s">
        <v>23</v>
      </c>
      <c r="C12" s="219">
        <v>0</v>
      </c>
      <c r="D12" s="219">
        <v>0</v>
      </c>
      <c r="E12" s="204" t="s">
        <v>215</v>
      </c>
      <c r="F12" s="204" t="s">
        <v>215</v>
      </c>
      <c r="G12" s="204" t="s">
        <v>215</v>
      </c>
      <c r="H12" s="204" t="s">
        <v>215</v>
      </c>
      <c r="I12" s="204" t="s">
        <v>215</v>
      </c>
      <c r="J12" s="204" t="s">
        <v>215</v>
      </c>
      <c r="K12" s="204" t="s">
        <v>215</v>
      </c>
      <c r="L12" s="204" t="s">
        <v>215</v>
      </c>
      <c r="M12" s="204" t="s">
        <v>215</v>
      </c>
      <c r="N12" s="204" t="s">
        <v>215</v>
      </c>
      <c r="O12" s="204" t="s">
        <v>215</v>
      </c>
      <c r="P12" s="204" t="s">
        <v>215</v>
      </c>
      <c r="Q12" s="204" t="s">
        <v>215</v>
      </c>
      <c r="R12" s="204" t="s">
        <v>215</v>
      </c>
      <c r="S12" s="204" t="s">
        <v>215</v>
      </c>
      <c r="T12" s="204" t="s">
        <v>215</v>
      </c>
      <c r="U12" s="204" t="s">
        <v>215</v>
      </c>
      <c r="V12" s="204" t="s">
        <v>215</v>
      </c>
      <c r="X12" s="84"/>
    </row>
    <row r="13" spans="1:24" ht="15" customHeight="1">
      <c r="A13" s="77"/>
      <c r="B13" s="21" t="s">
        <v>27</v>
      </c>
      <c r="C13" s="219">
        <v>0</v>
      </c>
      <c r="D13" s="219">
        <v>0</v>
      </c>
      <c r="E13" s="204" t="s">
        <v>215</v>
      </c>
      <c r="F13" s="204" t="s">
        <v>215</v>
      </c>
      <c r="G13" s="204" t="s">
        <v>215</v>
      </c>
      <c r="H13" s="204" t="s">
        <v>215</v>
      </c>
      <c r="I13" s="204" t="s">
        <v>215</v>
      </c>
      <c r="J13" s="204" t="s">
        <v>215</v>
      </c>
      <c r="K13" s="204" t="s">
        <v>215</v>
      </c>
      <c r="L13" s="204" t="s">
        <v>215</v>
      </c>
      <c r="M13" s="204" t="s">
        <v>215</v>
      </c>
      <c r="N13" s="204" t="s">
        <v>215</v>
      </c>
      <c r="O13" s="204" t="s">
        <v>215</v>
      </c>
      <c r="P13" s="204" t="s">
        <v>215</v>
      </c>
      <c r="Q13" s="204" t="s">
        <v>215</v>
      </c>
      <c r="R13" s="204" t="s">
        <v>215</v>
      </c>
      <c r="S13" s="204" t="s">
        <v>215</v>
      </c>
      <c r="T13" s="204" t="s">
        <v>215</v>
      </c>
      <c r="U13" s="204" t="s">
        <v>215</v>
      </c>
      <c r="V13" s="204" t="s">
        <v>215</v>
      </c>
      <c r="X13" s="84"/>
    </row>
    <row r="14" spans="1:24" ht="15" customHeight="1">
      <c r="A14" s="77"/>
      <c r="B14" s="21" t="s">
        <v>28</v>
      </c>
      <c r="C14" s="219">
        <v>0</v>
      </c>
      <c r="D14" s="219">
        <v>0</v>
      </c>
      <c r="E14" s="204" t="s">
        <v>215</v>
      </c>
      <c r="F14" s="204" t="s">
        <v>215</v>
      </c>
      <c r="G14" s="204" t="s">
        <v>215</v>
      </c>
      <c r="H14" s="204" t="s">
        <v>215</v>
      </c>
      <c r="I14" s="204" t="s">
        <v>215</v>
      </c>
      <c r="J14" s="204" t="s">
        <v>215</v>
      </c>
      <c r="K14" s="204" t="s">
        <v>215</v>
      </c>
      <c r="L14" s="204" t="s">
        <v>215</v>
      </c>
      <c r="M14" s="204" t="s">
        <v>215</v>
      </c>
      <c r="N14" s="204" t="s">
        <v>215</v>
      </c>
      <c r="O14" s="204" t="s">
        <v>215</v>
      </c>
      <c r="P14" s="204" t="s">
        <v>215</v>
      </c>
      <c r="Q14" s="204" t="s">
        <v>215</v>
      </c>
      <c r="R14" s="204" t="s">
        <v>215</v>
      </c>
      <c r="S14" s="204" t="s">
        <v>215</v>
      </c>
      <c r="T14" s="204" t="s">
        <v>215</v>
      </c>
      <c r="U14" s="204" t="s">
        <v>215</v>
      </c>
      <c r="V14" s="204" t="s">
        <v>215</v>
      </c>
      <c r="X14" s="84"/>
    </row>
    <row r="15" spans="1:24" ht="15" customHeight="1">
      <c r="A15" s="77"/>
      <c r="B15" s="21" t="s">
        <v>29</v>
      </c>
      <c r="C15" s="219">
        <v>0</v>
      </c>
      <c r="D15" s="219">
        <v>200</v>
      </c>
      <c r="E15" s="204">
        <v>1610</v>
      </c>
      <c r="F15" s="204">
        <v>1690</v>
      </c>
      <c r="G15" s="204">
        <v>1170</v>
      </c>
      <c r="H15" s="204">
        <v>905</v>
      </c>
      <c r="I15" s="204">
        <v>343</v>
      </c>
      <c r="J15" s="204">
        <v>844</v>
      </c>
      <c r="K15" s="204">
        <v>599</v>
      </c>
      <c r="L15" s="204">
        <v>588</v>
      </c>
      <c r="M15" s="204">
        <v>720</v>
      </c>
      <c r="N15" s="204">
        <v>595</v>
      </c>
      <c r="O15" s="204">
        <v>634</v>
      </c>
      <c r="P15" s="204">
        <v>837</v>
      </c>
      <c r="Q15" s="204">
        <v>1325</v>
      </c>
      <c r="R15" s="204">
        <v>1792</v>
      </c>
      <c r="S15" s="204">
        <v>1915</v>
      </c>
      <c r="T15" s="204">
        <v>1633</v>
      </c>
      <c r="U15" s="204">
        <v>1436</v>
      </c>
      <c r="V15" s="204">
        <v>1324</v>
      </c>
      <c r="X15" s="84"/>
    </row>
    <row r="16" spans="1:24" ht="15" customHeight="1">
      <c r="A16" s="77"/>
      <c r="B16" s="21" t="s">
        <v>30</v>
      </c>
      <c r="C16" s="219">
        <v>0</v>
      </c>
      <c r="D16" s="219">
        <v>0</v>
      </c>
      <c r="E16" s="204" t="s">
        <v>215</v>
      </c>
      <c r="F16" s="204" t="s">
        <v>215</v>
      </c>
      <c r="G16" s="204" t="s">
        <v>215</v>
      </c>
      <c r="H16" s="204" t="s">
        <v>215</v>
      </c>
      <c r="I16" s="204" t="s">
        <v>215</v>
      </c>
      <c r="J16" s="204" t="s">
        <v>215</v>
      </c>
      <c r="K16" s="204" t="s">
        <v>215</v>
      </c>
      <c r="L16" s="204" t="s">
        <v>215</v>
      </c>
      <c r="M16" s="204" t="s">
        <v>215</v>
      </c>
      <c r="N16" s="204" t="s">
        <v>215</v>
      </c>
      <c r="O16" s="204" t="s">
        <v>215</v>
      </c>
      <c r="P16" s="204" t="s">
        <v>215</v>
      </c>
      <c r="Q16" s="204" t="s">
        <v>215</v>
      </c>
      <c r="R16" s="204" t="s">
        <v>215</v>
      </c>
      <c r="S16" s="204" t="s">
        <v>215</v>
      </c>
      <c r="T16" s="204" t="s">
        <v>215</v>
      </c>
      <c r="U16" s="204" t="s">
        <v>215</v>
      </c>
      <c r="V16" s="204" t="s">
        <v>215</v>
      </c>
      <c r="X16" s="84"/>
    </row>
    <row r="17" spans="1:24" ht="15" customHeight="1">
      <c r="A17" s="77"/>
      <c r="B17" s="21" t="s">
        <v>31</v>
      </c>
      <c r="C17" s="219">
        <v>0</v>
      </c>
      <c r="D17" s="219">
        <v>0</v>
      </c>
      <c r="E17" s="204" t="s">
        <v>215</v>
      </c>
      <c r="F17" s="204" t="s">
        <v>215</v>
      </c>
      <c r="G17" s="204" t="s">
        <v>215</v>
      </c>
      <c r="H17" s="204" t="s">
        <v>215</v>
      </c>
      <c r="I17" s="204" t="s">
        <v>215</v>
      </c>
      <c r="J17" s="204" t="s">
        <v>215</v>
      </c>
      <c r="K17" s="204" t="s">
        <v>215</v>
      </c>
      <c r="L17" s="204" t="s">
        <v>215</v>
      </c>
      <c r="M17" s="204" t="s">
        <v>215</v>
      </c>
      <c r="N17" s="204" t="s">
        <v>215</v>
      </c>
      <c r="O17" s="204" t="s">
        <v>215</v>
      </c>
      <c r="P17" s="204" t="s">
        <v>215</v>
      </c>
      <c r="Q17" s="204" t="s">
        <v>215</v>
      </c>
      <c r="R17" s="204" t="s">
        <v>215</v>
      </c>
      <c r="S17" s="204" t="s">
        <v>215</v>
      </c>
      <c r="T17" s="204" t="s">
        <v>215</v>
      </c>
      <c r="U17" s="204" t="s">
        <v>215</v>
      </c>
      <c r="V17" s="204" t="s">
        <v>215</v>
      </c>
      <c r="X17" s="84"/>
    </row>
    <row r="18" spans="1:24" ht="15" customHeight="1">
      <c r="A18" s="77"/>
      <c r="B18" s="21" t="s">
        <v>32</v>
      </c>
      <c r="C18" s="219">
        <v>17916</v>
      </c>
      <c r="D18" s="219">
        <v>13460</v>
      </c>
      <c r="E18" s="204">
        <v>12107</v>
      </c>
      <c r="F18" s="204">
        <v>15221</v>
      </c>
      <c r="G18" s="204">
        <v>15365</v>
      </c>
      <c r="H18" s="204">
        <v>5856</v>
      </c>
      <c r="I18" s="204">
        <v>5265</v>
      </c>
      <c r="J18" s="204">
        <v>5276</v>
      </c>
      <c r="K18" s="204">
        <v>8656</v>
      </c>
      <c r="L18" s="204">
        <v>13090</v>
      </c>
      <c r="M18" s="204">
        <v>8960</v>
      </c>
      <c r="N18" s="204">
        <v>6062</v>
      </c>
      <c r="O18" s="204">
        <v>8906</v>
      </c>
      <c r="P18" s="204">
        <v>10955</v>
      </c>
      <c r="Q18" s="204">
        <v>8496</v>
      </c>
      <c r="R18" s="204">
        <v>8195.6</v>
      </c>
      <c r="S18" s="204">
        <v>9553</v>
      </c>
      <c r="T18" s="204">
        <v>8840</v>
      </c>
      <c r="U18" s="204">
        <v>8561</v>
      </c>
      <c r="V18" s="204">
        <v>7826</v>
      </c>
      <c r="X18" s="84"/>
    </row>
    <row r="19" spans="1:24" ht="15" customHeight="1">
      <c r="A19" s="77"/>
      <c r="B19" s="21" t="s">
        <v>33</v>
      </c>
      <c r="C19" s="219">
        <v>17850</v>
      </c>
      <c r="D19" s="219">
        <v>18080</v>
      </c>
      <c r="E19" s="204">
        <v>12500</v>
      </c>
      <c r="F19" s="204">
        <v>17032</v>
      </c>
      <c r="G19" s="204">
        <v>22068</v>
      </c>
      <c r="H19" s="204">
        <v>20841</v>
      </c>
      <c r="I19" s="204">
        <v>22674</v>
      </c>
      <c r="J19" s="204">
        <v>27743</v>
      </c>
      <c r="K19" s="204">
        <v>20143</v>
      </c>
      <c r="L19" s="204">
        <v>25753</v>
      </c>
      <c r="M19" s="204">
        <v>24674</v>
      </c>
      <c r="N19" s="204">
        <v>28350</v>
      </c>
      <c r="O19" s="204">
        <v>27988</v>
      </c>
      <c r="P19" s="204">
        <v>29248</v>
      </c>
      <c r="Q19" s="204">
        <v>33535</v>
      </c>
      <c r="R19" s="204">
        <v>32413</v>
      </c>
      <c r="S19" s="204">
        <v>33204</v>
      </c>
      <c r="T19" s="204">
        <v>36310</v>
      </c>
      <c r="U19" s="204">
        <v>36710</v>
      </c>
      <c r="V19" s="204">
        <v>39048</v>
      </c>
      <c r="X19" s="84"/>
    </row>
    <row r="20" spans="1:24" ht="15" customHeight="1">
      <c r="A20" s="77"/>
      <c r="B20" s="21" t="s">
        <v>34</v>
      </c>
      <c r="C20" s="219">
        <v>15297</v>
      </c>
      <c r="D20" s="219">
        <v>8283</v>
      </c>
      <c r="E20" s="204">
        <v>6866</v>
      </c>
      <c r="F20" s="204">
        <v>2620</v>
      </c>
      <c r="G20" s="204">
        <v>6302</v>
      </c>
      <c r="H20" s="204">
        <v>3733</v>
      </c>
      <c r="I20" s="204">
        <v>2439</v>
      </c>
      <c r="J20" s="204">
        <v>3886</v>
      </c>
      <c r="K20" s="204">
        <v>4674</v>
      </c>
      <c r="L20" s="204">
        <v>4571</v>
      </c>
      <c r="M20" s="204">
        <v>8747</v>
      </c>
      <c r="N20" s="204">
        <v>6607</v>
      </c>
      <c r="O20" s="204">
        <v>20829</v>
      </c>
      <c r="P20" s="204">
        <v>12586</v>
      </c>
      <c r="Q20" s="204">
        <v>7123</v>
      </c>
      <c r="R20" s="204">
        <v>6758.54</v>
      </c>
      <c r="S20" s="204">
        <v>6470.1</v>
      </c>
      <c r="T20" s="204">
        <v>6161.8</v>
      </c>
      <c r="U20" s="204">
        <v>6238</v>
      </c>
      <c r="V20" s="204">
        <v>6057</v>
      </c>
      <c r="X20" s="84"/>
    </row>
    <row r="21" spans="1:24" ht="15" customHeight="1">
      <c r="A21" s="77"/>
      <c r="B21" s="21" t="s">
        <v>35</v>
      </c>
      <c r="C21" s="219">
        <v>26002</v>
      </c>
      <c r="D21" s="219">
        <v>36924</v>
      </c>
      <c r="E21" s="204">
        <v>52223</v>
      </c>
      <c r="F21" s="204">
        <v>45751</v>
      </c>
      <c r="G21" s="204">
        <v>38845</v>
      </c>
      <c r="H21" s="204">
        <v>33428</v>
      </c>
      <c r="I21" s="204">
        <v>32798</v>
      </c>
      <c r="J21" s="204">
        <v>30313</v>
      </c>
      <c r="K21" s="204">
        <v>31756</v>
      </c>
      <c r="L21" s="204">
        <v>53646</v>
      </c>
      <c r="M21" s="204">
        <v>27406</v>
      </c>
      <c r="N21" s="204">
        <v>24133</v>
      </c>
      <c r="O21" s="204">
        <v>21926</v>
      </c>
      <c r="P21" s="204">
        <v>16714</v>
      </c>
      <c r="Q21" s="204">
        <v>17224</v>
      </c>
      <c r="R21" s="204">
        <v>19032</v>
      </c>
      <c r="S21" s="204">
        <v>17580</v>
      </c>
      <c r="T21" s="204">
        <v>18259</v>
      </c>
      <c r="U21" s="204">
        <v>17359</v>
      </c>
      <c r="V21" s="204">
        <v>17755</v>
      </c>
      <c r="X21" s="84"/>
    </row>
    <row r="22" spans="1:24" ht="15" customHeight="1">
      <c r="A22" s="77"/>
      <c r="B22" s="21" t="s">
        <v>36</v>
      </c>
      <c r="C22" s="219">
        <v>3607</v>
      </c>
      <c r="D22" s="219">
        <v>1330</v>
      </c>
      <c r="E22" s="204">
        <v>180</v>
      </c>
      <c r="F22" s="204">
        <v>3870</v>
      </c>
      <c r="G22" s="204">
        <v>3108</v>
      </c>
      <c r="H22" s="204">
        <v>3130</v>
      </c>
      <c r="I22" s="204">
        <v>1498</v>
      </c>
      <c r="J22" s="204">
        <v>6495</v>
      </c>
      <c r="K22" s="204">
        <v>5685</v>
      </c>
      <c r="L22" s="204">
        <v>2163</v>
      </c>
      <c r="M22" s="204">
        <v>3084</v>
      </c>
      <c r="N22" s="204">
        <v>3078</v>
      </c>
      <c r="O22" s="204">
        <v>1290</v>
      </c>
      <c r="P22" s="204">
        <v>2482</v>
      </c>
      <c r="Q22" s="204">
        <v>2596</v>
      </c>
      <c r="R22" s="204">
        <v>2679.5</v>
      </c>
      <c r="S22" s="204">
        <v>3787</v>
      </c>
      <c r="T22" s="204">
        <v>4286</v>
      </c>
      <c r="U22" s="204">
        <v>4091</v>
      </c>
      <c r="V22" s="204">
        <v>4225</v>
      </c>
      <c r="X22" s="84"/>
    </row>
    <row r="23" spans="1:24" ht="15" customHeight="1">
      <c r="A23" s="77"/>
      <c r="B23" s="21" t="s">
        <v>37</v>
      </c>
      <c r="C23" s="219">
        <v>0</v>
      </c>
      <c r="D23" s="219">
        <v>0</v>
      </c>
      <c r="E23" s="204">
        <v>5426</v>
      </c>
      <c r="F23" s="204" t="s">
        <v>215</v>
      </c>
      <c r="G23" s="204">
        <v>160</v>
      </c>
      <c r="H23" s="204" t="s">
        <v>215</v>
      </c>
      <c r="I23" s="204" t="s">
        <v>215</v>
      </c>
      <c r="J23" s="204">
        <v>8400</v>
      </c>
      <c r="K23" s="204">
        <v>5280</v>
      </c>
      <c r="L23" s="204">
        <v>5010</v>
      </c>
      <c r="M23" s="204">
        <v>3027</v>
      </c>
      <c r="N23" s="204">
        <v>3080</v>
      </c>
      <c r="O23" s="204">
        <v>2780</v>
      </c>
      <c r="P23" s="204" t="s">
        <v>215</v>
      </c>
      <c r="Q23" s="204" t="s">
        <v>215</v>
      </c>
      <c r="R23" s="204" t="s">
        <v>215</v>
      </c>
      <c r="S23" s="204" t="s">
        <v>215</v>
      </c>
      <c r="T23" s="204" t="s">
        <v>215</v>
      </c>
      <c r="U23" s="204" t="s">
        <v>215</v>
      </c>
      <c r="V23" s="204" t="s">
        <v>215</v>
      </c>
      <c r="X23" s="84"/>
    </row>
    <row r="24" spans="1:24" ht="15" customHeight="1">
      <c r="A24" s="77"/>
      <c r="B24" s="21" t="s">
        <v>38</v>
      </c>
      <c r="C24" s="219">
        <v>48675</v>
      </c>
      <c r="D24" s="219">
        <v>38154</v>
      </c>
      <c r="E24" s="204">
        <v>41799</v>
      </c>
      <c r="F24" s="204">
        <v>44786</v>
      </c>
      <c r="G24" s="204">
        <v>39394</v>
      </c>
      <c r="H24" s="204">
        <v>28010</v>
      </c>
      <c r="I24" s="204">
        <v>43207</v>
      </c>
      <c r="J24" s="204">
        <v>35828</v>
      </c>
      <c r="K24" s="204">
        <v>36426</v>
      </c>
      <c r="L24" s="204">
        <v>20279</v>
      </c>
      <c r="M24" s="204">
        <v>15614</v>
      </c>
      <c r="N24" s="204">
        <v>13458</v>
      </c>
      <c r="O24" s="204">
        <v>13057</v>
      </c>
      <c r="P24" s="204">
        <v>12552</v>
      </c>
      <c r="Q24" s="204">
        <v>8975</v>
      </c>
      <c r="R24" s="204">
        <v>6623</v>
      </c>
      <c r="S24" s="204">
        <v>6425</v>
      </c>
      <c r="T24" s="204">
        <v>7925</v>
      </c>
      <c r="U24" s="204">
        <v>5795</v>
      </c>
      <c r="V24" s="204">
        <v>5782</v>
      </c>
      <c r="X24" s="84"/>
    </row>
    <row r="25" spans="1:24" ht="15" customHeight="1">
      <c r="A25" s="77"/>
      <c r="B25" s="21" t="s">
        <v>39</v>
      </c>
      <c r="C25" s="219">
        <v>16125</v>
      </c>
      <c r="D25" s="219">
        <v>20636</v>
      </c>
      <c r="E25" s="204">
        <v>22555</v>
      </c>
      <c r="F25" s="204">
        <v>20698</v>
      </c>
      <c r="G25" s="204">
        <v>13830</v>
      </c>
      <c r="H25" s="204">
        <v>17214</v>
      </c>
      <c r="I25" s="204">
        <v>33921</v>
      </c>
      <c r="J25" s="204">
        <v>32014</v>
      </c>
      <c r="K25" s="204">
        <v>29615</v>
      </c>
      <c r="L25" s="204">
        <v>27138</v>
      </c>
      <c r="M25" s="204">
        <v>26058</v>
      </c>
      <c r="N25" s="204">
        <v>24685</v>
      </c>
      <c r="O25" s="204">
        <v>20245</v>
      </c>
      <c r="P25" s="204">
        <v>18050</v>
      </c>
      <c r="Q25" s="204">
        <v>17723</v>
      </c>
      <c r="R25" s="204">
        <v>17930.730000000003</v>
      </c>
      <c r="S25" s="204">
        <v>17583.2</v>
      </c>
      <c r="T25" s="204">
        <v>17489</v>
      </c>
      <c r="U25" s="204">
        <v>17393.3</v>
      </c>
      <c r="V25" s="204">
        <v>16752</v>
      </c>
      <c r="X25" s="84"/>
    </row>
    <row r="26" spans="1:24" ht="15" customHeight="1">
      <c r="A26" s="77"/>
      <c r="B26" s="21" t="s">
        <v>42</v>
      </c>
      <c r="C26" s="219">
        <v>12654</v>
      </c>
      <c r="D26" s="219">
        <v>30502</v>
      </c>
      <c r="E26" s="204">
        <v>59654</v>
      </c>
      <c r="F26" s="204">
        <v>52397</v>
      </c>
      <c r="G26" s="204">
        <v>64641</v>
      </c>
      <c r="H26" s="204">
        <v>46483</v>
      </c>
      <c r="I26" s="204">
        <v>47587</v>
      </c>
      <c r="J26" s="204">
        <v>59798</v>
      </c>
      <c r="K26" s="204">
        <v>28768</v>
      </c>
      <c r="L26" s="204">
        <v>17271</v>
      </c>
      <c r="M26" s="204">
        <v>25545</v>
      </c>
      <c r="N26" s="204">
        <v>19529</v>
      </c>
      <c r="O26" s="204">
        <v>19835</v>
      </c>
      <c r="P26" s="204">
        <v>19545</v>
      </c>
      <c r="Q26" s="204">
        <v>18675</v>
      </c>
      <c r="R26" s="204">
        <v>17410</v>
      </c>
      <c r="S26" s="204">
        <v>19525</v>
      </c>
      <c r="T26" s="204">
        <v>24210</v>
      </c>
      <c r="U26" s="204">
        <v>21660</v>
      </c>
      <c r="V26" s="204">
        <v>18550</v>
      </c>
      <c r="X26" s="84"/>
    </row>
    <row r="27" spans="1:24" ht="15" customHeight="1">
      <c r="A27" s="77"/>
      <c r="B27" s="21" t="s">
        <v>43</v>
      </c>
      <c r="C27" s="219">
        <v>230590</v>
      </c>
      <c r="D27" s="219">
        <v>233040</v>
      </c>
      <c r="E27" s="204">
        <v>237170</v>
      </c>
      <c r="F27" s="204">
        <v>240190</v>
      </c>
      <c r="G27" s="204">
        <v>243100</v>
      </c>
      <c r="H27" s="204">
        <v>243910</v>
      </c>
      <c r="I27" s="204">
        <v>244970</v>
      </c>
      <c r="J27" s="204">
        <v>238520</v>
      </c>
      <c r="K27" s="204">
        <v>244000</v>
      </c>
      <c r="L27" s="204">
        <v>315632</v>
      </c>
      <c r="M27" s="204">
        <v>221801</v>
      </c>
      <c r="N27" s="204">
        <v>244831</v>
      </c>
      <c r="O27" s="204">
        <v>236481</v>
      </c>
      <c r="P27" s="204">
        <v>233960</v>
      </c>
      <c r="Q27" s="204">
        <v>224675</v>
      </c>
      <c r="R27" s="204">
        <v>218970</v>
      </c>
      <c r="S27" s="204">
        <v>222200</v>
      </c>
      <c r="T27" s="204">
        <v>222450</v>
      </c>
      <c r="U27" s="204">
        <v>219990</v>
      </c>
      <c r="V27" s="204">
        <v>218920</v>
      </c>
      <c r="X27" s="84"/>
    </row>
    <row r="28" spans="1:24" ht="15" customHeight="1">
      <c r="A28" s="77"/>
      <c r="B28" s="76" t="s">
        <v>44</v>
      </c>
      <c r="C28" s="219">
        <v>0</v>
      </c>
      <c r="D28" s="219">
        <v>0</v>
      </c>
      <c r="E28" s="204" t="s">
        <v>215</v>
      </c>
      <c r="F28" s="204" t="s">
        <v>215</v>
      </c>
      <c r="G28" s="204" t="s">
        <v>215</v>
      </c>
      <c r="H28" s="204" t="s">
        <v>215</v>
      </c>
      <c r="I28" s="204" t="s">
        <v>215</v>
      </c>
      <c r="J28" s="204" t="s">
        <v>215</v>
      </c>
      <c r="K28" s="204" t="s">
        <v>215</v>
      </c>
      <c r="L28" s="204" t="s">
        <v>215</v>
      </c>
      <c r="M28" s="204" t="s">
        <v>215</v>
      </c>
      <c r="N28" s="204" t="s">
        <v>215</v>
      </c>
      <c r="O28" s="204" t="s">
        <v>215</v>
      </c>
      <c r="P28" s="204" t="s">
        <v>215</v>
      </c>
      <c r="Q28" s="204" t="s">
        <v>215</v>
      </c>
      <c r="R28" s="204" t="s">
        <v>215</v>
      </c>
      <c r="S28" s="204" t="s">
        <v>215</v>
      </c>
      <c r="T28" s="204" t="s">
        <v>215</v>
      </c>
      <c r="U28" s="204" t="s">
        <v>215</v>
      </c>
      <c r="V28" s="204" t="s">
        <v>215</v>
      </c>
      <c r="X28" s="84"/>
    </row>
    <row r="29" spans="1:24" ht="15" customHeight="1">
      <c r="A29" s="77"/>
      <c r="B29" s="21" t="s">
        <v>45</v>
      </c>
      <c r="C29" s="219">
        <v>0</v>
      </c>
      <c r="D29" s="219">
        <v>0</v>
      </c>
      <c r="E29" s="204" t="s">
        <v>215</v>
      </c>
      <c r="F29" s="204" t="s">
        <v>215</v>
      </c>
      <c r="G29" s="204" t="s">
        <v>215</v>
      </c>
      <c r="H29" s="204" t="s">
        <v>215</v>
      </c>
      <c r="I29" s="204" t="s">
        <v>215</v>
      </c>
      <c r="J29" s="204" t="s">
        <v>215</v>
      </c>
      <c r="K29" s="204" t="s">
        <v>215</v>
      </c>
      <c r="L29" s="204" t="s">
        <v>215</v>
      </c>
      <c r="M29" s="204" t="s">
        <v>215</v>
      </c>
      <c r="N29" s="204" t="s">
        <v>215</v>
      </c>
      <c r="O29" s="204" t="s">
        <v>215</v>
      </c>
      <c r="P29" s="204" t="s">
        <v>215</v>
      </c>
      <c r="Q29" s="204" t="s">
        <v>215</v>
      </c>
      <c r="R29" s="204" t="s">
        <v>215</v>
      </c>
      <c r="S29" s="204" t="s">
        <v>215</v>
      </c>
      <c r="T29" s="204" t="s">
        <v>215</v>
      </c>
      <c r="U29" s="204" t="s">
        <v>215</v>
      </c>
      <c r="V29" s="204" t="s">
        <v>215</v>
      </c>
      <c r="X29" s="84"/>
    </row>
    <row r="30" spans="1:24" ht="15" customHeight="1">
      <c r="A30" s="77"/>
      <c r="B30" s="21" t="s">
        <v>46</v>
      </c>
      <c r="C30" s="219">
        <v>0</v>
      </c>
      <c r="D30" s="219">
        <v>0</v>
      </c>
      <c r="E30" s="204" t="s">
        <v>215</v>
      </c>
      <c r="F30" s="204" t="s">
        <v>215</v>
      </c>
      <c r="G30" s="204" t="s">
        <v>215</v>
      </c>
      <c r="H30" s="204" t="s">
        <v>215</v>
      </c>
      <c r="I30" s="204" t="s">
        <v>215</v>
      </c>
      <c r="J30" s="204" t="s">
        <v>215</v>
      </c>
      <c r="K30" s="204" t="s">
        <v>215</v>
      </c>
      <c r="L30" s="204" t="s">
        <v>215</v>
      </c>
      <c r="M30" s="204" t="s">
        <v>215</v>
      </c>
      <c r="N30" s="204" t="s">
        <v>215</v>
      </c>
      <c r="O30" s="204" t="s">
        <v>215</v>
      </c>
      <c r="P30" s="204" t="s">
        <v>215</v>
      </c>
      <c r="Q30" s="204" t="s">
        <v>215</v>
      </c>
      <c r="R30" s="204" t="s">
        <v>215</v>
      </c>
      <c r="S30" s="204" t="s">
        <v>215</v>
      </c>
      <c r="T30" s="204" t="s">
        <v>215</v>
      </c>
      <c r="U30" s="204" t="s">
        <v>215</v>
      </c>
      <c r="V30" s="204" t="s">
        <v>215</v>
      </c>
      <c r="X30" s="84"/>
    </row>
    <row r="31" spans="1:24" ht="15" customHeight="1" thickBot="1">
      <c r="A31" s="82"/>
      <c r="B31" s="434" t="s">
        <v>47</v>
      </c>
      <c r="C31" s="437">
        <v>0</v>
      </c>
      <c r="D31" s="437">
        <v>0</v>
      </c>
      <c r="E31" s="439" t="s">
        <v>215</v>
      </c>
      <c r="F31" s="439" t="s">
        <v>215</v>
      </c>
      <c r="G31" s="439" t="s">
        <v>215</v>
      </c>
      <c r="H31" s="439" t="s">
        <v>215</v>
      </c>
      <c r="I31" s="439" t="s">
        <v>215</v>
      </c>
      <c r="J31" s="439" t="s">
        <v>215</v>
      </c>
      <c r="K31" s="439" t="s">
        <v>215</v>
      </c>
      <c r="L31" s="439" t="s">
        <v>215</v>
      </c>
      <c r="M31" s="439" t="s">
        <v>215</v>
      </c>
      <c r="N31" s="439" t="s">
        <v>215</v>
      </c>
      <c r="O31" s="439" t="s">
        <v>215</v>
      </c>
      <c r="P31" s="439" t="s">
        <v>215</v>
      </c>
      <c r="Q31" s="439" t="s">
        <v>215</v>
      </c>
      <c r="R31" s="439" t="s">
        <v>215</v>
      </c>
      <c r="S31" s="439" t="s">
        <v>215</v>
      </c>
      <c r="T31" s="439" t="s">
        <v>215</v>
      </c>
      <c r="U31" s="439" t="s">
        <v>215</v>
      </c>
      <c r="V31" s="439" t="s">
        <v>215</v>
      </c>
      <c r="X31" s="84"/>
    </row>
    <row r="32" spans="1:24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6"/>
      <c r="Q33" s="206"/>
      <c r="R33" s="206"/>
      <c r="S33" s="206"/>
      <c r="T33" s="206"/>
      <c r="U33" s="206"/>
      <c r="V33" s="206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9">
    <tabColor theme="9" tint="0.59999389629810485"/>
  </sheetPr>
  <dimension ref="A2:Y36"/>
  <sheetViews>
    <sheetView showGridLines="0" zoomScaleNormal="100" workbookViewId="0">
      <selection activeCell="M28" sqref="M28"/>
    </sheetView>
  </sheetViews>
  <sheetFormatPr baseColWidth="10" defaultColWidth="7" defaultRowHeight="13.25" customHeight="1"/>
  <cols>
    <col min="1" max="1" width="1.19921875" style="76" customWidth="1"/>
    <col min="2" max="2" width="9.59765625" style="76" customWidth="1"/>
    <col min="3" max="4" width="8" style="76" hidden="1" customWidth="1"/>
    <col min="5" max="22" width="6.3984375" style="76" customWidth="1"/>
    <col min="23" max="26" width="8.19921875" style="76" customWidth="1"/>
    <col min="27" max="16384" width="7" style="76"/>
  </cols>
  <sheetData>
    <row r="2" spans="1:25" ht="13.25" customHeight="1">
      <c r="A2" s="210" t="s">
        <v>515</v>
      </c>
      <c r="B2" s="211"/>
    </row>
    <row r="3" spans="1:25" ht="13.25" customHeight="1">
      <c r="A3" s="212" t="s">
        <v>210</v>
      </c>
      <c r="B3" s="212"/>
    </row>
    <row r="4" spans="1:25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5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5" ht="18" customHeight="1">
      <c r="A6" s="1020" t="s">
        <v>93</v>
      </c>
      <c r="B6" s="1020"/>
      <c r="C6" s="634">
        <f>(C8+C9+C10+C11+C12+C13+C14+C15+C16+C17+C18+C19+C20+C21+C22+C23+C24+C25+C26+C27+C28+C29+C30+C31)</f>
        <v>604</v>
      </c>
      <c r="D6" s="634">
        <f>(D8+D9+D10+D11+D12+D13+D14+D15+D16+D17+D18+D19+D20+D21+D22+D23+D24+D25+D26+D27+D28+D29+D30+D31)</f>
        <v>623</v>
      </c>
      <c r="E6" s="632">
        <v>740</v>
      </c>
      <c r="F6" s="632">
        <v>704</v>
      </c>
      <c r="G6" s="632">
        <v>696</v>
      </c>
      <c r="H6" s="632">
        <v>632</v>
      </c>
      <c r="I6" s="632">
        <v>677</v>
      </c>
      <c r="J6" s="632">
        <v>745</v>
      </c>
      <c r="K6" s="632">
        <v>726</v>
      </c>
      <c r="L6" s="632">
        <v>745</v>
      </c>
      <c r="M6" s="632">
        <v>656</v>
      </c>
      <c r="N6" s="632">
        <v>670</v>
      </c>
      <c r="O6" s="632">
        <v>681</v>
      </c>
      <c r="P6" s="632">
        <v>660</v>
      </c>
      <c r="Q6" s="632">
        <f t="shared" ref="Q6:V6" si="0">SUM(Q8:Q31)</f>
        <v>656</v>
      </c>
      <c r="R6" s="632">
        <f t="shared" si="0"/>
        <v>664.6</v>
      </c>
      <c r="S6" s="632">
        <f t="shared" si="0"/>
        <v>672.8</v>
      </c>
      <c r="T6" s="632">
        <f t="shared" si="0"/>
        <v>695.9</v>
      </c>
      <c r="U6" s="632">
        <f t="shared" si="0"/>
        <v>699.24636310000005</v>
      </c>
      <c r="V6" s="632">
        <f t="shared" si="0"/>
        <v>712.41002360000005</v>
      </c>
    </row>
    <row r="7" spans="1:25" ht="3" customHeight="1">
      <c r="A7" s="77"/>
      <c r="B7" s="78"/>
      <c r="C7" s="221"/>
      <c r="D7" s="221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</row>
    <row r="8" spans="1:25" ht="15" customHeight="1">
      <c r="A8" s="77"/>
      <c r="B8" s="21" t="s">
        <v>19</v>
      </c>
      <c r="C8" s="222">
        <v>0</v>
      </c>
      <c r="D8" s="222">
        <v>0</v>
      </c>
      <c r="E8" s="219" t="s">
        <v>428</v>
      </c>
      <c r="F8" s="219" t="s">
        <v>428</v>
      </c>
      <c r="G8" s="219" t="s">
        <v>428</v>
      </c>
      <c r="H8" s="219" t="s">
        <v>428</v>
      </c>
      <c r="I8" s="219" t="s">
        <v>428</v>
      </c>
      <c r="J8" s="219" t="s">
        <v>428</v>
      </c>
      <c r="K8" s="219" t="s">
        <v>428</v>
      </c>
      <c r="L8" s="219" t="s">
        <v>428</v>
      </c>
      <c r="M8" s="219" t="s">
        <v>428</v>
      </c>
      <c r="N8" s="219" t="s">
        <v>428</v>
      </c>
      <c r="O8" s="219" t="s">
        <v>428</v>
      </c>
      <c r="P8" s="219" t="s">
        <v>428</v>
      </c>
      <c r="Q8" s="219" t="s">
        <v>428</v>
      </c>
      <c r="R8" s="219" t="s">
        <v>428</v>
      </c>
      <c r="S8" s="219" t="s">
        <v>428</v>
      </c>
      <c r="T8" s="219" t="s">
        <v>428</v>
      </c>
      <c r="U8" s="219" t="s">
        <v>428</v>
      </c>
      <c r="V8" s="219" t="s">
        <v>428</v>
      </c>
      <c r="X8" s="84"/>
    </row>
    <row r="9" spans="1:25" ht="15" customHeight="1">
      <c r="A9" s="77"/>
      <c r="B9" s="21" t="s">
        <v>20</v>
      </c>
      <c r="C9" s="222">
        <v>0</v>
      </c>
      <c r="D9" s="222">
        <v>0</v>
      </c>
      <c r="E9" s="219" t="s">
        <v>428</v>
      </c>
      <c r="F9" s="219" t="s">
        <v>428</v>
      </c>
      <c r="G9" s="219" t="s">
        <v>428</v>
      </c>
      <c r="H9" s="219" t="s">
        <v>428</v>
      </c>
      <c r="I9" s="219" t="s">
        <v>428</v>
      </c>
      <c r="J9" s="219" t="s">
        <v>428</v>
      </c>
      <c r="K9" s="219" t="s">
        <v>428</v>
      </c>
      <c r="L9" s="219" t="s">
        <v>428</v>
      </c>
      <c r="M9" s="219" t="s">
        <v>428</v>
      </c>
      <c r="N9" s="219" t="s">
        <v>428</v>
      </c>
      <c r="O9" s="219" t="s">
        <v>428</v>
      </c>
      <c r="P9" s="219" t="s">
        <v>428</v>
      </c>
      <c r="Q9" s="219" t="s">
        <v>428</v>
      </c>
      <c r="R9" s="219" t="s">
        <v>428</v>
      </c>
      <c r="S9" s="219" t="s">
        <v>428</v>
      </c>
      <c r="T9" s="219" t="s">
        <v>428</v>
      </c>
      <c r="U9" s="219" t="s">
        <v>428</v>
      </c>
      <c r="V9" s="219" t="s">
        <v>428</v>
      </c>
      <c r="X9" s="84"/>
    </row>
    <row r="10" spans="1:25" ht="15" customHeight="1">
      <c r="A10" s="77"/>
      <c r="B10" s="21" t="s">
        <v>21</v>
      </c>
      <c r="C10" s="222">
        <v>0</v>
      </c>
      <c r="D10" s="222">
        <v>0</v>
      </c>
      <c r="E10" s="219" t="s">
        <v>428</v>
      </c>
      <c r="F10" s="219" t="s">
        <v>428</v>
      </c>
      <c r="G10" s="219" t="s">
        <v>428</v>
      </c>
      <c r="H10" s="219" t="s">
        <v>428</v>
      </c>
      <c r="I10" s="219" t="s">
        <v>428</v>
      </c>
      <c r="J10" s="219" t="s">
        <v>428</v>
      </c>
      <c r="K10" s="219" t="s">
        <v>428</v>
      </c>
      <c r="L10" s="219" t="s">
        <v>428</v>
      </c>
      <c r="M10" s="219" t="s">
        <v>428</v>
      </c>
      <c r="N10" s="219" t="s">
        <v>428</v>
      </c>
      <c r="O10" s="219" t="s">
        <v>428</v>
      </c>
      <c r="P10" s="219" t="s">
        <v>428</v>
      </c>
      <c r="Q10" s="219" t="s">
        <v>428</v>
      </c>
      <c r="R10" s="219" t="s">
        <v>428</v>
      </c>
      <c r="S10" s="219" t="s">
        <v>428</v>
      </c>
      <c r="T10" s="219" t="s">
        <v>428</v>
      </c>
      <c r="U10" s="219" t="s">
        <v>428</v>
      </c>
      <c r="V10" s="219" t="s">
        <v>428</v>
      </c>
      <c r="X10" s="84"/>
    </row>
    <row r="11" spans="1:25" ht="15" customHeight="1">
      <c r="A11" s="77"/>
      <c r="B11" s="21" t="s">
        <v>22</v>
      </c>
      <c r="C11" s="222">
        <v>0</v>
      </c>
      <c r="D11" s="222">
        <v>0</v>
      </c>
      <c r="E11" s="219" t="s">
        <v>428</v>
      </c>
      <c r="F11" s="219" t="s">
        <v>428</v>
      </c>
      <c r="G11" s="219" t="s">
        <v>428</v>
      </c>
      <c r="H11" s="219" t="s">
        <v>428</v>
      </c>
      <c r="I11" s="219" t="s">
        <v>428</v>
      </c>
      <c r="J11" s="219" t="s">
        <v>428</v>
      </c>
      <c r="K11" s="219" t="s">
        <v>428</v>
      </c>
      <c r="L11" s="219" t="s">
        <v>428</v>
      </c>
      <c r="M11" s="219" t="s">
        <v>428</v>
      </c>
      <c r="N11" s="219" t="s">
        <v>428</v>
      </c>
      <c r="O11" s="219" t="s">
        <v>428</v>
      </c>
      <c r="P11" s="219" t="s">
        <v>428</v>
      </c>
      <c r="Q11" s="219" t="s">
        <v>428</v>
      </c>
      <c r="R11" s="219" t="s">
        <v>428</v>
      </c>
      <c r="S11" s="219" t="s">
        <v>428</v>
      </c>
      <c r="T11" s="219" t="s">
        <v>428</v>
      </c>
      <c r="U11" s="219" t="s">
        <v>428</v>
      </c>
      <c r="V11" s="219" t="s">
        <v>428</v>
      </c>
      <c r="X11" s="84"/>
    </row>
    <row r="12" spans="1:25" ht="15" customHeight="1">
      <c r="A12" s="77"/>
      <c r="B12" s="21" t="s">
        <v>23</v>
      </c>
      <c r="C12" s="222">
        <v>0</v>
      </c>
      <c r="D12" s="222">
        <v>0</v>
      </c>
      <c r="E12" s="219" t="s">
        <v>428</v>
      </c>
      <c r="F12" s="219" t="s">
        <v>428</v>
      </c>
      <c r="G12" s="219" t="s">
        <v>428</v>
      </c>
      <c r="H12" s="219" t="s">
        <v>428</v>
      </c>
      <c r="I12" s="219" t="s">
        <v>428</v>
      </c>
      <c r="J12" s="219" t="s">
        <v>428</v>
      </c>
      <c r="K12" s="219" t="s">
        <v>428</v>
      </c>
      <c r="L12" s="219" t="s">
        <v>428</v>
      </c>
      <c r="M12" s="219" t="s">
        <v>428</v>
      </c>
      <c r="N12" s="219" t="s">
        <v>428</v>
      </c>
      <c r="O12" s="219" t="s">
        <v>428</v>
      </c>
      <c r="P12" s="219" t="s">
        <v>428</v>
      </c>
      <c r="Q12" s="219" t="s">
        <v>428</v>
      </c>
      <c r="R12" s="219" t="s">
        <v>428</v>
      </c>
      <c r="S12" s="219" t="s">
        <v>428</v>
      </c>
      <c r="T12" s="219" t="s">
        <v>428</v>
      </c>
      <c r="U12" s="219" t="s">
        <v>428</v>
      </c>
      <c r="V12" s="219" t="s">
        <v>428</v>
      </c>
      <c r="X12" s="84"/>
    </row>
    <row r="13" spans="1:25" ht="15" customHeight="1">
      <c r="A13" s="77"/>
      <c r="B13" s="21" t="s">
        <v>27</v>
      </c>
      <c r="C13" s="222">
        <v>0</v>
      </c>
      <c r="D13" s="222">
        <v>0</v>
      </c>
      <c r="E13" s="219" t="s">
        <v>428</v>
      </c>
      <c r="F13" s="219" t="s">
        <v>428</v>
      </c>
      <c r="G13" s="219" t="s">
        <v>428</v>
      </c>
      <c r="H13" s="219" t="s">
        <v>428</v>
      </c>
      <c r="I13" s="219" t="s">
        <v>428</v>
      </c>
      <c r="J13" s="219" t="s">
        <v>428</v>
      </c>
      <c r="K13" s="219" t="s">
        <v>428</v>
      </c>
      <c r="L13" s="219" t="s">
        <v>428</v>
      </c>
      <c r="M13" s="219" t="s">
        <v>428</v>
      </c>
      <c r="N13" s="219" t="s">
        <v>428</v>
      </c>
      <c r="O13" s="219" t="s">
        <v>428</v>
      </c>
      <c r="P13" s="219" t="s">
        <v>428</v>
      </c>
      <c r="Q13" s="219" t="s">
        <v>428</v>
      </c>
      <c r="R13" s="219" t="s">
        <v>428</v>
      </c>
      <c r="S13" s="219" t="s">
        <v>428</v>
      </c>
      <c r="T13" s="219" t="s">
        <v>428</v>
      </c>
      <c r="U13" s="219" t="s">
        <v>428</v>
      </c>
      <c r="V13" s="219" t="s">
        <v>428</v>
      </c>
      <c r="X13" s="84"/>
    </row>
    <row r="14" spans="1:25" ht="15" customHeight="1">
      <c r="A14" s="77"/>
      <c r="B14" s="21" t="s">
        <v>28</v>
      </c>
      <c r="C14" s="222">
        <v>0</v>
      </c>
      <c r="D14" s="222">
        <v>0</v>
      </c>
      <c r="E14" s="219" t="s">
        <v>428</v>
      </c>
      <c r="F14" s="219" t="s">
        <v>428</v>
      </c>
      <c r="G14" s="219" t="s">
        <v>428</v>
      </c>
      <c r="H14" s="219" t="s">
        <v>428</v>
      </c>
      <c r="I14" s="219" t="s">
        <v>428</v>
      </c>
      <c r="J14" s="219" t="s">
        <v>428</v>
      </c>
      <c r="K14" s="219" t="s">
        <v>428</v>
      </c>
      <c r="L14" s="219" t="s">
        <v>428</v>
      </c>
      <c r="M14" s="219" t="s">
        <v>428</v>
      </c>
      <c r="N14" s="219" t="s">
        <v>428</v>
      </c>
      <c r="O14" s="219" t="s">
        <v>428</v>
      </c>
      <c r="P14" s="219" t="s">
        <v>428</v>
      </c>
      <c r="Q14" s="219" t="s">
        <v>428</v>
      </c>
      <c r="R14" s="219" t="s">
        <v>428</v>
      </c>
      <c r="S14" s="219" t="s">
        <v>428</v>
      </c>
      <c r="T14" s="219" t="s">
        <v>428</v>
      </c>
      <c r="U14" s="219" t="s">
        <v>428</v>
      </c>
      <c r="V14" s="219" t="s">
        <v>428</v>
      </c>
      <c r="X14" s="84"/>
    </row>
    <row r="15" spans="1:25" ht="15" customHeight="1">
      <c r="A15" s="77"/>
      <c r="B15" s="21" t="s">
        <v>29</v>
      </c>
      <c r="C15" s="222">
        <v>0</v>
      </c>
      <c r="D15" s="222">
        <v>0</v>
      </c>
      <c r="E15" s="219">
        <v>3</v>
      </c>
      <c r="F15" s="219">
        <v>3</v>
      </c>
      <c r="G15" s="219">
        <v>2</v>
      </c>
      <c r="H15" s="219">
        <v>2</v>
      </c>
      <c r="I15" s="219">
        <v>1</v>
      </c>
      <c r="J15" s="219">
        <v>1</v>
      </c>
      <c r="K15" s="219">
        <v>1</v>
      </c>
      <c r="L15" s="219">
        <v>1</v>
      </c>
      <c r="M15" s="219">
        <v>1</v>
      </c>
      <c r="N15" s="219">
        <v>1</v>
      </c>
      <c r="O15" s="219">
        <v>1</v>
      </c>
      <c r="P15" s="219">
        <v>1</v>
      </c>
      <c r="Q15" s="219">
        <v>2</v>
      </c>
      <c r="R15" s="219">
        <v>2.4</v>
      </c>
      <c r="S15" s="219">
        <v>2.5</v>
      </c>
      <c r="T15" s="219">
        <v>2.2999999999999998</v>
      </c>
      <c r="U15" s="219">
        <v>2.2394880000000001</v>
      </c>
      <c r="V15" s="219">
        <v>2.0703816000000002</v>
      </c>
      <c r="W15" s="564"/>
      <c r="X15" s="564"/>
      <c r="Y15" s="564"/>
    </row>
    <row r="16" spans="1:25" ht="15" customHeight="1">
      <c r="A16" s="77"/>
      <c r="B16" s="21" t="s">
        <v>30</v>
      </c>
      <c r="C16" s="222">
        <v>0</v>
      </c>
      <c r="D16" s="222">
        <v>0</v>
      </c>
      <c r="E16" s="219" t="s">
        <v>428</v>
      </c>
      <c r="F16" s="219" t="s">
        <v>428</v>
      </c>
      <c r="G16" s="219" t="s">
        <v>428</v>
      </c>
      <c r="H16" s="219" t="s">
        <v>428</v>
      </c>
      <c r="I16" s="219" t="s">
        <v>428</v>
      </c>
      <c r="J16" s="219" t="s">
        <v>428</v>
      </c>
      <c r="K16" s="219" t="s">
        <v>428</v>
      </c>
      <c r="L16" s="219" t="s">
        <v>428</v>
      </c>
      <c r="M16" s="219" t="s">
        <v>428</v>
      </c>
      <c r="N16" s="219" t="s">
        <v>428</v>
      </c>
      <c r="O16" s="219" t="s">
        <v>428</v>
      </c>
      <c r="P16" s="219"/>
      <c r="Q16" s="219" t="s">
        <v>428</v>
      </c>
      <c r="R16" s="219" t="s">
        <v>428</v>
      </c>
      <c r="S16" s="219" t="s">
        <v>428</v>
      </c>
      <c r="T16" s="219" t="s">
        <v>428</v>
      </c>
      <c r="U16" s="219" t="s">
        <v>428</v>
      </c>
      <c r="V16" s="219" t="s">
        <v>428</v>
      </c>
      <c r="X16" s="84"/>
    </row>
    <row r="17" spans="1:25" ht="15" customHeight="1">
      <c r="A17" s="77"/>
      <c r="B17" s="21" t="s">
        <v>31</v>
      </c>
      <c r="C17" s="222">
        <v>0</v>
      </c>
      <c r="D17" s="222">
        <v>0</v>
      </c>
      <c r="E17" s="219" t="s">
        <v>428</v>
      </c>
      <c r="F17" s="219" t="s">
        <v>428</v>
      </c>
      <c r="G17" s="219" t="s">
        <v>428</v>
      </c>
      <c r="H17" s="219" t="s">
        <v>428</v>
      </c>
      <c r="I17" s="219" t="s">
        <v>428</v>
      </c>
      <c r="J17" s="219" t="s">
        <v>428</v>
      </c>
      <c r="K17" s="219" t="s">
        <v>428</v>
      </c>
      <c r="L17" s="219" t="s">
        <v>428</v>
      </c>
      <c r="M17" s="219" t="s">
        <v>428</v>
      </c>
      <c r="N17" s="219" t="s">
        <v>428</v>
      </c>
      <c r="O17" s="219" t="s">
        <v>428</v>
      </c>
      <c r="P17" s="219"/>
      <c r="Q17" s="219" t="s">
        <v>428</v>
      </c>
      <c r="R17" s="219" t="s">
        <v>428</v>
      </c>
      <c r="S17" s="219" t="s">
        <v>428</v>
      </c>
      <c r="T17" s="219" t="s">
        <v>428</v>
      </c>
      <c r="U17" s="219" t="s">
        <v>428</v>
      </c>
      <c r="V17" s="219" t="s">
        <v>428</v>
      </c>
      <c r="X17" s="84"/>
    </row>
    <row r="18" spans="1:25" ht="15" customHeight="1">
      <c r="A18" s="77"/>
      <c r="B18" s="21" t="s">
        <v>32</v>
      </c>
      <c r="C18" s="222">
        <v>24</v>
      </c>
      <c r="D18" s="222">
        <v>37</v>
      </c>
      <c r="E18" s="219">
        <v>29</v>
      </c>
      <c r="F18" s="219">
        <v>28</v>
      </c>
      <c r="G18" s="219">
        <v>26</v>
      </c>
      <c r="H18" s="219">
        <v>12</v>
      </c>
      <c r="I18" s="219">
        <v>13</v>
      </c>
      <c r="J18" s="219">
        <v>9</v>
      </c>
      <c r="K18" s="219">
        <v>14</v>
      </c>
      <c r="L18" s="219">
        <v>22</v>
      </c>
      <c r="M18" s="219">
        <v>14</v>
      </c>
      <c r="N18" s="219">
        <v>9</v>
      </c>
      <c r="O18" s="219">
        <v>12</v>
      </c>
      <c r="P18" s="219">
        <v>16</v>
      </c>
      <c r="Q18" s="219">
        <v>12</v>
      </c>
      <c r="R18" s="219">
        <v>12.1</v>
      </c>
      <c r="S18" s="219">
        <v>15.8</v>
      </c>
      <c r="T18" s="219">
        <v>15.2</v>
      </c>
      <c r="U18" s="219">
        <v>14.4618324</v>
      </c>
      <c r="V18" s="219">
        <v>17.417290000000001</v>
      </c>
      <c r="W18" s="564"/>
      <c r="X18" s="564"/>
      <c r="Y18" s="564"/>
    </row>
    <row r="19" spans="1:25" ht="15" customHeight="1">
      <c r="A19" s="77"/>
      <c r="B19" s="21" t="s">
        <v>33</v>
      </c>
      <c r="C19" s="222">
        <v>32</v>
      </c>
      <c r="D19" s="222">
        <v>34</v>
      </c>
      <c r="E19" s="219">
        <v>26</v>
      </c>
      <c r="F19" s="219">
        <v>37</v>
      </c>
      <c r="G19" s="219">
        <v>47</v>
      </c>
      <c r="H19" s="219">
        <v>40</v>
      </c>
      <c r="I19" s="219">
        <v>45</v>
      </c>
      <c r="J19" s="219">
        <v>58</v>
      </c>
      <c r="K19" s="219">
        <v>41</v>
      </c>
      <c r="L19" s="219">
        <v>52</v>
      </c>
      <c r="M19" s="219">
        <v>51</v>
      </c>
      <c r="N19" s="219">
        <v>57</v>
      </c>
      <c r="O19" s="219">
        <v>63</v>
      </c>
      <c r="P19" s="219">
        <v>66</v>
      </c>
      <c r="Q19" s="219">
        <v>77</v>
      </c>
      <c r="R19" s="219">
        <v>77.599999999999994</v>
      </c>
      <c r="S19" s="219">
        <v>79.400000000000006</v>
      </c>
      <c r="T19" s="219">
        <v>84.8</v>
      </c>
      <c r="U19" s="219">
        <v>98.025228000000013</v>
      </c>
      <c r="V19" s="219">
        <v>109.39471200000001</v>
      </c>
      <c r="W19" s="564"/>
      <c r="X19" s="564"/>
      <c r="Y19" s="564"/>
    </row>
    <row r="20" spans="1:25" ht="15" customHeight="1">
      <c r="A20" s="77"/>
      <c r="B20" s="21" t="s">
        <v>34</v>
      </c>
      <c r="C20" s="222">
        <v>46</v>
      </c>
      <c r="D20" s="222">
        <v>13</v>
      </c>
      <c r="E20" s="219">
        <v>12</v>
      </c>
      <c r="F20" s="219">
        <v>5</v>
      </c>
      <c r="G20" s="219">
        <v>10</v>
      </c>
      <c r="H20" s="219">
        <v>8</v>
      </c>
      <c r="I20" s="219">
        <v>6</v>
      </c>
      <c r="J20" s="219">
        <v>10</v>
      </c>
      <c r="K20" s="219">
        <v>11</v>
      </c>
      <c r="L20" s="219">
        <v>8</v>
      </c>
      <c r="M20" s="219">
        <v>13</v>
      </c>
      <c r="N20" s="219">
        <v>8</v>
      </c>
      <c r="O20" s="219">
        <v>38</v>
      </c>
      <c r="P20" s="219">
        <v>23</v>
      </c>
      <c r="Q20" s="219">
        <v>13</v>
      </c>
      <c r="R20" s="219">
        <v>12.6</v>
      </c>
      <c r="S20" s="219">
        <v>12.2</v>
      </c>
      <c r="T20" s="219">
        <v>11.6</v>
      </c>
      <c r="U20" s="219">
        <v>11.534054000000001</v>
      </c>
      <c r="V20" s="219">
        <v>11.11857</v>
      </c>
      <c r="W20" s="564"/>
      <c r="X20" s="564"/>
      <c r="Y20" s="564"/>
    </row>
    <row r="21" spans="1:25" ht="15" customHeight="1">
      <c r="A21" s="77"/>
      <c r="B21" s="21" t="s">
        <v>35</v>
      </c>
      <c r="C21" s="222">
        <v>52</v>
      </c>
      <c r="D21" s="222">
        <v>74</v>
      </c>
      <c r="E21" s="219">
        <v>119</v>
      </c>
      <c r="F21" s="219">
        <v>95</v>
      </c>
      <c r="G21" s="219">
        <v>80</v>
      </c>
      <c r="H21" s="219">
        <v>69</v>
      </c>
      <c r="I21" s="219">
        <v>66</v>
      </c>
      <c r="J21" s="219">
        <v>63</v>
      </c>
      <c r="K21" s="219">
        <v>66</v>
      </c>
      <c r="L21" s="219">
        <v>113</v>
      </c>
      <c r="M21" s="219">
        <v>58</v>
      </c>
      <c r="N21" s="219">
        <v>51</v>
      </c>
      <c r="O21" s="219">
        <v>46</v>
      </c>
      <c r="P21" s="219">
        <v>38</v>
      </c>
      <c r="Q21" s="219">
        <v>37</v>
      </c>
      <c r="R21" s="219">
        <v>41.5</v>
      </c>
      <c r="S21" s="219">
        <v>38.299999999999997</v>
      </c>
      <c r="T21" s="219">
        <v>38.700000000000003</v>
      </c>
      <c r="U21" s="219">
        <v>36.756820000000005</v>
      </c>
      <c r="V21" s="219">
        <v>37.665970000000002</v>
      </c>
      <c r="W21" s="564"/>
      <c r="X21" s="564"/>
      <c r="Y21" s="564"/>
    </row>
    <row r="22" spans="1:25" ht="15" customHeight="1">
      <c r="A22" s="77"/>
      <c r="B22" s="21" t="s">
        <v>36</v>
      </c>
      <c r="C22" s="222">
        <v>8</v>
      </c>
      <c r="D22" s="222">
        <v>3</v>
      </c>
      <c r="E22" s="219">
        <v>0</v>
      </c>
      <c r="F22" s="219">
        <v>11</v>
      </c>
      <c r="G22" s="219">
        <v>8</v>
      </c>
      <c r="H22" s="219">
        <v>7</v>
      </c>
      <c r="I22" s="219">
        <v>2</v>
      </c>
      <c r="J22" s="219">
        <v>8</v>
      </c>
      <c r="K22" s="219">
        <v>11</v>
      </c>
      <c r="L22" s="219">
        <v>5</v>
      </c>
      <c r="M22" s="219">
        <v>7</v>
      </c>
      <c r="N22" s="219">
        <v>7</v>
      </c>
      <c r="O22" s="219">
        <v>3</v>
      </c>
      <c r="P22" s="219">
        <v>6</v>
      </c>
      <c r="Q22" s="219">
        <v>6</v>
      </c>
      <c r="R22" s="219">
        <v>6.1</v>
      </c>
      <c r="S22" s="219">
        <v>7.3</v>
      </c>
      <c r="T22" s="219">
        <v>7.4</v>
      </c>
      <c r="U22" s="219">
        <v>7.8928367000000001</v>
      </c>
      <c r="V22" s="219">
        <v>8.1539999999999999</v>
      </c>
      <c r="W22" s="564"/>
      <c r="X22" s="564"/>
      <c r="Y22" s="564"/>
    </row>
    <row r="23" spans="1:25" ht="15" customHeight="1">
      <c r="A23" s="77"/>
      <c r="B23" s="21" t="s">
        <v>37</v>
      </c>
      <c r="C23" s="222">
        <v>0</v>
      </c>
      <c r="D23" s="222">
        <v>0</v>
      </c>
      <c r="E23" s="219">
        <v>11</v>
      </c>
      <c r="F23" s="219" t="s">
        <v>428</v>
      </c>
      <c r="G23" s="219" t="s">
        <v>428</v>
      </c>
      <c r="H23" s="219" t="s">
        <v>428</v>
      </c>
      <c r="I23" s="219" t="s">
        <v>428</v>
      </c>
      <c r="J23" s="219">
        <v>17</v>
      </c>
      <c r="K23" s="219">
        <v>10</v>
      </c>
      <c r="L23" s="219">
        <v>9</v>
      </c>
      <c r="M23" s="219">
        <v>6</v>
      </c>
      <c r="N23" s="219">
        <v>6</v>
      </c>
      <c r="O23" s="219">
        <v>5</v>
      </c>
      <c r="P23" s="219">
        <v>0</v>
      </c>
      <c r="Q23" s="219">
        <v>0</v>
      </c>
      <c r="R23" s="219">
        <v>0</v>
      </c>
      <c r="S23" s="219">
        <v>0</v>
      </c>
      <c r="T23" s="219">
        <v>0</v>
      </c>
      <c r="U23" s="219">
        <v>0</v>
      </c>
      <c r="V23" s="219">
        <v>0</v>
      </c>
      <c r="W23" s="564"/>
      <c r="X23" s="564"/>
      <c r="Y23" s="564"/>
    </row>
    <row r="24" spans="1:25" ht="15" customHeight="1">
      <c r="A24" s="77"/>
      <c r="B24" s="21" t="s">
        <v>38</v>
      </c>
      <c r="C24" s="222">
        <v>77</v>
      </c>
      <c r="D24" s="222">
        <v>59</v>
      </c>
      <c r="E24" s="219">
        <v>63</v>
      </c>
      <c r="F24" s="219">
        <v>65</v>
      </c>
      <c r="G24" s="219">
        <v>44</v>
      </c>
      <c r="H24" s="219">
        <v>32</v>
      </c>
      <c r="I24" s="219">
        <v>56</v>
      </c>
      <c r="J24" s="219">
        <v>37</v>
      </c>
      <c r="K24" s="219">
        <v>46</v>
      </c>
      <c r="L24" s="219">
        <v>23</v>
      </c>
      <c r="M24" s="219">
        <v>18</v>
      </c>
      <c r="N24" s="219">
        <v>16</v>
      </c>
      <c r="O24" s="219">
        <v>15</v>
      </c>
      <c r="P24" s="219">
        <v>14</v>
      </c>
      <c r="Q24" s="219">
        <v>10</v>
      </c>
      <c r="R24" s="219">
        <v>8.5</v>
      </c>
      <c r="S24" s="219">
        <v>8.9</v>
      </c>
      <c r="T24" s="219">
        <v>12.3</v>
      </c>
      <c r="U24" s="219">
        <v>9.2830500000000029</v>
      </c>
      <c r="V24" s="219">
        <v>9.3288000000000011</v>
      </c>
      <c r="W24" s="564"/>
      <c r="X24" s="564"/>
      <c r="Y24" s="564"/>
    </row>
    <row r="25" spans="1:25" ht="15" customHeight="1">
      <c r="A25" s="77"/>
      <c r="B25" s="21" t="s">
        <v>39</v>
      </c>
      <c r="C25" s="222">
        <v>33</v>
      </c>
      <c r="D25" s="222">
        <v>38</v>
      </c>
      <c r="E25" s="219">
        <v>40</v>
      </c>
      <c r="F25" s="219">
        <v>39</v>
      </c>
      <c r="G25" s="219">
        <v>23</v>
      </c>
      <c r="H25" s="219">
        <v>27</v>
      </c>
      <c r="I25" s="219">
        <v>53</v>
      </c>
      <c r="J25" s="219">
        <v>63</v>
      </c>
      <c r="K25" s="219">
        <v>54</v>
      </c>
      <c r="L25" s="219">
        <v>50</v>
      </c>
      <c r="M25" s="219">
        <v>50</v>
      </c>
      <c r="N25" s="219">
        <v>46</v>
      </c>
      <c r="O25" s="219">
        <v>37</v>
      </c>
      <c r="P25" s="219">
        <v>32</v>
      </c>
      <c r="Q25" s="219">
        <v>31</v>
      </c>
      <c r="R25" s="219">
        <v>31.5</v>
      </c>
      <c r="S25" s="219">
        <v>30.6</v>
      </c>
      <c r="T25" s="219">
        <v>30.7</v>
      </c>
      <c r="U25" s="219">
        <v>30.614489999999993</v>
      </c>
      <c r="V25" s="219">
        <v>29.648499999999999</v>
      </c>
      <c r="W25" s="564"/>
      <c r="X25" s="564"/>
      <c r="Y25" s="564"/>
    </row>
    <row r="26" spans="1:25" ht="15" customHeight="1">
      <c r="A26" s="77"/>
      <c r="B26" s="21" t="s">
        <v>42</v>
      </c>
      <c r="C26" s="222">
        <v>19</v>
      </c>
      <c r="D26" s="222">
        <v>51</v>
      </c>
      <c r="E26" s="219">
        <v>107</v>
      </c>
      <c r="F26" s="219">
        <v>74</v>
      </c>
      <c r="G26" s="219">
        <v>103</v>
      </c>
      <c r="H26" s="219">
        <v>70</v>
      </c>
      <c r="I26" s="219">
        <v>70</v>
      </c>
      <c r="J26" s="219">
        <v>95</v>
      </c>
      <c r="K26" s="219">
        <v>49</v>
      </c>
      <c r="L26" s="219">
        <v>30</v>
      </c>
      <c r="M26" s="219">
        <v>44</v>
      </c>
      <c r="N26" s="219">
        <v>32</v>
      </c>
      <c r="O26" s="219">
        <v>32</v>
      </c>
      <c r="P26" s="219">
        <v>31</v>
      </c>
      <c r="Q26" s="219">
        <v>30</v>
      </c>
      <c r="R26" s="219">
        <v>27.5</v>
      </c>
      <c r="S26" s="219">
        <v>29.3</v>
      </c>
      <c r="T26" s="219">
        <v>42.5</v>
      </c>
      <c r="U26" s="219">
        <v>41.613264000000001</v>
      </c>
      <c r="V26" s="219">
        <v>36.977400000000003</v>
      </c>
      <c r="W26" s="564"/>
      <c r="X26" s="564"/>
      <c r="Y26" s="564"/>
    </row>
    <row r="27" spans="1:25" ht="15" customHeight="1">
      <c r="A27" s="77"/>
      <c r="B27" s="21" t="s">
        <v>43</v>
      </c>
      <c r="C27" s="222">
        <v>313</v>
      </c>
      <c r="D27" s="222">
        <v>314</v>
      </c>
      <c r="E27" s="219">
        <v>330</v>
      </c>
      <c r="F27" s="219">
        <v>347</v>
      </c>
      <c r="G27" s="219">
        <v>353</v>
      </c>
      <c r="H27" s="219">
        <v>365</v>
      </c>
      <c r="I27" s="219">
        <v>367</v>
      </c>
      <c r="J27" s="219">
        <v>384</v>
      </c>
      <c r="K27" s="219">
        <v>422</v>
      </c>
      <c r="L27" s="219">
        <v>433</v>
      </c>
      <c r="M27" s="219">
        <v>395</v>
      </c>
      <c r="N27" s="219">
        <v>437</v>
      </c>
      <c r="O27" s="219">
        <v>428</v>
      </c>
      <c r="P27" s="219">
        <v>432</v>
      </c>
      <c r="Q27" s="219">
        <v>438</v>
      </c>
      <c r="R27" s="219">
        <v>444.8</v>
      </c>
      <c r="S27" s="219">
        <v>448.5</v>
      </c>
      <c r="T27" s="219">
        <v>450.4</v>
      </c>
      <c r="U27" s="219">
        <v>446.82529999999997</v>
      </c>
      <c r="V27" s="219">
        <v>450.63440000000003</v>
      </c>
      <c r="W27" s="564"/>
      <c r="X27" s="564"/>
      <c r="Y27" s="564"/>
    </row>
    <row r="28" spans="1:25" ht="15" customHeight="1">
      <c r="A28" s="77"/>
      <c r="B28" s="76" t="s">
        <v>44</v>
      </c>
      <c r="C28" s="222">
        <v>0</v>
      </c>
      <c r="D28" s="222">
        <v>0</v>
      </c>
      <c r="E28" s="219" t="s">
        <v>428</v>
      </c>
      <c r="F28" s="219" t="s">
        <v>428</v>
      </c>
      <c r="G28" s="219" t="s">
        <v>428</v>
      </c>
      <c r="H28" s="219" t="s">
        <v>428</v>
      </c>
      <c r="I28" s="219" t="s">
        <v>428</v>
      </c>
      <c r="J28" s="219" t="s">
        <v>428</v>
      </c>
      <c r="K28" s="219" t="s">
        <v>428</v>
      </c>
      <c r="L28" s="219" t="s">
        <v>428</v>
      </c>
      <c r="M28" s="219" t="s">
        <v>428</v>
      </c>
      <c r="N28" s="219" t="s">
        <v>428</v>
      </c>
      <c r="O28" s="219" t="s">
        <v>428</v>
      </c>
      <c r="P28" s="219" t="s">
        <v>428</v>
      </c>
      <c r="Q28" s="219" t="s">
        <v>428</v>
      </c>
      <c r="R28" s="219" t="s">
        <v>428</v>
      </c>
      <c r="S28" s="219" t="s">
        <v>428</v>
      </c>
      <c r="T28" s="219" t="s">
        <v>428</v>
      </c>
      <c r="U28" s="219" t="s">
        <v>428</v>
      </c>
      <c r="V28" s="219" t="s">
        <v>428</v>
      </c>
      <c r="X28" s="84"/>
    </row>
    <row r="29" spans="1:25" ht="15" customHeight="1">
      <c r="A29" s="77"/>
      <c r="B29" s="21" t="s">
        <v>45</v>
      </c>
      <c r="C29" s="222">
        <v>0</v>
      </c>
      <c r="D29" s="222">
        <v>0</v>
      </c>
      <c r="E29" s="219" t="s">
        <v>428</v>
      </c>
      <c r="F29" s="219" t="s">
        <v>428</v>
      </c>
      <c r="G29" s="219" t="s">
        <v>428</v>
      </c>
      <c r="H29" s="219" t="s">
        <v>428</v>
      </c>
      <c r="I29" s="219" t="s">
        <v>428</v>
      </c>
      <c r="J29" s="219" t="s">
        <v>428</v>
      </c>
      <c r="K29" s="219" t="s">
        <v>428</v>
      </c>
      <c r="L29" s="219" t="s">
        <v>428</v>
      </c>
      <c r="M29" s="219" t="s">
        <v>428</v>
      </c>
      <c r="N29" s="219" t="s">
        <v>428</v>
      </c>
      <c r="O29" s="219" t="s">
        <v>428</v>
      </c>
      <c r="P29" s="219" t="s">
        <v>428</v>
      </c>
      <c r="Q29" s="219" t="s">
        <v>428</v>
      </c>
      <c r="R29" s="219" t="s">
        <v>428</v>
      </c>
      <c r="S29" s="219" t="s">
        <v>428</v>
      </c>
      <c r="T29" s="219" t="s">
        <v>428</v>
      </c>
      <c r="U29" s="219" t="s">
        <v>428</v>
      </c>
      <c r="V29" s="219" t="s">
        <v>428</v>
      </c>
      <c r="X29" s="84"/>
    </row>
    <row r="30" spans="1:25" ht="15" customHeight="1">
      <c r="A30" s="77"/>
      <c r="B30" s="21" t="s">
        <v>46</v>
      </c>
      <c r="C30" s="222">
        <v>0</v>
      </c>
      <c r="D30" s="222">
        <v>0</v>
      </c>
      <c r="E30" s="219" t="s">
        <v>428</v>
      </c>
      <c r="F30" s="219" t="s">
        <v>428</v>
      </c>
      <c r="G30" s="219" t="s">
        <v>428</v>
      </c>
      <c r="H30" s="219" t="s">
        <v>428</v>
      </c>
      <c r="I30" s="219" t="s">
        <v>428</v>
      </c>
      <c r="J30" s="219" t="s">
        <v>428</v>
      </c>
      <c r="K30" s="219" t="s">
        <v>428</v>
      </c>
      <c r="L30" s="219" t="s">
        <v>428</v>
      </c>
      <c r="M30" s="219" t="s">
        <v>428</v>
      </c>
      <c r="N30" s="219" t="s">
        <v>428</v>
      </c>
      <c r="O30" s="219" t="s">
        <v>428</v>
      </c>
      <c r="P30" s="219" t="s">
        <v>428</v>
      </c>
      <c r="Q30" s="219" t="s">
        <v>428</v>
      </c>
      <c r="R30" s="219" t="s">
        <v>428</v>
      </c>
      <c r="S30" s="219" t="s">
        <v>428</v>
      </c>
      <c r="T30" s="219" t="s">
        <v>428</v>
      </c>
      <c r="U30" s="219" t="s">
        <v>428</v>
      </c>
      <c r="V30" s="219" t="s">
        <v>428</v>
      </c>
      <c r="X30" s="84"/>
    </row>
    <row r="31" spans="1:25" ht="15" customHeight="1" thickBot="1">
      <c r="A31" s="82"/>
      <c r="B31" s="434" t="s">
        <v>47</v>
      </c>
      <c r="C31" s="435">
        <v>0</v>
      </c>
      <c r="D31" s="435">
        <v>0</v>
      </c>
      <c r="E31" s="437" t="s">
        <v>428</v>
      </c>
      <c r="F31" s="437" t="s">
        <v>428</v>
      </c>
      <c r="G31" s="437" t="s">
        <v>428</v>
      </c>
      <c r="H31" s="437" t="s">
        <v>428</v>
      </c>
      <c r="I31" s="437" t="s">
        <v>428</v>
      </c>
      <c r="J31" s="437" t="s">
        <v>428</v>
      </c>
      <c r="K31" s="437" t="s">
        <v>428</v>
      </c>
      <c r="L31" s="437" t="s">
        <v>428</v>
      </c>
      <c r="M31" s="437" t="s">
        <v>428</v>
      </c>
      <c r="N31" s="437" t="s">
        <v>428</v>
      </c>
      <c r="O31" s="437" t="s">
        <v>428</v>
      </c>
      <c r="P31" s="437" t="s">
        <v>428</v>
      </c>
      <c r="Q31" s="437" t="s">
        <v>428</v>
      </c>
      <c r="R31" s="437" t="s">
        <v>428</v>
      </c>
      <c r="S31" s="437" t="s">
        <v>428</v>
      </c>
      <c r="T31" s="437" t="s">
        <v>428</v>
      </c>
      <c r="U31" s="437" t="s">
        <v>428</v>
      </c>
      <c r="V31" s="437" t="s">
        <v>428</v>
      </c>
      <c r="X31" s="84"/>
    </row>
    <row r="32" spans="1:25" ht="11" customHeight="1">
      <c r="A32" s="529" t="s">
        <v>330</v>
      </c>
      <c r="B32" s="527"/>
      <c r="C32" s="528"/>
      <c r="D32" s="528"/>
      <c r="E32" s="528"/>
      <c r="F32" s="528"/>
      <c r="G32" s="528"/>
      <c r="H32" s="528"/>
      <c r="I32" s="469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</row>
    <row r="33" spans="1:22" ht="9" customHeight="1">
      <c r="A33" s="529" t="s">
        <v>304</v>
      </c>
      <c r="B33" s="527"/>
      <c r="C33" s="528"/>
      <c r="D33" s="528"/>
      <c r="E33" s="528"/>
      <c r="F33" s="528"/>
      <c r="G33" s="528"/>
      <c r="H33" s="530"/>
      <c r="I33" s="470"/>
      <c r="J33" s="205"/>
      <c r="K33" s="205"/>
      <c r="L33" s="205"/>
      <c r="M33" s="205"/>
      <c r="N33" s="205"/>
      <c r="O33" s="205"/>
      <c r="P33" s="206"/>
      <c r="Q33" s="206"/>
      <c r="R33" s="206"/>
      <c r="S33" s="206"/>
      <c r="T33" s="206"/>
      <c r="U33" s="206"/>
      <c r="V33" s="206"/>
    </row>
    <row r="34" spans="1:22" ht="9" customHeight="1">
      <c r="A34" s="527" t="s">
        <v>303</v>
      </c>
      <c r="B34" s="531"/>
      <c r="C34" s="528"/>
      <c r="D34" s="528"/>
      <c r="E34" s="528"/>
      <c r="F34" s="528"/>
      <c r="G34" s="528"/>
      <c r="H34" s="530"/>
      <c r="I34" s="470"/>
      <c r="J34" s="205"/>
      <c r="K34" s="205"/>
      <c r="L34" s="205"/>
      <c r="M34" s="205"/>
      <c r="N34" s="205"/>
      <c r="O34" s="205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833"/>
      <c r="B35" s="833"/>
      <c r="C35" s="833"/>
      <c r="D35" s="833"/>
      <c r="E35" s="833"/>
      <c r="F35" s="833"/>
      <c r="G35" s="833"/>
      <c r="H35" s="833"/>
      <c r="I35" s="471"/>
    </row>
    <row r="36" spans="1:22" ht="13.25" customHeight="1">
      <c r="A36" s="834"/>
      <c r="B36" s="834"/>
      <c r="C36" s="835"/>
      <c r="D36" s="835"/>
      <c r="E36" s="835"/>
      <c r="F36" s="835"/>
      <c r="G36" s="835"/>
      <c r="H36" s="835"/>
      <c r="I36" s="84"/>
      <c r="J36" s="84"/>
      <c r="K36" s="84"/>
      <c r="L36" s="84"/>
      <c r="M36" s="84"/>
      <c r="N36" s="84"/>
      <c r="O36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50">
    <tabColor theme="9" tint="0.59999389629810485"/>
  </sheetPr>
  <dimension ref="A2:Z35"/>
  <sheetViews>
    <sheetView showGridLines="0" zoomScaleNormal="100" workbookViewId="0">
      <selection activeCell="T4" sqref="T4"/>
    </sheetView>
  </sheetViews>
  <sheetFormatPr baseColWidth="10" defaultColWidth="7" defaultRowHeight="13.25" customHeight="1"/>
  <cols>
    <col min="1" max="1" width="1.19921875" style="76" customWidth="1"/>
    <col min="2" max="2" width="9.796875" style="76" customWidth="1"/>
    <col min="3" max="4" width="8" style="76" hidden="1" customWidth="1"/>
    <col min="5" max="23" width="6.59765625" style="76" customWidth="1"/>
    <col min="24" max="27" width="8.19921875" style="76" customWidth="1"/>
    <col min="28" max="16384" width="7" style="76"/>
  </cols>
  <sheetData>
    <row r="2" spans="1:26" ht="15" customHeight="1">
      <c r="A2" s="210" t="s">
        <v>516</v>
      </c>
      <c r="B2" s="211"/>
    </row>
    <row r="3" spans="1:26" ht="13.25" customHeight="1">
      <c r="A3" s="212" t="s">
        <v>342</v>
      </c>
      <c r="B3" s="212"/>
    </row>
    <row r="4" spans="1:26" ht="6" customHeight="1" thickBo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</row>
    <row r="5" spans="1:26" ht="18" customHeight="1">
      <c r="A5" s="1021" t="s">
        <v>16</v>
      </c>
      <c r="B5" s="1021"/>
      <c r="C5" s="735">
        <v>2005</v>
      </c>
      <c r="D5" s="735">
        <v>2006</v>
      </c>
      <c r="E5" s="735">
        <v>2007</v>
      </c>
      <c r="F5" s="735">
        <v>2008</v>
      </c>
      <c r="G5" s="735">
        <v>2009</v>
      </c>
      <c r="H5" s="735">
        <v>2010</v>
      </c>
      <c r="I5" s="735">
        <v>2011</v>
      </c>
      <c r="J5" s="735">
        <v>2012</v>
      </c>
      <c r="K5" s="735">
        <v>2013</v>
      </c>
      <c r="L5" s="735">
        <v>2014</v>
      </c>
      <c r="M5" s="735">
        <v>2015</v>
      </c>
      <c r="N5" s="735">
        <v>2016</v>
      </c>
      <c r="O5" s="735">
        <v>2017</v>
      </c>
      <c r="P5" s="735" t="s">
        <v>180</v>
      </c>
      <c r="Q5" s="735" t="s">
        <v>296</v>
      </c>
      <c r="R5" s="735">
        <v>2020</v>
      </c>
      <c r="S5" s="735">
        <v>2021</v>
      </c>
      <c r="T5" s="735" t="s">
        <v>396</v>
      </c>
      <c r="U5" s="735">
        <v>2023</v>
      </c>
      <c r="V5" s="735" t="s">
        <v>485</v>
      </c>
    </row>
    <row r="6" spans="1:26" ht="18" customHeight="1">
      <c r="A6" s="1020" t="s">
        <v>100</v>
      </c>
      <c r="B6" s="1020"/>
      <c r="C6" s="631">
        <v>4.91</v>
      </c>
      <c r="D6" s="631">
        <v>5.26</v>
      </c>
      <c r="E6" s="631">
        <v>6.16</v>
      </c>
      <c r="F6" s="631">
        <v>6.45</v>
      </c>
      <c r="G6" s="631">
        <v>5.09</v>
      </c>
      <c r="H6" s="631">
        <v>5.73</v>
      </c>
      <c r="I6" s="631">
        <v>6.23</v>
      </c>
      <c r="J6" s="631">
        <v>6.27</v>
      </c>
      <c r="K6" s="631">
        <v>6.07</v>
      </c>
      <c r="L6" s="631">
        <v>6.27</v>
      </c>
      <c r="M6" s="631">
        <v>6.63</v>
      </c>
      <c r="N6" s="631">
        <v>6.91</v>
      </c>
      <c r="O6" s="631">
        <v>6.84</v>
      </c>
      <c r="P6" s="631">
        <v>7.25</v>
      </c>
      <c r="Q6" s="631">
        <v>6.9</v>
      </c>
      <c r="R6" s="631">
        <v>7.02</v>
      </c>
      <c r="S6" s="631">
        <v>6.44</v>
      </c>
      <c r="T6" s="631">
        <v>6.44</v>
      </c>
      <c r="U6" s="631">
        <v>6.5695007978270823</v>
      </c>
      <c r="V6" s="631">
        <v>6.6147688046628588</v>
      </c>
      <c r="X6" s="152"/>
      <c r="Y6" s="152"/>
      <c r="Z6" s="152"/>
    </row>
    <row r="7" spans="1:26" ht="3" customHeight="1">
      <c r="A7" s="77"/>
      <c r="B7" s="78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23"/>
      <c r="P7" s="223"/>
      <c r="Q7" s="223"/>
      <c r="R7" s="223"/>
      <c r="S7" s="223"/>
      <c r="T7" s="223"/>
      <c r="U7" s="223"/>
      <c r="V7" s="223"/>
    </row>
    <row r="8" spans="1:26" ht="14" customHeight="1">
      <c r="A8" s="77"/>
      <c r="B8" s="21" t="s">
        <v>19</v>
      </c>
      <c r="C8" s="218" t="s">
        <v>73</v>
      </c>
      <c r="D8" s="218" t="s">
        <v>73</v>
      </c>
      <c r="E8" s="218" t="s">
        <v>73</v>
      </c>
      <c r="F8" s="218" t="s">
        <v>73</v>
      </c>
      <c r="G8" s="218" t="s">
        <v>73</v>
      </c>
      <c r="H8" s="218" t="s">
        <v>73</v>
      </c>
      <c r="I8" s="218" t="s">
        <v>73</v>
      </c>
      <c r="J8" s="218" t="s">
        <v>73</v>
      </c>
      <c r="K8" s="218" t="s">
        <v>73</v>
      </c>
      <c r="L8" s="218" t="s">
        <v>73</v>
      </c>
      <c r="M8" s="218" t="s">
        <v>73</v>
      </c>
      <c r="N8" s="218" t="s">
        <v>73</v>
      </c>
      <c r="O8" s="218" t="s">
        <v>73</v>
      </c>
      <c r="P8" s="218" t="s">
        <v>73</v>
      </c>
      <c r="Q8" s="218" t="s">
        <v>73</v>
      </c>
      <c r="R8" s="218" t="s">
        <v>73</v>
      </c>
      <c r="S8" s="218" t="s">
        <v>73</v>
      </c>
      <c r="T8" s="218" t="s">
        <v>73</v>
      </c>
      <c r="U8" s="218" t="s">
        <v>73</v>
      </c>
      <c r="V8" s="218" t="s">
        <v>73</v>
      </c>
    </row>
    <row r="9" spans="1:26" ht="14" customHeight="1">
      <c r="A9" s="77"/>
      <c r="B9" s="21" t="s">
        <v>20</v>
      </c>
      <c r="C9" s="218" t="s">
        <v>73</v>
      </c>
      <c r="D9" s="218" t="s">
        <v>73</v>
      </c>
      <c r="E9" s="218" t="s">
        <v>73</v>
      </c>
      <c r="F9" s="218" t="s">
        <v>73</v>
      </c>
      <c r="G9" s="218" t="s">
        <v>73</v>
      </c>
      <c r="H9" s="218" t="s">
        <v>73</v>
      </c>
      <c r="I9" s="218" t="s">
        <v>73</v>
      </c>
      <c r="J9" s="218" t="s">
        <v>73</v>
      </c>
      <c r="K9" s="218" t="s">
        <v>73</v>
      </c>
      <c r="L9" s="218" t="s">
        <v>73</v>
      </c>
      <c r="M9" s="218" t="s">
        <v>73</v>
      </c>
      <c r="N9" s="218" t="s">
        <v>73</v>
      </c>
      <c r="O9" s="218" t="s">
        <v>73</v>
      </c>
      <c r="P9" s="218" t="s">
        <v>73</v>
      </c>
      <c r="Q9" s="218" t="s">
        <v>73</v>
      </c>
      <c r="R9" s="218" t="s">
        <v>73</v>
      </c>
      <c r="S9" s="218" t="s">
        <v>73</v>
      </c>
      <c r="T9" s="218" t="s">
        <v>73</v>
      </c>
      <c r="U9" s="218" t="s">
        <v>73</v>
      </c>
      <c r="V9" s="218" t="s">
        <v>73</v>
      </c>
    </row>
    <row r="10" spans="1:26" ht="14" customHeight="1">
      <c r="A10" s="77"/>
      <c r="B10" s="21" t="s">
        <v>21</v>
      </c>
      <c r="C10" s="218" t="s">
        <v>73</v>
      </c>
      <c r="D10" s="218" t="s">
        <v>73</v>
      </c>
      <c r="E10" s="218" t="s">
        <v>73</v>
      </c>
      <c r="F10" s="218" t="s">
        <v>73</v>
      </c>
      <c r="G10" s="218" t="s">
        <v>73</v>
      </c>
      <c r="H10" s="218" t="s">
        <v>73</v>
      </c>
      <c r="I10" s="218" t="s">
        <v>73</v>
      </c>
      <c r="J10" s="218" t="s">
        <v>73</v>
      </c>
      <c r="K10" s="218" t="s">
        <v>73</v>
      </c>
      <c r="L10" s="218" t="s">
        <v>73</v>
      </c>
      <c r="M10" s="218" t="s">
        <v>73</v>
      </c>
      <c r="N10" s="218" t="s">
        <v>73</v>
      </c>
      <c r="O10" s="218" t="s">
        <v>73</v>
      </c>
      <c r="P10" s="218" t="s">
        <v>73</v>
      </c>
      <c r="Q10" s="218" t="s">
        <v>73</v>
      </c>
      <c r="R10" s="218" t="s">
        <v>73</v>
      </c>
      <c r="S10" s="218" t="s">
        <v>73</v>
      </c>
      <c r="T10" s="218" t="s">
        <v>73</v>
      </c>
      <c r="U10" s="218" t="s">
        <v>73</v>
      </c>
      <c r="V10" s="218" t="s">
        <v>73</v>
      </c>
    </row>
    <row r="11" spans="1:26" ht="14" customHeight="1">
      <c r="A11" s="77"/>
      <c r="B11" s="21" t="s">
        <v>22</v>
      </c>
      <c r="C11" s="218" t="s">
        <v>73</v>
      </c>
      <c r="D11" s="218" t="s">
        <v>73</v>
      </c>
      <c r="E11" s="218" t="s">
        <v>73</v>
      </c>
      <c r="F11" s="218" t="s">
        <v>73</v>
      </c>
      <c r="G11" s="218" t="s">
        <v>73</v>
      </c>
      <c r="H11" s="218" t="s">
        <v>73</v>
      </c>
      <c r="I11" s="218" t="s">
        <v>73</v>
      </c>
      <c r="J11" s="218" t="s">
        <v>73</v>
      </c>
      <c r="K11" s="218" t="s">
        <v>73</v>
      </c>
      <c r="L11" s="218" t="s">
        <v>73</v>
      </c>
      <c r="M11" s="218" t="s">
        <v>73</v>
      </c>
      <c r="N11" s="218" t="s">
        <v>73</v>
      </c>
      <c r="O11" s="218" t="s">
        <v>73</v>
      </c>
      <c r="P11" s="218" t="s">
        <v>73</v>
      </c>
      <c r="Q11" s="218" t="s">
        <v>73</v>
      </c>
      <c r="R11" s="218" t="s">
        <v>73</v>
      </c>
      <c r="S11" s="218" t="s">
        <v>73</v>
      </c>
      <c r="T11" s="218" t="s">
        <v>73</v>
      </c>
      <c r="U11" s="218" t="s">
        <v>73</v>
      </c>
      <c r="V11" s="218" t="s">
        <v>73</v>
      </c>
    </row>
    <row r="12" spans="1:26" ht="14" customHeight="1">
      <c r="A12" s="77"/>
      <c r="B12" s="21" t="s">
        <v>23</v>
      </c>
      <c r="C12" s="218" t="s">
        <v>73</v>
      </c>
      <c r="D12" s="218" t="s">
        <v>73</v>
      </c>
      <c r="E12" s="218" t="s">
        <v>73</v>
      </c>
      <c r="F12" s="218" t="s">
        <v>73</v>
      </c>
      <c r="G12" s="218" t="s">
        <v>73</v>
      </c>
      <c r="H12" s="218" t="s">
        <v>73</v>
      </c>
      <c r="I12" s="218" t="s">
        <v>73</v>
      </c>
      <c r="J12" s="218" t="s">
        <v>73</v>
      </c>
      <c r="K12" s="218" t="s">
        <v>73</v>
      </c>
      <c r="L12" s="218" t="s">
        <v>73</v>
      </c>
      <c r="M12" s="218" t="s">
        <v>73</v>
      </c>
      <c r="N12" s="218" t="s">
        <v>73</v>
      </c>
      <c r="O12" s="218" t="s">
        <v>73</v>
      </c>
      <c r="P12" s="218" t="s">
        <v>73</v>
      </c>
      <c r="Q12" s="218" t="s">
        <v>73</v>
      </c>
      <c r="R12" s="218" t="s">
        <v>73</v>
      </c>
      <c r="S12" s="218" t="s">
        <v>73</v>
      </c>
      <c r="T12" s="218" t="s">
        <v>73</v>
      </c>
      <c r="U12" s="218" t="s">
        <v>73</v>
      </c>
      <c r="V12" s="218" t="s">
        <v>73</v>
      </c>
    </row>
    <row r="13" spans="1:26" ht="14" customHeight="1">
      <c r="A13" s="77"/>
      <c r="B13" s="21" t="s">
        <v>27</v>
      </c>
      <c r="C13" s="218" t="s">
        <v>73</v>
      </c>
      <c r="D13" s="218" t="s">
        <v>73</v>
      </c>
      <c r="E13" s="218" t="s">
        <v>73</v>
      </c>
      <c r="F13" s="218" t="s">
        <v>73</v>
      </c>
      <c r="G13" s="218" t="s">
        <v>73</v>
      </c>
      <c r="H13" s="218" t="s">
        <v>73</v>
      </c>
      <c r="I13" s="218" t="s">
        <v>73</v>
      </c>
      <c r="J13" s="218" t="s">
        <v>73</v>
      </c>
      <c r="K13" s="218" t="s">
        <v>73</v>
      </c>
      <c r="L13" s="218" t="s">
        <v>73</v>
      </c>
      <c r="M13" s="218" t="s">
        <v>73</v>
      </c>
      <c r="N13" s="218" t="s">
        <v>73</v>
      </c>
      <c r="O13" s="218" t="s">
        <v>73</v>
      </c>
      <c r="P13" s="218" t="s">
        <v>73</v>
      </c>
      <c r="Q13" s="218" t="s">
        <v>73</v>
      </c>
      <c r="R13" s="218" t="s">
        <v>73</v>
      </c>
      <c r="S13" s="218" t="s">
        <v>73</v>
      </c>
      <c r="T13" s="218" t="s">
        <v>73</v>
      </c>
      <c r="U13" s="218" t="s">
        <v>73</v>
      </c>
      <c r="V13" s="218" t="s">
        <v>73</v>
      </c>
    </row>
    <row r="14" spans="1:26" ht="14" customHeight="1">
      <c r="A14" s="77"/>
      <c r="B14" s="21" t="s">
        <v>28</v>
      </c>
      <c r="C14" s="218" t="s">
        <v>73</v>
      </c>
      <c r="D14" s="218" t="s">
        <v>73</v>
      </c>
      <c r="E14" s="218" t="s">
        <v>73</v>
      </c>
      <c r="F14" s="218" t="s">
        <v>73</v>
      </c>
      <c r="G14" s="218" t="s">
        <v>73</v>
      </c>
      <c r="H14" s="218" t="s">
        <v>73</v>
      </c>
      <c r="I14" s="218" t="s">
        <v>73</v>
      </c>
      <c r="J14" s="218" t="s">
        <v>73</v>
      </c>
      <c r="K14" s="218" t="s">
        <v>73</v>
      </c>
      <c r="L14" s="218" t="s">
        <v>73</v>
      </c>
      <c r="M14" s="218" t="s">
        <v>73</v>
      </c>
      <c r="N14" s="218" t="s">
        <v>73</v>
      </c>
      <c r="O14" s="218" t="s">
        <v>73</v>
      </c>
      <c r="P14" s="218" t="s">
        <v>73</v>
      </c>
      <c r="Q14" s="218" t="s">
        <v>73</v>
      </c>
      <c r="R14" s="218" t="s">
        <v>73</v>
      </c>
      <c r="S14" s="218" t="s">
        <v>73</v>
      </c>
      <c r="T14" s="218" t="s">
        <v>73</v>
      </c>
      <c r="U14" s="218" t="s">
        <v>73</v>
      </c>
      <c r="V14" s="218" t="s">
        <v>73</v>
      </c>
    </row>
    <row r="15" spans="1:26" ht="14" customHeight="1">
      <c r="A15" s="77"/>
      <c r="B15" s="21" t="s">
        <v>29</v>
      </c>
      <c r="C15" s="218">
        <v>0</v>
      </c>
      <c r="D15" s="218">
        <v>3.53</v>
      </c>
      <c r="E15" s="218">
        <v>3.51</v>
      </c>
      <c r="F15" s="218">
        <v>5.2</v>
      </c>
      <c r="G15" s="218">
        <v>5.0999999999999996</v>
      </c>
      <c r="H15" s="218">
        <v>6.21</v>
      </c>
      <c r="I15" s="218">
        <v>6.06</v>
      </c>
      <c r="J15" s="218">
        <v>6.17</v>
      </c>
      <c r="K15" s="218">
        <v>6.47</v>
      </c>
      <c r="L15" s="218">
        <v>7.7</v>
      </c>
      <c r="M15" s="218">
        <v>7.02</v>
      </c>
      <c r="N15" s="218">
        <v>7.71</v>
      </c>
      <c r="O15" s="218">
        <v>6.01</v>
      </c>
      <c r="P15" s="218">
        <v>5.76</v>
      </c>
      <c r="Q15" s="218">
        <v>6.24</v>
      </c>
      <c r="R15" s="218">
        <v>5.6</v>
      </c>
      <c r="S15" s="218">
        <v>6.29</v>
      </c>
      <c r="T15" s="218">
        <v>6.39</v>
      </c>
      <c r="U15" s="218">
        <v>7.7451688697246208</v>
      </c>
      <c r="V15" s="218">
        <v>6.5049607913467877</v>
      </c>
      <c r="X15" s="152"/>
      <c r="Y15" s="152"/>
      <c r="Z15" s="152"/>
    </row>
    <row r="16" spans="1:26" ht="14" customHeight="1">
      <c r="A16" s="77"/>
      <c r="B16" s="21" t="s">
        <v>30</v>
      </c>
      <c r="C16" s="218" t="s">
        <v>73</v>
      </c>
      <c r="D16" s="218" t="s">
        <v>73</v>
      </c>
      <c r="E16" s="218" t="s">
        <v>73</v>
      </c>
      <c r="F16" s="218" t="s">
        <v>73</v>
      </c>
      <c r="G16" s="218" t="s">
        <v>73</v>
      </c>
      <c r="H16" s="218" t="s">
        <v>73</v>
      </c>
      <c r="I16" s="218" t="s">
        <v>73</v>
      </c>
      <c r="J16" s="218" t="s">
        <v>73</v>
      </c>
      <c r="K16" s="218" t="s">
        <v>73</v>
      </c>
      <c r="L16" s="218" t="s">
        <v>73</v>
      </c>
      <c r="M16" s="218" t="s">
        <v>73</v>
      </c>
      <c r="N16" s="218" t="s">
        <v>73</v>
      </c>
      <c r="O16" s="218" t="s">
        <v>73</v>
      </c>
      <c r="P16" s="218" t="s">
        <v>73</v>
      </c>
      <c r="Q16" s="218" t="s">
        <v>73</v>
      </c>
      <c r="R16" s="218" t="s">
        <v>73</v>
      </c>
      <c r="S16" s="218" t="s">
        <v>73</v>
      </c>
      <c r="T16" s="218" t="s">
        <v>73</v>
      </c>
      <c r="U16" s="218" t="s">
        <v>73</v>
      </c>
      <c r="V16" s="218" t="s">
        <v>73</v>
      </c>
      <c r="X16" s="152"/>
      <c r="Y16" s="152"/>
      <c r="Z16" s="152"/>
    </row>
    <row r="17" spans="1:26" ht="14" customHeight="1">
      <c r="A17" s="77"/>
      <c r="B17" s="21" t="s">
        <v>31</v>
      </c>
      <c r="C17" s="218" t="s">
        <v>73</v>
      </c>
      <c r="D17" s="218" t="s">
        <v>73</v>
      </c>
      <c r="E17" s="218" t="s">
        <v>73</v>
      </c>
      <c r="F17" s="218" t="s">
        <v>73</v>
      </c>
      <c r="G17" s="218" t="s">
        <v>73</v>
      </c>
      <c r="H17" s="218" t="s">
        <v>73</v>
      </c>
      <c r="I17" s="218" t="s">
        <v>73</v>
      </c>
      <c r="J17" s="218" t="s">
        <v>73</v>
      </c>
      <c r="K17" s="218" t="s">
        <v>73</v>
      </c>
      <c r="L17" s="218" t="s">
        <v>73</v>
      </c>
      <c r="M17" s="218" t="s">
        <v>73</v>
      </c>
      <c r="N17" s="218" t="s">
        <v>73</v>
      </c>
      <c r="O17" s="218" t="s">
        <v>73</v>
      </c>
      <c r="P17" s="218" t="s">
        <v>73</v>
      </c>
      <c r="Q17" s="218" t="s">
        <v>73</v>
      </c>
      <c r="R17" s="218" t="s">
        <v>73</v>
      </c>
      <c r="S17" s="218" t="s">
        <v>73</v>
      </c>
      <c r="T17" s="218" t="s">
        <v>73</v>
      </c>
      <c r="U17" s="218" t="s">
        <v>73</v>
      </c>
      <c r="V17" s="218" t="s">
        <v>73</v>
      </c>
      <c r="X17" s="152"/>
      <c r="Y17" s="152"/>
      <c r="Z17" s="152"/>
    </row>
    <row r="18" spans="1:26" ht="14" customHeight="1">
      <c r="A18" s="77"/>
      <c r="B18" s="21" t="s">
        <v>32</v>
      </c>
      <c r="C18" s="218">
        <v>3.31</v>
      </c>
      <c r="D18" s="218">
        <v>3.94</v>
      </c>
      <c r="E18" s="218">
        <v>6.18</v>
      </c>
      <c r="F18" s="218">
        <v>6.78</v>
      </c>
      <c r="G18" s="218">
        <v>4.4800000000000004</v>
      </c>
      <c r="H18" s="218">
        <v>5.47</v>
      </c>
      <c r="I18" s="218">
        <v>5.68</v>
      </c>
      <c r="J18" s="218">
        <v>5.68</v>
      </c>
      <c r="K18" s="218">
        <v>6.92</v>
      </c>
      <c r="L18" s="218">
        <v>7.78</v>
      </c>
      <c r="M18" s="218">
        <v>7.86</v>
      </c>
      <c r="N18" s="218">
        <v>7.7</v>
      </c>
      <c r="O18" s="223">
        <v>7.42</v>
      </c>
      <c r="P18" s="223">
        <v>5.71</v>
      </c>
      <c r="Q18" s="223">
        <v>5.76</v>
      </c>
      <c r="R18" s="223">
        <v>6.56</v>
      </c>
      <c r="S18" s="223">
        <v>6.6</v>
      </c>
      <c r="T18" s="223">
        <v>7.51</v>
      </c>
      <c r="U18" s="223">
        <v>6.909363034706133</v>
      </c>
      <c r="V18" s="223">
        <v>7.088992310433321</v>
      </c>
      <c r="X18" s="152"/>
      <c r="Y18" s="152"/>
      <c r="Z18" s="152"/>
    </row>
    <row r="19" spans="1:26" ht="14" customHeight="1">
      <c r="A19" s="77"/>
      <c r="B19" s="21" t="s">
        <v>33</v>
      </c>
      <c r="C19" s="218">
        <v>2.56</v>
      </c>
      <c r="D19" s="218">
        <v>2.56</v>
      </c>
      <c r="E19" s="218">
        <v>5.25</v>
      </c>
      <c r="F19" s="218">
        <v>6.14</v>
      </c>
      <c r="G19" s="218">
        <v>4.99</v>
      </c>
      <c r="H19" s="218">
        <v>5.66</v>
      </c>
      <c r="I19" s="218">
        <v>5.59</v>
      </c>
      <c r="J19" s="218">
        <v>6</v>
      </c>
      <c r="K19" s="218">
        <v>5.73</v>
      </c>
      <c r="L19" s="218">
        <v>7.59</v>
      </c>
      <c r="M19" s="218">
        <v>8.8800000000000008</v>
      </c>
      <c r="N19" s="218">
        <v>9.09</v>
      </c>
      <c r="O19" s="223">
        <v>7.92</v>
      </c>
      <c r="P19" s="223">
        <v>7.17</v>
      </c>
      <c r="Q19" s="223">
        <v>6.27</v>
      </c>
      <c r="R19" s="223">
        <v>7.05</v>
      </c>
      <c r="S19" s="223">
        <v>7.16</v>
      </c>
      <c r="T19" s="223">
        <v>6.85</v>
      </c>
      <c r="U19" s="223">
        <v>6.8801073061889984</v>
      </c>
      <c r="V19" s="223">
        <v>6.9889565290781936</v>
      </c>
      <c r="X19" s="152"/>
      <c r="Y19" s="152"/>
      <c r="Z19" s="152"/>
    </row>
    <row r="20" spans="1:26" ht="14" customHeight="1">
      <c r="A20" s="77"/>
      <c r="B20" s="21" t="s">
        <v>34</v>
      </c>
      <c r="C20" s="218">
        <v>4.43</v>
      </c>
      <c r="D20" s="218">
        <v>4.74</v>
      </c>
      <c r="E20" s="218">
        <v>5.16</v>
      </c>
      <c r="F20" s="218">
        <v>7</v>
      </c>
      <c r="G20" s="218">
        <v>4.57</v>
      </c>
      <c r="H20" s="218">
        <v>5.0199999999999996</v>
      </c>
      <c r="I20" s="218">
        <v>6.73</v>
      </c>
      <c r="J20" s="218">
        <v>6</v>
      </c>
      <c r="K20" s="218">
        <v>6.79</v>
      </c>
      <c r="L20" s="218">
        <v>6.31</v>
      </c>
      <c r="M20" s="218">
        <v>6.52</v>
      </c>
      <c r="N20" s="218">
        <v>6.78</v>
      </c>
      <c r="O20" s="223">
        <v>5.48</v>
      </c>
      <c r="P20" s="223">
        <v>5.42</v>
      </c>
      <c r="Q20" s="223">
        <v>5.74</v>
      </c>
      <c r="R20" s="223">
        <v>6.91</v>
      </c>
      <c r="S20" s="223">
        <v>6.77</v>
      </c>
      <c r="T20" s="223">
        <v>6.88</v>
      </c>
      <c r="U20" s="223">
        <v>6.8812902783396144</v>
      </c>
      <c r="V20" s="223">
        <v>6.9195439320127443</v>
      </c>
      <c r="X20" s="152"/>
      <c r="Y20" s="152"/>
      <c r="Z20" s="152"/>
    </row>
    <row r="21" spans="1:26" ht="14" customHeight="1">
      <c r="A21" s="77"/>
      <c r="B21" s="21" t="s">
        <v>35</v>
      </c>
      <c r="C21" s="218">
        <v>5.56</v>
      </c>
      <c r="D21" s="218">
        <v>4.9000000000000004</v>
      </c>
      <c r="E21" s="218">
        <v>5.67</v>
      </c>
      <c r="F21" s="218">
        <v>6.02</v>
      </c>
      <c r="G21" s="218">
        <v>4.3899999999999997</v>
      </c>
      <c r="H21" s="218">
        <v>4.51</v>
      </c>
      <c r="I21" s="218">
        <v>4.87</v>
      </c>
      <c r="J21" s="218">
        <v>5.4</v>
      </c>
      <c r="K21" s="218">
        <v>6.24</v>
      </c>
      <c r="L21" s="218">
        <v>6.28</v>
      </c>
      <c r="M21" s="218">
        <v>7.36</v>
      </c>
      <c r="N21" s="218">
        <v>7.55</v>
      </c>
      <c r="O21" s="223">
        <v>5.81</v>
      </c>
      <c r="P21" s="223">
        <v>5.81</v>
      </c>
      <c r="Q21" s="223">
        <v>7.15</v>
      </c>
      <c r="R21" s="223">
        <v>7.37</v>
      </c>
      <c r="S21" s="223">
        <v>7.22</v>
      </c>
      <c r="T21" s="223">
        <v>7.2</v>
      </c>
      <c r="U21" s="223">
        <v>7.3026574361074275</v>
      </c>
      <c r="V21" s="223">
        <v>7.24221638873997</v>
      </c>
      <c r="X21" s="152"/>
      <c r="Y21" s="152"/>
      <c r="Z21" s="152"/>
    </row>
    <row r="22" spans="1:26" ht="14" customHeight="1">
      <c r="A22" s="77"/>
      <c r="B22" s="21" t="s">
        <v>36</v>
      </c>
      <c r="C22" s="218">
        <v>6.33</v>
      </c>
      <c r="D22" s="218">
        <v>5.66</v>
      </c>
      <c r="E22" s="218">
        <v>6.62</v>
      </c>
      <c r="F22" s="218">
        <v>7.51</v>
      </c>
      <c r="G22" s="218">
        <v>4.2</v>
      </c>
      <c r="H22" s="218">
        <v>6.21</v>
      </c>
      <c r="I22" s="218">
        <v>6.4</v>
      </c>
      <c r="J22" s="218">
        <v>4.92</v>
      </c>
      <c r="K22" s="218">
        <v>6.84</v>
      </c>
      <c r="L22" s="218">
        <v>7.51</v>
      </c>
      <c r="M22" s="218">
        <v>6.83</v>
      </c>
      <c r="N22" s="218">
        <v>7.28</v>
      </c>
      <c r="O22" s="223">
        <v>6.84</v>
      </c>
      <c r="P22" s="223">
        <v>6.09</v>
      </c>
      <c r="Q22" s="223">
        <v>6.94</v>
      </c>
      <c r="R22" s="223">
        <v>6.98</v>
      </c>
      <c r="S22" s="223">
        <v>7.03</v>
      </c>
      <c r="T22" s="223">
        <v>6.94</v>
      </c>
      <c r="U22" s="223">
        <v>6.9591838905326693</v>
      </c>
      <c r="V22" s="223">
        <v>6.7337346585946793</v>
      </c>
      <c r="X22" s="152"/>
      <c r="Y22" s="152"/>
      <c r="Z22" s="152"/>
    </row>
    <row r="23" spans="1:26" ht="14" customHeight="1">
      <c r="A23" s="77"/>
      <c r="B23" s="21" t="s">
        <v>37</v>
      </c>
      <c r="C23" s="218" t="s">
        <v>73</v>
      </c>
      <c r="D23" s="218" t="s">
        <v>73</v>
      </c>
      <c r="E23" s="218" t="s">
        <v>73</v>
      </c>
      <c r="F23" s="218" t="s">
        <v>73</v>
      </c>
      <c r="G23" s="218">
        <v>4.42</v>
      </c>
      <c r="H23" s="218" t="s">
        <v>73</v>
      </c>
      <c r="I23" s="218" t="s">
        <v>73</v>
      </c>
      <c r="J23" s="218">
        <v>5.52</v>
      </c>
      <c r="K23" s="218">
        <v>6.95</v>
      </c>
      <c r="L23" s="218">
        <v>7.84</v>
      </c>
      <c r="M23" s="218">
        <v>7.28</v>
      </c>
      <c r="N23" s="218">
        <v>7.77</v>
      </c>
      <c r="O23" s="223">
        <v>7.73</v>
      </c>
      <c r="P23" s="223">
        <v>0</v>
      </c>
      <c r="Q23" s="223">
        <v>0</v>
      </c>
      <c r="R23" s="223">
        <v>0</v>
      </c>
      <c r="S23" s="223">
        <v>0</v>
      </c>
      <c r="T23" s="223">
        <v>0</v>
      </c>
      <c r="U23" s="223">
        <v>0</v>
      </c>
      <c r="V23" s="223">
        <v>0</v>
      </c>
      <c r="X23" s="152"/>
      <c r="Y23" s="152"/>
      <c r="Z23" s="152"/>
    </row>
    <row r="24" spans="1:26" ht="14" customHeight="1">
      <c r="A24" s="77"/>
      <c r="B24" s="21" t="s">
        <v>38</v>
      </c>
      <c r="C24" s="218">
        <v>4.17</v>
      </c>
      <c r="D24" s="218">
        <v>4.0199999999999996</v>
      </c>
      <c r="E24" s="218">
        <v>5.3</v>
      </c>
      <c r="F24" s="218">
        <v>7.39</v>
      </c>
      <c r="G24" s="218">
        <v>6.88</v>
      </c>
      <c r="H24" s="218">
        <v>7.12</v>
      </c>
      <c r="I24" s="218">
        <v>5.77</v>
      </c>
      <c r="J24" s="218">
        <v>5.97</v>
      </c>
      <c r="K24" s="218">
        <v>6.71</v>
      </c>
      <c r="L24" s="218">
        <v>6.55</v>
      </c>
      <c r="M24" s="218">
        <v>4.84</v>
      </c>
      <c r="N24" s="218">
        <v>5.0599999999999996</v>
      </c>
      <c r="O24" s="223">
        <v>5.54</v>
      </c>
      <c r="P24" s="223">
        <v>5.59</v>
      </c>
      <c r="Q24" s="223">
        <v>5.84</v>
      </c>
      <c r="R24" s="223">
        <v>5.83</v>
      </c>
      <c r="S24" s="223">
        <v>5.79</v>
      </c>
      <c r="T24" s="223">
        <v>6.09</v>
      </c>
      <c r="U24" s="223">
        <v>6.3358698940399467</v>
      </c>
      <c r="V24" s="223">
        <v>6.1822895340082864</v>
      </c>
      <c r="X24" s="152"/>
      <c r="Y24" s="152"/>
      <c r="Z24" s="152"/>
    </row>
    <row r="25" spans="1:26" ht="14" customHeight="1">
      <c r="A25" s="77"/>
      <c r="B25" s="76" t="s">
        <v>39</v>
      </c>
      <c r="C25" s="218">
        <v>3.44</v>
      </c>
      <c r="D25" s="218">
        <v>5.04</v>
      </c>
      <c r="E25" s="218">
        <v>5.38</v>
      </c>
      <c r="F25" s="218">
        <v>7.08</v>
      </c>
      <c r="G25" s="218">
        <v>6.14</v>
      </c>
      <c r="H25" s="218">
        <v>6.24</v>
      </c>
      <c r="I25" s="218">
        <v>6.23</v>
      </c>
      <c r="J25" s="218">
        <v>5.95</v>
      </c>
      <c r="K25" s="218">
        <v>6.47</v>
      </c>
      <c r="L25" s="218">
        <v>5.43</v>
      </c>
      <c r="M25" s="218">
        <v>5.39</v>
      </c>
      <c r="N25" s="218">
        <v>5.55</v>
      </c>
      <c r="O25" s="223">
        <v>5.7</v>
      </c>
      <c r="P25" s="223">
        <v>5.94</v>
      </c>
      <c r="Q25" s="223">
        <v>5.94</v>
      </c>
      <c r="R25" s="223">
        <v>5.91</v>
      </c>
      <c r="S25" s="223">
        <v>5.75</v>
      </c>
      <c r="T25" s="223">
        <v>5.81</v>
      </c>
      <c r="U25" s="223">
        <v>5.8007190800603148</v>
      </c>
      <c r="V25" s="223">
        <v>5.8576693943210492</v>
      </c>
      <c r="X25" s="152"/>
      <c r="Y25" s="152"/>
      <c r="Z25" s="152"/>
    </row>
    <row r="26" spans="1:26" ht="14" customHeight="1">
      <c r="A26" s="77"/>
      <c r="B26" s="21" t="s">
        <v>42</v>
      </c>
      <c r="C26" s="218">
        <v>4.53</v>
      </c>
      <c r="D26" s="218">
        <v>7.45</v>
      </c>
      <c r="E26" s="218">
        <v>7.11</v>
      </c>
      <c r="F26" s="218">
        <v>7.45</v>
      </c>
      <c r="G26" s="218">
        <v>6.29</v>
      </c>
      <c r="H26" s="218">
        <v>6.37</v>
      </c>
      <c r="I26" s="218">
        <v>6.3</v>
      </c>
      <c r="J26" s="218">
        <v>5.18</v>
      </c>
      <c r="K26" s="218">
        <v>5.35</v>
      </c>
      <c r="L26" s="218">
        <v>5.59</v>
      </c>
      <c r="M26" s="218">
        <v>4.54</v>
      </c>
      <c r="N26" s="218">
        <v>5.76</v>
      </c>
      <c r="O26" s="223">
        <v>5.77</v>
      </c>
      <c r="P26" s="223">
        <v>6.1</v>
      </c>
      <c r="Q26" s="223">
        <v>6.53</v>
      </c>
      <c r="R26" s="223">
        <v>6.72</v>
      </c>
      <c r="S26" s="223">
        <v>6.64</v>
      </c>
      <c r="T26" s="223">
        <v>6.64</v>
      </c>
      <c r="U26" s="223">
        <v>6.4938719704549426</v>
      </c>
      <c r="V26" s="223">
        <v>6.5398290473014988</v>
      </c>
      <c r="X26" s="152"/>
      <c r="Y26" s="152"/>
      <c r="Z26" s="152"/>
    </row>
    <row r="27" spans="1:26" ht="14" customHeight="1">
      <c r="A27" s="77"/>
      <c r="B27" s="76" t="s">
        <v>43</v>
      </c>
      <c r="C27" s="218">
        <v>5.57</v>
      </c>
      <c r="D27" s="218">
        <v>5.7</v>
      </c>
      <c r="E27" s="218">
        <v>6.41</v>
      </c>
      <c r="F27" s="218">
        <v>6.08</v>
      </c>
      <c r="G27" s="218">
        <v>4.7</v>
      </c>
      <c r="H27" s="218">
        <v>5.69</v>
      </c>
      <c r="I27" s="218">
        <v>6.6</v>
      </c>
      <c r="J27" s="218">
        <v>6.89</v>
      </c>
      <c r="K27" s="218">
        <v>5.96</v>
      </c>
      <c r="L27" s="218">
        <v>6.11</v>
      </c>
      <c r="M27" s="218">
        <v>6.7</v>
      </c>
      <c r="N27" s="218">
        <v>6.83</v>
      </c>
      <c r="O27" s="223">
        <v>7.1</v>
      </c>
      <c r="P27" s="223">
        <v>7.83</v>
      </c>
      <c r="Q27" s="223">
        <v>7.18</v>
      </c>
      <c r="R27" s="223">
        <v>7.13</v>
      </c>
      <c r="S27" s="223">
        <v>6.27</v>
      </c>
      <c r="T27" s="223">
        <v>6.3</v>
      </c>
      <c r="U27" s="223">
        <v>6.4737949874754612</v>
      </c>
      <c r="V27" s="223">
        <v>6.5089043093014434</v>
      </c>
      <c r="X27" s="152"/>
      <c r="Y27" s="152"/>
      <c r="Z27" s="152"/>
    </row>
    <row r="28" spans="1:26" ht="14" customHeight="1">
      <c r="A28" s="31"/>
      <c r="B28" s="21" t="s">
        <v>44</v>
      </c>
      <c r="C28" s="218" t="s">
        <v>73</v>
      </c>
      <c r="D28" s="218" t="s">
        <v>73</v>
      </c>
      <c r="E28" s="218" t="s">
        <v>73</v>
      </c>
      <c r="F28" s="218" t="s">
        <v>73</v>
      </c>
      <c r="G28" s="218" t="s">
        <v>73</v>
      </c>
      <c r="H28" s="218" t="s">
        <v>73</v>
      </c>
      <c r="I28" s="218" t="s">
        <v>73</v>
      </c>
      <c r="J28" s="218" t="s">
        <v>73</v>
      </c>
      <c r="K28" s="218" t="s">
        <v>73</v>
      </c>
      <c r="L28" s="218" t="s">
        <v>73</v>
      </c>
      <c r="M28" s="218" t="s">
        <v>73</v>
      </c>
      <c r="N28" s="218" t="s">
        <v>73</v>
      </c>
      <c r="O28" s="218" t="s">
        <v>73</v>
      </c>
      <c r="P28" s="218" t="s">
        <v>73</v>
      </c>
      <c r="Q28" s="218" t="s">
        <v>73</v>
      </c>
      <c r="R28" s="218" t="s">
        <v>73</v>
      </c>
      <c r="S28" s="218" t="s">
        <v>73</v>
      </c>
      <c r="T28" s="218" t="s">
        <v>73</v>
      </c>
      <c r="U28" s="218" t="s">
        <v>73</v>
      </c>
      <c r="V28" s="218" t="s">
        <v>73</v>
      </c>
    </row>
    <row r="29" spans="1:26" ht="14" customHeight="1">
      <c r="A29" s="32"/>
      <c r="B29" s="32" t="s">
        <v>45</v>
      </c>
      <c r="C29" s="218" t="s">
        <v>73</v>
      </c>
      <c r="D29" s="218" t="s">
        <v>73</v>
      </c>
      <c r="E29" s="218" t="s">
        <v>73</v>
      </c>
      <c r="F29" s="218" t="s">
        <v>73</v>
      </c>
      <c r="G29" s="218" t="s">
        <v>73</v>
      </c>
      <c r="H29" s="218" t="s">
        <v>73</v>
      </c>
      <c r="I29" s="218" t="s">
        <v>73</v>
      </c>
      <c r="J29" s="218" t="s">
        <v>73</v>
      </c>
      <c r="K29" s="218" t="s">
        <v>73</v>
      </c>
      <c r="L29" s="218" t="s">
        <v>73</v>
      </c>
      <c r="M29" s="218" t="s">
        <v>73</v>
      </c>
      <c r="N29" s="218" t="s">
        <v>73</v>
      </c>
      <c r="O29" s="218" t="s">
        <v>73</v>
      </c>
      <c r="P29" s="218" t="s">
        <v>73</v>
      </c>
      <c r="Q29" s="218" t="s">
        <v>73</v>
      </c>
      <c r="R29" s="218" t="s">
        <v>73</v>
      </c>
      <c r="S29" s="218" t="s">
        <v>73</v>
      </c>
      <c r="T29" s="218" t="s">
        <v>73</v>
      </c>
      <c r="U29" s="218" t="s">
        <v>73</v>
      </c>
      <c r="V29" s="218" t="s">
        <v>73</v>
      </c>
    </row>
    <row r="30" spans="1:26" ht="14" customHeight="1">
      <c r="A30" s="38"/>
      <c r="B30" s="38" t="s">
        <v>46</v>
      </c>
      <c r="C30" s="218" t="s">
        <v>73</v>
      </c>
      <c r="D30" s="218" t="s">
        <v>73</v>
      </c>
      <c r="E30" s="218" t="s">
        <v>73</v>
      </c>
      <c r="F30" s="218" t="s">
        <v>73</v>
      </c>
      <c r="G30" s="218" t="s">
        <v>73</v>
      </c>
      <c r="H30" s="218" t="s">
        <v>73</v>
      </c>
      <c r="I30" s="218" t="s">
        <v>73</v>
      </c>
      <c r="J30" s="218" t="s">
        <v>73</v>
      </c>
      <c r="K30" s="218" t="s">
        <v>73</v>
      </c>
      <c r="L30" s="218" t="s">
        <v>73</v>
      </c>
      <c r="M30" s="218" t="s">
        <v>73</v>
      </c>
      <c r="N30" s="218" t="s">
        <v>73</v>
      </c>
      <c r="O30" s="218" t="s">
        <v>73</v>
      </c>
      <c r="P30" s="218" t="s">
        <v>73</v>
      </c>
      <c r="Q30" s="218" t="s">
        <v>73</v>
      </c>
      <c r="R30" s="218" t="s">
        <v>73</v>
      </c>
      <c r="S30" s="218" t="s">
        <v>73</v>
      </c>
      <c r="T30" s="218" t="s">
        <v>73</v>
      </c>
      <c r="U30" s="218" t="s">
        <v>73</v>
      </c>
      <c r="V30" s="218" t="s">
        <v>73</v>
      </c>
    </row>
    <row r="31" spans="1:26" ht="14" customHeight="1" thickBot="1">
      <c r="A31" s="36"/>
      <c r="B31" s="432" t="s">
        <v>47</v>
      </c>
      <c r="C31" s="433" t="s">
        <v>73</v>
      </c>
      <c r="D31" s="433" t="s">
        <v>73</v>
      </c>
      <c r="E31" s="433" t="s">
        <v>73</v>
      </c>
      <c r="F31" s="433" t="s">
        <v>73</v>
      </c>
      <c r="G31" s="433" t="s">
        <v>73</v>
      </c>
      <c r="H31" s="433" t="s">
        <v>73</v>
      </c>
      <c r="I31" s="433" t="s">
        <v>73</v>
      </c>
      <c r="J31" s="433" t="s">
        <v>73</v>
      </c>
      <c r="K31" s="433" t="s">
        <v>73</v>
      </c>
      <c r="L31" s="433" t="s">
        <v>73</v>
      </c>
      <c r="M31" s="433" t="s">
        <v>73</v>
      </c>
      <c r="N31" s="433" t="s">
        <v>73</v>
      </c>
      <c r="O31" s="433" t="s">
        <v>73</v>
      </c>
      <c r="P31" s="433" t="s">
        <v>73</v>
      </c>
      <c r="Q31" s="433" t="s">
        <v>73</v>
      </c>
      <c r="R31" s="433" t="s">
        <v>73</v>
      </c>
      <c r="S31" s="433" t="s">
        <v>73</v>
      </c>
      <c r="T31" s="433" t="s">
        <v>73</v>
      </c>
      <c r="U31" s="433" t="s">
        <v>73</v>
      </c>
      <c r="V31" s="433" t="s">
        <v>73</v>
      </c>
    </row>
    <row r="32" spans="1:26" ht="9" customHeight="1">
      <c r="A32" s="449" t="s">
        <v>330</v>
      </c>
      <c r="B32" s="451"/>
      <c r="C32" s="451"/>
      <c r="D32" s="451"/>
      <c r="E32" s="451"/>
      <c r="F32" s="471"/>
      <c r="G32" s="471"/>
      <c r="H32" s="471"/>
      <c r="I32" s="471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</row>
    <row r="33" spans="1:22" ht="9" customHeight="1">
      <c r="A33" s="449" t="s">
        <v>304</v>
      </c>
      <c r="B33" s="451"/>
      <c r="C33" s="451"/>
      <c r="D33" s="451"/>
      <c r="E33" s="451"/>
      <c r="F33" s="471"/>
      <c r="G33" s="471"/>
      <c r="H33" s="471"/>
      <c r="I33" s="471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</row>
    <row r="34" spans="1:22" ht="9" customHeight="1">
      <c r="A34" s="451" t="s">
        <v>303</v>
      </c>
      <c r="B34" s="456"/>
      <c r="C34" s="456"/>
      <c r="D34" s="456"/>
      <c r="E34" s="456"/>
      <c r="F34" s="471"/>
      <c r="G34" s="471"/>
      <c r="H34" s="471"/>
      <c r="I34" s="471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</row>
    <row r="35" spans="1:22" ht="13.25" customHeight="1">
      <c r="A35" s="471"/>
      <c r="B35" s="471"/>
      <c r="C35" s="471"/>
      <c r="D35" s="471"/>
      <c r="E35" s="471"/>
      <c r="F35" s="471"/>
      <c r="G35" s="471"/>
      <c r="H35" s="471"/>
      <c r="I35" s="47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51">
    <tabColor theme="9" tint="0.59999389629810485"/>
  </sheetPr>
  <dimension ref="A3:O54"/>
  <sheetViews>
    <sheetView showGridLines="0" topLeftCell="A2" zoomScaleNormal="100" workbookViewId="0">
      <selection activeCell="N37" sqref="N37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15" width="8" style="121" customWidth="1"/>
    <col min="16" max="16384" width="7" style="121"/>
  </cols>
  <sheetData>
    <row r="3" spans="1:15" ht="13.25" customHeight="1"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</row>
    <row r="4" spans="1:15" ht="13" customHeight="1">
      <c r="A4" s="228" t="s">
        <v>530</v>
      </c>
      <c r="B4" s="224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</row>
    <row r="5" spans="1:15" ht="12" customHeight="1">
      <c r="A5" s="231" t="s">
        <v>211</v>
      </c>
      <c r="B5" s="224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</row>
    <row r="6" spans="1:15" ht="6" customHeight="1" thickBot="1"/>
    <row r="7" spans="1:15" ht="18" customHeight="1">
      <c r="A7" s="736" t="s">
        <v>16</v>
      </c>
      <c r="B7" s="737" t="s">
        <v>103</v>
      </c>
      <c r="C7" s="736" t="s">
        <v>53</v>
      </c>
      <c r="D7" s="736" t="s">
        <v>54</v>
      </c>
      <c r="E7" s="736" t="s">
        <v>55</v>
      </c>
      <c r="F7" s="736" t="s">
        <v>56</v>
      </c>
      <c r="G7" s="736" t="s">
        <v>57</v>
      </c>
      <c r="H7" s="736" t="s">
        <v>58</v>
      </c>
      <c r="I7" s="736" t="s">
        <v>59</v>
      </c>
      <c r="J7" s="736" t="s">
        <v>60</v>
      </c>
      <c r="K7" s="736" t="s">
        <v>61</v>
      </c>
      <c r="L7" s="736" t="s">
        <v>62</v>
      </c>
      <c r="M7" s="736" t="s">
        <v>63</v>
      </c>
      <c r="N7" s="736" t="s">
        <v>64</v>
      </c>
    </row>
    <row r="8" spans="1:15" ht="18" customHeight="1">
      <c r="A8" s="635" t="s">
        <v>87</v>
      </c>
      <c r="B8" s="636">
        <f t="shared" ref="B8:N8" si="0">(B9+B10+B11+B12+B13+B17+B18+B19+B20+B21+B22+B23+B24+B25+B26+B27+B28+B29+B32+B33+B34+B35+B36+B37)</f>
        <v>826762063</v>
      </c>
      <c r="C8" s="637">
        <f t="shared" si="0"/>
        <v>68537258</v>
      </c>
      <c r="D8" s="637">
        <f t="shared" si="0"/>
        <v>60394900</v>
      </c>
      <c r="E8" s="637">
        <f t="shared" si="0"/>
        <v>67607362</v>
      </c>
      <c r="F8" s="637">
        <f t="shared" si="0"/>
        <v>65671847</v>
      </c>
      <c r="G8" s="637">
        <f t="shared" si="0"/>
        <v>70958335</v>
      </c>
      <c r="H8" s="637">
        <f t="shared" si="0"/>
        <v>68749863</v>
      </c>
      <c r="I8" s="637">
        <f t="shared" si="0"/>
        <v>71922920</v>
      </c>
      <c r="J8" s="637">
        <f t="shared" si="0"/>
        <v>71531845</v>
      </c>
      <c r="K8" s="637">
        <f t="shared" si="0"/>
        <v>69549901</v>
      </c>
      <c r="L8" s="637">
        <f t="shared" si="0"/>
        <v>70527858</v>
      </c>
      <c r="M8" s="637">
        <f t="shared" si="0"/>
        <v>69430107</v>
      </c>
      <c r="N8" s="637">
        <f t="shared" si="0"/>
        <v>71879867</v>
      </c>
    </row>
    <row r="9" spans="1:15" ht="16" customHeight="1">
      <c r="A9" s="143" t="s">
        <v>19</v>
      </c>
      <c r="B9" s="638">
        <f>SUM(C9:N9)</f>
        <v>93692</v>
      </c>
      <c r="C9" s="138">
        <v>4505</v>
      </c>
      <c r="D9" s="138">
        <v>5284</v>
      </c>
      <c r="E9" s="138">
        <v>7477</v>
      </c>
      <c r="F9" s="138">
        <v>7434</v>
      </c>
      <c r="G9" s="138">
        <v>4948</v>
      </c>
      <c r="H9" s="138">
        <v>6201</v>
      </c>
      <c r="I9" s="138">
        <v>6490</v>
      </c>
      <c r="J9" s="138">
        <v>13135</v>
      </c>
      <c r="K9" s="138">
        <v>9227</v>
      </c>
      <c r="L9" s="138">
        <v>5679</v>
      </c>
      <c r="M9" s="138">
        <v>15527</v>
      </c>
      <c r="N9" s="138">
        <v>7785</v>
      </c>
    </row>
    <row r="10" spans="1:15" ht="16" customHeight="1">
      <c r="A10" s="143" t="s">
        <v>20</v>
      </c>
      <c r="B10" s="638">
        <f t="shared" ref="B10:B37" si="1">SUM(C10:N10)</f>
        <v>13984017</v>
      </c>
      <c r="C10" s="138">
        <v>1296176</v>
      </c>
      <c r="D10" s="138">
        <v>1132959</v>
      </c>
      <c r="E10" s="138">
        <v>1055604</v>
      </c>
      <c r="F10" s="138">
        <v>1174400</v>
      </c>
      <c r="G10" s="138">
        <v>1128737</v>
      </c>
      <c r="H10" s="138">
        <v>1117439</v>
      </c>
      <c r="I10" s="138">
        <v>1107464</v>
      </c>
      <c r="J10" s="138">
        <v>1213159</v>
      </c>
      <c r="K10" s="138">
        <v>1122673</v>
      </c>
      <c r="L10" s="138">
        <v>1166247</v>
      </c>
      <c r="M10" s="138">
        <v>1244292</v>
      </c>
      <c r="N10" s="138">
        <v>1224867</v>
      </c>
    </row>
    <row r="11" spans="1:15" ht="16" customHeight="1">
      <c r="A11" s="143" t="s">
        <v>21</v>
      </c>
      <c r="B11" s="638">
        <f t="shared" si="1"/>
        <v>11388008</v>
      </c>
      <c r="C11" s="138">
        <v>1376904</v>
      </c>
      <c r="D11" s="138">
        <v>671332</v>
      </c>
      <c r="E11" s="138">
        <v>856777</v>
      </c>
      <c r="F11" s="138">
        <v>1216726</v>
      </c>
      <c r="G11" s="138">
        <v>628630</v>
      </c>
      <c r="H11" s="138">
        <v>1002041</v>
      </c>
      <c r="I11" s="138">
        <v>828926</v>
      </c>
      <c r="J11" s="138">
        <v>967303</v>
      </c>
      <c r="K11" s="138">
        <v>1040759</v>
      </c>
      <c r="L11" s="138">
        <v>965418</v>
      </c>
      <c r="M11" s="138">
        <v>1122379</v>
      </c>
      <c r="N11" s="138">
        <v>710813</v>
      </c>
    </row>
    <row r="12" spans="1:15" ht="16" customHeight="1">
      <c r="A12" s="121" t="s">
        <v>22</v>
      </c>
      <c r="B12" s="638">
        <f t="shared" si="1"/>
        <v>138011043</v>
      </c>
      <c r="C12" s="138">
        <v>11438720</v>
      </c>
      <c r="D12" s="138">
        <v>9865238</v>
      </c>
      <c r="E12" s="138">
        <v>12161649</v>
      </c>
      <c r="F12" s="138">
        <v>12090841</v>
      </c>
      <c r="G12" s="138">
        <v>11737250</v>
      </c>
      <c r="H12" s="138">
        <v>11303834</v>
      </c>
      <c r="I12" s="138">
        <v>12019224</v>
      </c>
      <c r="J12" s="138">
        <v>11285413</v>
      </c>
      <c r="K12" s="138">
        <v>11177535</v>
      </c>
      <c r="L12" s="138">
        <v>12039041</v>
      </c>
      <c r="M12" s="138">
        <v>11637326</v>
      </c>
      <c r="N12" s="138">
        <v>11254972</v>
      </c>
    </row>
    <row r="13" spans="1:15" ht="16" customHeight="1">
      <c r="A13" s="121" t="s">
        <v>23</v>
      </c>
      <c r="B13" s="638">
        <f t="shared" si="1"/>
        <v>1551092</v>
      </c>
      <c r="C13" s="138">
        <v>132631</v>
      </c>
      <c r="D13" s="138">
        <v>113916</v>
      </c>
      <c r="E13" s="138">
        <v>109124</v>
      </c>
      <c r="F13" s="138">
        <v>116672</v>
      </c>
      <c r="G13" s="138">
        <v>121080</v>
      </c>
      <c r="H13" s="138">
        <v>122807</v>
      </c>
      <c r="I13" s="138">
        <v>143783</v>
      </c>
      <c r="J13" s="138">
        <v>130119</v>
      </c>
      <c r="K13" s="138">
        <v>138177</v>
      </c>
      <c r="L13" s="138">
        <v>140539</v>
      </c>
      <c r="M13" s="138">
        <v>136932</v>
      </c>
      <c r="N13" s="138">
        <v>145312</v>
      </c>
    </row>
    <row r="14" spans="1:15" ht="16" customHeight="1">
      <c r="A14" s="119" t="s">
        <v>88</v>
      </c>
      <c r="B14" s="638">
        <f t="shared" si="1"/>
        <v>981114</v>
      </c>
      <c r="C14" s="138">
        <v>86505</v>
      </c>
      <c r="D14" s="138">
        <v>67237</v>
      </c>
      <c r="E14" s="138">
        <v>68178</v>
      </c>
      <c r="F14" s="138">
        <v>68887</v>
      </c>
      <c r="G14" s="138">
        <v>77482</v>
      </c>
      <c r="H14" s="138">
        <v>77239</v>
      </c>
      <c r="I14" s="138">
        <v>93446</v>
      </c>
      <c r="J14" s="138">
        <v>79949</v>
      </c>
      <c r="K14" s="138">
        <v>87449</v>
      </c>
      <c r="L14" s="138">
        <v>93564</v>
      </c>
      <c r="M14" s="138">
        <v>88464</v>
      </c>
      <c r="N14" s="138">
        <v>92714</v>
      </c>
    </row>
    <row r="15" spans="1:15" ht="16" customHeight="1">
      <c r="A15" s="119" t="s">
        <v>89</v>
      </c>
      <c r="B15" s="638">
        <f t="shared" si="1"/>
        <v>266050</v>
      </c>
      <c r="C15" s="138">
        <v>20048</v>
      </c>
      <c r="D15" s="138">
        <v>20891</v>
      </c>
      <c r="E15" s="138">
        <v>18973</v>
      </c>
      <c r="F15" s="138">
        <v>23088</v>
      </c>
      <c r="G15" s="138">
        <v>19799</v>
      </c>
      <c r="H15" s="138">
        <v>22079</v>
      </c>
      <c r="I15" s="138">
        <v>24693</v>
      </c>
      <c r="J15" s="138">
        <v>23197</v>
      </c>
      <c r="K15" s="138">
        <v>23714</v>
      </c>
      <c r="L15" s="138">
        <v>22978</v>
      </c>
      <c r="M15" s="138">
        <v>22791</v>
      </c>
      <c r="N15" s="138">
        <v>23799</v>
      </c>
    </row>
    <row r="16" spans="1:15" ht="16" customHeight="1">
      <c r="A16" s="119" t="s">
        <v>90</v>
      </c>
      <c r="B16" s="638">
        <f t="shared" si="1"/>
        <v>303928</v>
      </c>
      <c r="C16" s="138">
        <v>26078</v>
      </c>
      <c r="D16" s="138">
        <v>25788</v>
      </c>
      <c r="E16" s="138">
        <v>21973</v>
      </c>
      <c r="F16" s="138">
        <v>24697</v>
      </c>
      <c r="G16" s="138">
        <v>23799</v>
      </c>
      <c r="H16" s="138">
        <v>23489</v>
      </c>
      <c r="I16" s="138">
        <v>25644</v>
      </c>
      <c r="J16" s="138">
        <v>26973</v>
      </c>
      <c r="K16" s="138">
        <v>27014</v>
      </c>
      <c r="L16" s="138">
        <v>23997</v>
      </c>
      <c r="M16" s="138">
        <v>25677</v>
      </c>
      <c r="N16" s="138">
        <v>28799</v>
      </c>
    </row>
    <row r="17" spans="1:14" ht="16" customHeight="1">
      <c r="A17" s="143" t="s">
        <v>27</v>
      </c>
      <c r="B17" s="638">
        <f t="shared" si="1"/>
        <v>360533</v>
      </c>
      <c r="C17" s="138">
        <v>30386</v>
      </c>
      <c r="D17" s="138">
        <v>25367</v>
      </c>
      <c r="E17" s="138">
        <v>27809</v>
      </c>
      <c r="F17" s="138">
        <v>25756</v>
      </c>
      <c r="G17" s="138">
        <v>20447</v>
      </c>
      <c r="H17" s="138">
        <v>30457</v>
      </c>
      <c r="I17" s="138">
        <v>28720</v>
      </c>
      <c r="J17" s="138">
        <v>31284</v>
      </c>
      <c r="K17" s="138">
        <v>34447</v>
      </c>
      <c r="L17" s="138">
        <v>32846</v>
      </c>
      <c r="M17" s="138">
        <v>38820</v>
      </c>
      <c r="N17" s="138">
        <v>34194</v>
      </c>
    </row>
    <row r="18" spans="1:14" ht="16" customHeight="1">
      <c r="A18" s="121" t="s">
        <v>28</v>
      </c>
      <c r="B18" s="638">
        <f t="shared" si="1"/>
        <v>16545168</v>
      </c>
      <c r="C18" s="138">
        <v>1998476</v>
      </c>
      <c r="D18" s="138">
        <v>1078297</v>
      </c>
      <c r="E18" s="138">
        <v>1218427</v>
      </c>
      <c r="F18" s="138">
        <v>961049</v>
      </c>
      <c r="G18" s="138">
        <v>1787708</v>
      </c>
      <c r="H18" s="138">
        <v>1349155</v>
      </c>
      <c r="I18" s="138">
        <v>1643113</v>
      </c>
      <c r="J18" s="138">
        <v>1254622</v>
      </c>
      <c r="K18" s="138">
        <v>1327053</v>
      </c>
      <c r="L18" s="138">
        <v>1219957</v>
      </c>
      <c r="M18" s="138">
        <v>1059803</v>
      </c>
      <c r="N18" s="138">
        <v>1647508</v>
      </c>
    </row>
    <row r="19" spans="1:14" ht="16" customHeight="1">
      <c r="A19" s="121" t="s">
        <v>29</v>
      </c>
      <c r="B19" s="638">
        <f t="shared" si="1"/>
        <v>472384882</v>
      </c>
      <c r="C19" s="138">
        <v>38941385</v>
      </c>
      <c r="D19" s="138">
        <v>35018254</v>
      </c>
      <c r="E19" s="138">
        <v>37953066</v>
      </c>
      <c r="F19" s="138">
        <v>34868166</v>
      </c>
      <c r="G19" s="138">
        <v>39938771</v>
      </c>
      <c r="H19" s="138">
        <v>39132651</v>
      </c>
      <c r="I19" s="138">
        <v>40497297</v>
      </c>
      <c r="J19" s="138">
        <v>41561904</v>
      </c>
      <c r="K19" s="138">
        <v>40309273</v>
      </c>
      <c r="L19" s="138">
        <v>40933332</v>
      </c>
      <c r="M19" s="138">
        <v>40774564</v>
      </c>
      <c r="N19" s="138">
        <v>42456219</v>
      </c>
    </row>
    <row r="20" spans="1:14" ht="16" customHeight="1">
      <c r="A20" s="143" t="s">
        <v>30</v>
      </c>
      <c r="B20" s="638">
        <f t="shared" si="1"/>
        <v>43164575</v>
      </c>
      <c r="C20" s="138">
        <v>2947027</v>
      </c>
      <c r="D20" s="138">
        <v>2999060</v>
      </c>
      <c r="E20" s="138">
        <v>3756512</v>
      </c>
      <c r="F20" s="138">
        <v>4257517</v>
      </c>
      <c r="G20" s="138">
        <v>4300787</v>
      </c>
      <c r="H20" s="138">
        <v>3772625</v>
      </c>
      <c r="I20" s="138">
        <v>3832708</v>
      </c>
      <c r="J20" s="138">
        <v>3771262</v>
      </c>
      <c r="K20" s="138">
        <v>3714753</v>
      </c>
      <c r="L20" s="138">
        <v>3275051</v>
      </c>
      <c r="M20" s="138">
        <v>3190750</v>
      </c>
      <c r="N20" s="138">
        <v>3346523</v>
      </c>
    </row>
    <row r="21" spans="1:14" ht="16" customHeight="1">
      <c r="A21" s="143" t="s">
        <v>31</v>
      </c>
      <c r="B21" s="638">
        <f t="shared" si="1"/>
        <v>564447</v>
      </c>
      <c r="C21" s="138">
        <v>40418</v>
      </c>
      <c r="D21" s="138">
        <v>36272</v>
      </c>
      <c r="E21" s="138">
        <v>38222</v>
      </c>
      <c r="F21" s="138">
        <v>44124</v>
      </c>
      <c r="G21" s="138">
        <v>41062</v>
      </c>
      <c r="H21" s="138">
        <v>57762</v>
      </c>
      <c r="I21" s="138">
        <v>60731</v>
      </c>
      <c r="J21" s="138">
        <v>51777</v>
      </c>
      <c r="K21" s="138">
        <v>38357</v>
      </c>
      <c r="L21" s="138">
        <v>45995</v>
      </c>
      <c r="M21" s="138">
        <v>53396</v>
      </c>
      <c r="N21" s="138">
        <v>56331</v>
      </c>
    </row>
    <row r="22" spans="1:14" ht="16" customHeight="1">
      <c r="A22" s="143" t="s">
        <v>32</v>
      </c>
      <c r="B22" s="638">
        <f t="shared" si="1"/>
        <v>243240</v>
      </c>
      <c r="C22" s="138">
        <v>12236</v>
      </c>
      <c r="D22" s="138">
        <v>10046</v>
      </c>
      <c r="E22" s="138">
        <v>9653</v>
      </c>
      <c r="F22" s="138">
        <v>37276</v>
      </c>
      <c r="G22" s="138">
        <v>20052</v>
      </c>
      <c r="H22" s="138">
        <v>15004</v>
      </c>
      <c r="I22" s="138">
        <v>25035</v>
      </c>
      <c r="J22" s="138">
        <v>22610</v>
      </c>
      <c r="K22" s="138">
        <v>20876</v>
      </c>
      <c r="L22" s="138">
        <v>20596</v>
      </c>
      <c r="M22" s="138">
        <v>32130</v>
      </c>
      <c r="N22" s="138">
        <v>17726</v>
      </c>
    </row>
    <row r="23" spans="1:14" ht="16" customHeight="1">
      <c r="A23" s="143" t="s">
        <v>33</v>
      </c>
      <c r="B23" s="638">
        <f t="shared" si="1"/>
        <v>4331426</v>
      </c>
      <c r="C23" s="138">
        <v>302750</v>
      </c>
      <c r="D23" s="138">
        <v>334713</v>
      </c>
      <c r="E23" s="138">
        <v>403881</v>
      </c>
      <c r="F23" s="138">
        <v>401504</v>
      </c>
      <c r="G23" s="138">
        <v>405902</v>
      </c>
      <c r="H23" s="138">
        <v>351197</v>
      </c>
      <c r="I23" s="138">
        <v>360597</v>
      </c>
      <c r="J23" s="138">
        <v>359185</v>
      </c>
      <c r="K23" s="138">
        <v>332430</v>
      </c>
      <c r="L23" s="138">
        <v>348447</v>
      </c>
      <c r="M23" s="138">
        <v>365771</v>
      </c>
      <c r="N23" s="138">
        <v>365049</v>
      </c>
    </row>
    <row r="24" spans="1:14" ht="16" customHeight="1">
      <c r="A24" s="143" t="s">
        <v>34</v>
      </c>
      <c r="B24" s="638">
        <f t="shared" si="1"/>
        <v>430434</v>
      </c>
      <c r="C24" s="138">
        <v>34368</v>
      </c>
      <c r="D24" s="138">
        <v>35995</v>
      </c>
      <c r="E24" s="138">
        <v>33913</v>
      </c>
      <c r="F24" s="138">
        <v>39147</v>
      </c>
      <c r="G24" s="138">
        <v>34207</v>
      </c>
      <c r="H24" s="138">
        <v>35513</v>
      </c>
      <c r="I24" s="138">
        <v>38254</v>
      </c>
      <c r="J24" s="138">
        <v>40014</v>
      </c>
      <c r="K24" s="138">
        <v>30342</v>
      </c>
      <c r="L24" s="138">
        <v>30446</v>
      </c>
      <c r="M24" s="138">
        <v>33029</v>
      </c>
      <c r="N24" s="138">
        <v>45206</v>
      </c>
    </row>
    <row r="25" spans="1:14" ht="16" customHeight="1">
      <c r="A25" s="121" t="s">
        <v>35</v>
      </c>
      <c r="B25" s="638">
        <f t="shared" si="1"/>
        <v>72903694</v>
      </c>
      <c r="C25" s="138">
        <v>6010227</v>
      </c>
      <c r="D25" s="138">
        <v>5567116</v>
      </c>
      <c r="E25" s="138">
        <v>5886920</v>
      </c>
      <c r="F25" s="138">
        <v>6065762</v>
      </c>
      <c r="G25" s="138">
        <v>6368306</v>
      </c>
      <c r="H25" s="138">
        <v>6119340</v>
      </c>
      <c r="I25" s="138">
        <v>6844786</v>
      </c>
      <c r="J25" s="138">
        <v>6472836</v>
      </c>
      <c r="K25" s="138">
        <v>6131939</v>
      </c>
      <c r="L25" s="138">
        <v>5941811</v>
      </c>
      <c r="M25" s="138">
        <v>5726120</v>
      </c>
      <c r="N25" s="138">
        <v>5768531</v>
      </c>
    </row>
    <row r="26" spans="1:14" ht="16" customHeight="1">
      <c r="A26" s="143" t="s">
        <v>36</v>
      </c>
      <c r="B26" s="638">
        <f t="shared" si="1"/>
        <v>82718</v>
      </c>
      <c r="C26" s="138">
        <v>6012</v>
      </c>
      <c r="D26" s="138">
        <v>6287</v>
      </c>
      <c r="E26" s="138">
        <v>5720</v>
      </c>
      <c r="F26" s="138">
        <v>6107</v>
      </c>
      <c r="G26" s="138">
        <v>5307</v>
      </c>
      <c r="H26" s="138">
        <v>4719</v>
      </c>
      <c r="I26" s="138">
        <v>10456</v>
      </c>
      <c r="J26" s="138">
        <v>11327</v>
      </c>
      <c r="K26" s="138">
        <v>6190</v>
      </c>
      <c r="L26" s="138">
        <v>7146</v>
      </c>
      <c r="M26" s="138">
        <v>6913</v>
      </c>
      <c r="N26" s="138">
        <v>6534</v>
      </c>
    </row>
    <row r="27" spans="1:14" ht="16" customHeight="1">
      <c r="A27" s="143" t="s">
        <v>37</v>
      </c>
      <c r="B27" s="638">
        <f t="shared" si="1"/>
        <v>8199657</v>
      </c>
      <c r="C27" s="138">
        <v>675081</v>
      </c>
      <c r="D27" s="138">
        <v>573272</v>
      </c>
      <c r="E27" s="138">
        <v>745672</v>
      </c>
      <c r="F27" s="138">
        <v>731753</v>
      </c>
      <c r="G27" s="138">
        <v>768493</v>
      </c>
      <c r="H27" s="138">
        <v>715968</v>
      </c>
      <c r="I27" s="138">
        <v>738997</v>
      </c>
      <c r="J27" s="138">
        <v>676568</v>
      </c>
      <c r="K27" s="138">
        <v>654642</v>
      </c>
      <c r="L27" s="138">
        <v>630283</v>
      </c>
      <c r="M27" s="138">
        <v>613470</v>
      </c>
      <c r="N27" s="138">
        <v>675458</v>
      </c>
    </row>
    <row r="28" spans="1:14" ht="16" customHeight="1">
      <c r="A28" s="143" t="s">
        <v>38</v>
      </c>
      <c r="B28" s="638">
        <f t="shared" si="1"/>
        <v>461215</v>
      </c>
      <c r="C28" s="138">
        <v>33032</v>
      </c>
      <c r="D28" s="138">
        <v>30232</v>
      </c>
      <c r="E28" s="138">
        <v>31557</v>
      </c>
      <c r="F28" s="138">
        <v>45220</v>
      </c>
      <c r="G28" s="138">
        <v>36907</v>
      </c>
      <c r="H28" s="138">
        <v>36959</v>
      </c>
      <c r="I28" s="138">
        <v>42280</v>
      </c>
      <c r="J28" s="138">
        <v>43448</v>
      </c>
      <c r="K28" s="138">
        <v>37687</v>
      </c>
      <c r="L28" s="138">
        <v>37304</v>
      </c>
      <c r="M28" s="138">
        <v>37446</v>
      </c>
      <c r="N28" s="138">
        <v>49143</v>
      </c>
    </row>
    <row r="29" spans="1:14" ht="16" customHeight="1">
      <c r="A29" s="121" t="s">
        <v>39</v>
      </c>
      <c r="B29" s="638">
        <f t="shared" si="1"/>
        <v>319421</v>
      </c>
      <c r="C29" s="138">
        <v>28190</v>
      </c>
      <c r="D29" s="138">
        <v>23127</v>
      </c>
      <c r="E29" s="138">
        <v>26471</v>
      </c>
      <c r="F29" s="138">
        <v>32468</v>
      </c>
      <c r="G29" s="138">
        <v>27294</v>
      </c>
      <c r="H29" s="138">
        <v>26594</v>
      </c>
      <c r="I29" s="138">
        <v>28198</v>
      </c>
      <c r="J29" s="138">
        <v>26555</v>
      </c>
      <c r="K29" s="138">
        <v>25461</v>
      </c>
      <c r="L29" s="138">
        <v>26606</v>
      </c>
      <c r="M29" s="138">
        <v>23966</v>
      </c>
      <c r="N29" s="138">
        <v>24491</v>
      </c>
    </row>
    <row r="30" spans="1:14" ht="16" customHeight="1">
      <c r="A30" s="119" t="s">
        <v>91</v>
      </c>
      <c r="B30" s="638">
        <f t="shared" si="1"/>
        <v>198724</v>
      </c>
      <c r="C30" s="138">
        <v>18121</v>
      </c>
      <c r="D30" s="138">
        <v>14443</v>
      </c>
      <c r="E30" s="138">
        <v>17398</v>
      </c>
      <c r="F30" s="138">
        <v>19959</v>
      </c>
      <c r="G30" s="138">
        <v>16485</v>
      </c>
      <c r="H30" s="138">
        <v>16647</v>
      </c>
      <c r="I30" s="138">
        <v>17109</v>
      </c>
      <c r="J30" s="138">
        <v>16882</v>
      </c>
      <c r="K30" s="138">
        <v>15472</v>
      </c>
      <c r="L30" s="138">
        <v>16832</v>
      </c>
      <c r="M30" s="138">
        <v>14692</v>
      </c>
      <c r="N30" s="138">
        <v>14684</v>
      </c>
    </row>
    <row r="31" spans="1:14" ht="16" customHeight="1">
      <c r="A31" s="119" t="s">
        <v>92</v>
      </c>
      <c r="B31" s="638">
        <f t="shared" si="1"/>
        <v>120697</v>
      </c>
      <c r="C31" s="138">
        <v>10069</v>
      </c>
      <c r="D31" s="138">
        <v>8684</v>
      </c>
      <c r="E31" s="138">
        <v>9073</v>
      </c>
      <c r="F31" s="138">
        <v>12509</v>
      </c>
      <c r="G31" s="138">
        <v>10809</v>
      </c>
      <c r="H31" s="138">
        <v>9947</v>
      </c>
      <c r="I31" s="138">
        <v>11089</v>
      </c>
      <c r="J31" s="138">
        <v>9673</v>
      </c>
      <c r="K31" s="138">
        <v>9989</v>
      </c>
      <c r="L31" s="138">
        <v>9774</v>
      </c>
      <c r="M31" s="138">
        <v>9274</v>
      </c>
      <c r="N31" s="138">
        <v>9807</v>
      </c>
    </row>
    <row r="32" spans="1:14" ht="16" customHeight="1">
      <c r="A32" s="143" t="s">
        <v>42</v>
      </c>
      <c r="B32" s="638">
        <f t="shared" si="1"/>
        <v>1663749</v>
      </c>
      <c r="C32" s="138">
        <v>106663</v>
      </c>
      <c r="D32" s="138">
        <v>100852</v>
      </c>
      <c r="E32" s="138">
        <v>112338</v>
      </c>
      <c r="F32" s="138">
        <v>140530</v>
      </c>
      <c r="G32" s="138">
        <v>125316</v>
      </c>
      <c r="H32" s="138">
        <v>146891</v>
      </c>
      <c r="I32" s="138">
        <v>158490</v>
      </c>
      <c r="J32" s="138">
        <v>152759</v>
      </c>
      <c r="K32" s="138">
        <v>160511</v>
      </c>
      <c r="L32" s="138">
        <v>158164</v>
      </c>
      <c r="M32" s="138">
        <v>152934</v>
      </c>
      <c r="N32" s="138">
        <v>148301</v>
      </c>
    </row>
    <row r="33" spans="1:14" ht="16" customHeight="1">
      <c r="A33" s="143" t="s">
        <v>43</v>
      </c>
      <c r="B33" s="638">
        <f t="shared" si="1"/>
        <v>1193048</v>
      </c>
      <c r="C33" s="138">
        <v>91198</v>
      </c>
      <c r="D33" s="138">
        <v>88395</v>
      </c>
      <c r="E33" s="138">
        <v>77078</v>
      </c>
      <c r="F33" s="138">
        <v>100197</v>
      </c>
      <c r="G33" s="138">
        <v>105663</v>
      </c>
      <c r="H33" s="138">
        <v>102154</v>
      </c>
      <c r="I33" s="138">
        <v>101220</v>
      </c>
      <c r="J33" s="138">
        <v>122256</v>
      </c>
      <c r="K33" s="138">
        <v>103188</v>
      </c>
      <c r="L33" s="138">
        <v>97141</v>
      </c>
      <c r="M33" s="138">
        <v>102661</v>
      </c>
      <c r="N33" s="138">
        <v>101897</v>
      </c>
    </row>
    <row r="34" spans="1:14" ht="16" customHeight="1">
      <c r="A34" s="121" t="s">
        <v>44</v>
      </c>
      <c r="B34" s="638">
        <f t="shared" si="1"/>
        <v>17093773</v>
      </c>
      <c r="C34" s="138">
        <v>1333499</v>
      </c>
      <c r="D34" s="138">
        <v>1386959</v>
      </c>
      <c r="E34" s="138">
        <v>1464654</v>
      </c>
      <c r="F34" s="138">
        <v>1567773</v>
      </c>
      <c r="G34" s="138">
        <v>1658104</v>
      </c>
      <c r="H34" s="138">
        <v>1505255</v>
      </c>
      <c r="I34" s="138">
        <v>1524292</v>
      </c>
      <c r="J34" s="138">
        <v>1308674</v>
      </c>
      <c r="K34" s="138">
        <v>1294366</v>
      </c>
      <c r="L34" s="138">
        <v>1320774</v>
      </c>
      <c r="M34" s="138">
        <v>1300752</v>
      </c>
      <c r="N34" s="138">
        <v>1428671</v>
      </c>
    </row>
    <row r="35" spans="1:14" ht="16" customHeight="1">
      <c r="A35" s="121" t="s">
        <v>45</v>
      </c>
      <c r="B35" s="638">
        <f t="shared" si="1"/>
        <v>11299714</v>
      </c>
      <c r="C35" s="138">
        <v>915966</v>
      </c>
      <c r="D35" s="138">
        <v>779548</v>
      </c>
      <c r="E35" s="138">
        <v>893419</v>
      </c>
      <c r="F35" s="138">
        <v>873036</v>
      </c>
      <c r="G35" s="138">
        <v>827460</v>
      </c>
      <c r="H35" s="138">
        <v>909558</v>
      </c>
      <c r="I35" s="138">
        <v>968892</v>
      </c>
      <c r="J35" s="138">
        <v>971568</v>
      </c>
      <c r="K35" s="138">
        <v>978705</v>
      </c>
      <c r="L35" s="138">
        <v>917175</v>
      </c>
      <c r="M35" s="138">
        <v>968477</v>
      </c>
      <c r="N35" s="138">
        <v>1295910</v>
      </c>
    </row>
    <row r="36" spans="1:14" ht="16" customHeight="1">
      <c r="A36" s="121" t="s">
        <v>46</v>
      </c>
      <c r="B36" s="638">
        <f t="shared" si="1"/>
        <v>6539333</v>
      </c>
      <c r="C36" s="138">
        <v>404295</v>
      </c>
      <c r="D36" s="138">
        <v>250568</v>
      </c>
      <c r="E36" s="138">
        <v>420333</v>
      </c>
      <c r="F36" s="138">
        <v>547994</v>
      </c>
      <c r="G36" s="138">
        <v>533330</v>
      </c>
      <c r="H36" s="138">
        <v>583876</v>
      </c>
      <c r="I36" s="138">
        <v>566203</v>
      </c>
      <c r="J36" s="138">
        <v>688041</v>
      </c>
      <c r="K36" s="138">
        <v>529027</v>
      </c>
      <c r="L36" s="138">
        <v>821423</v>
      </c>
      <c r="M36" s="138">
        <v>506678</v>
      </c>
      <c r="N36" s="138">
        <v>687565</v>
      </c>
    </row>
    <row r="37" spans="1:14" ht="16" customHeight="1" thickBot="1">
      <c r="A37" s="145" t="s">
        <v>47</v>
      </c>
      <c r="B37" s="639">
        <f t="shared" si="1"/>
        <v>3953184</v>
      </c>
      <c r="C37" s="148">
        <v>377113</v>
      </c>
      <c r="D37" s="148">
        <v>261811</v>
      </c>
      <c r="E37" s="148">
        <v>311086</v>
      </c>
      <c r="F37" s="148">
        <v>320395</v>
      </c>
      <c r="G37" s="148">
        <v>332574</v>
      </c>
      <c r="H37" s="148">
        <v>301863</v>
      </c>
      <c r="I37" s="148">
        <v>346764</v>
      </c>
      <c r="J37" s="148">
        <v>356026</v>
      </c>
      <c r="K37" s="148">
        <v>332283</v>
      </c>
      <c r="L37" s="148">
        <v>346437</v>
      </c>
      <c r="M37" s="148">
        <v>285971</v>
      </c>
      <c r="N37" s="148">
        <v>380861</v>
      </c>
    </row>
    <row r="38" spans="1:14" ht="9" customHeight="1">
      <c r="A38" s="449" t="s">
        <v>330</v>
      </c>
      <c r="B38" s="476"/>
      <c r="C38" s="476"/>
      <c r="D38" s="476"/>
      <c r="E38" s="476"/>
      <c r="F38" s="235"/>
    </row>
    <row r="39" spans="1:14" ht="9" customHeight="1">
      <c r="A39" s="449" t="s">
        <v>304</v>
      </c>
      <c r="B39" s="476"/>
      <c r="C39" s="476"/>
      <c r="D39" s="476"/>
      <c r="E39" s="476"/>
      <c r="F39" s="235"/>
    </row>
    <row r="40" spans="1:14" ht="9" customHeight="1">
      <c r="A40" s="451" t="s">
        <v>303</v>
      </c>
      <c r="B40" s="476"/>
      <c r="C40" s="476"/>
      <c r="D40" s="476"/>
      <c r="E40" s="476"/>
      <c r="F40" s="235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Hoja52">
    <tabColor theme="9" tint="0.59999389629810485"/>
  </sheetPr>
  <dimension ref="A4:P54"/>
  <sheetViews>
    <sheetView showGridLines="0" zoomScaleNormal="100" workbookViewId="0">
      <selection activeCell="E27" sqref="E27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531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2" t="s">
        <v>210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16" ht="6" customHeight="1" thickBot="1"/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16" ht="18" customHeight="1">
      <c r="A8" s="640" t="s">
        <v>87</v>
      </c>
      <c r="B8" s="641">
        <f>SUM(C8:N8)</f>
        <v>1859237.5675774855</v>
      </c>
      <c r="C8" s="641">
        <f t="shared" ref="C8:N8" si="0">(C9+C10+C11+C12+C13+C17+C18+C19+C20+C21+C22+C23+C24+C25+C26+C27+C28+C29+C32+C33+C34+C35+C36+C37)</f>
        <v>152747.34135027282</v>
      </c>
      <c r="D8" s="641">
        <f t="shared" si="0"/>
        <v>133442.2649060002</v>
      </c>
      <c r="E8" s="641">
        <f t="shared" si="0"/>
        <v>146185.64207024421</v>
      </c>
      <c r="F8" s="641">
        <f t="shared" si="0"/>
        <v>146782.96902402944</v>
      </c>
      <c r="G8" s="641">
        <f t="shared" si="0"/>
        <v>159167.43631533769</v>
      </c>
      <c r="H8" s="641">
        <f t="shared" si="0"/>
        <v>155098.14956310167</v>
      </c>
      <c r="I8" s="641">
        <f t="shared" si="0"/>
        <v>161227.99773179684</v>
      </c>
      <c r="J8" s="641">
        <f t="shared" si="0"/>
        <v>158745.18923724807</v>
      </c>
      <c r="K8" s="641">
        <f t="shared" si="0"/>
        <v>157099.2405799728</v>
      </c>
      <c r="L8" s="641">
        <f t="shared" si="0"/>
        <v>162143.98190507945</v>
      </c>
      <c r="M8" s="641">
        <f t="shared" si="0"/>
        <v>156803.58154946522</v>
      </c>
      <c r="N8" s="641">
        <f t="shared" si="0"/>
        <v>169793.77334493707</v>
      </c>
    </row>
    <row r="9" spans="1:16" ht="16" customHeight="1">
      <c r="A9" s="143" t="s">
        <v>19</v>
      </c>
      <c r="B9" s="642">
        <f t="shared" ref="B9:B37" si="1">SUM(C9:N9)</f>
        <v>262.91057386751072</v>
      </c>
      <c r="C9" s="238">
        <v>10.555843213289331</v>
      </c>
      <c r="D9" s="238">
        <v>12.649775904452341</v>
      </c>
      <c r="E9" s="238">
        <v>17.419539628502779</v>
      </c>
      <c r="F9" s="238">
        <v>16.089100000000002</v>
      </c>
      <c r="G9" s="238">
        <v>10.6678</v>
      </c>
      <c r="H9" s="238">
        <v>13.353000000000002</v>
      </c>
      <c r="I9" s="238">
        <v>22.949911149999998</v>
      </c>
      <c r="J9" s="238">
        <v>45.666133600000002</v>
      </c>
      <c r="K9" s="238">
        <v>37.103450000000002</v>
      </c>
      <c r="L9" s="238">
        <v>12.066338931266262</v>
      </c>
      <c r="M9" s="238">
        <v>40.628881440000001</v>
      </c>
      <c r="N9" s="238">
        <v>23.7608</v>
      </c>
    </row>
    <row r="10" spans="1:16" ht="16" customHeight="1">
      <c r="A10" s="143" t="s">
        <v>20</v>
      </c>
      <c r="B10" s="642">
        <f t="shared" si="1"/>
        <v>31027.129806463712</v>
      </c>
      <c r="C10" s="238">
        <v>2845.218580886381</v>
      </c>
      <c r="D10" s="238">
        <v>2412.0753574597447</v>
      </c>
      <c r="E10" s="238">
        <v>2269.9414355219096</v>
      </c>
      <c r="F10" s="238">
        <v>2674.7491501956774</v>
      </c>
      <c r="G10" s="238">
        <v>2495.2382337499998</v>
      </c>
      <c r="H10" s="238">
        <v>2494.5760763500002</v>
      </c>
      <c r="I10" s="238">
        <v>2487.9536345000001</v>
      </c>
      <c r="J10" s="238">
        <v>2676.5858168</v>
      </c>
      <c r="K10" s="238">
        <v>2488.7279575000002</v>
      </c>
      <c r="L10" s="238">
        <v>2560.9615635</v>
      </c>
      <c r="M10" s="238">
        <v>2749.3995</v>
      </c>
      <c r="N10" s="238">
        <v>2871.7024999999999</v>
      </c>
    </row>
    <row r="11" spans="1:16" ht="16" customHeight="1">
      <c r="A11" s="143" t="s">
        <v>21</v>
      </c>
      <c r="B11" s="642">
        <f t="shared" si="1"/>
        <v>25241.8366311639</v>
      </c>
      <c r="C11" s="238">
        <v>3030.1737383046238</v>
      </c>
      <c r="D11" s="238">
        <v>1454.4555000000003</v>
      </c>
      <c r="E11" s="238">
        <v>1843.3352405576204</v>
      </c>
      <c r="F11" s="238">
        <v>2780.6878398016584</v>
      </c>
      <c r="G11" s="238">
        <v>1401.22173</v>
      </c>
      <c r="H11" s="238">
        <v>2238.0896548999995</v>
      </c>
      <c r="I11" s="238">
        <v>1856.93356945</v>
      </c>
      <c r="J11" s="238">
        <v>2127.9124176</v>
      </c>
      <c r="K11" s="238">
        <v>2327.9920799999995</v>
      </c>
      <c r="L11" s="238">
        <v>2112.4571367499998</v>
      </c>
      <c r="M11" s="238">
        <v>2454.1789537999998</v>
      </c>
      <c r="N11" s="238">
        <v>1614.39877</v>
      </c>
    </row>
    <row r="12" spans="1:16" ht="16" customHeight="1">
      <c r="A12" s="121" t="s">
        <v>22</v>
      </c>
      <c r="B12" s="642">
        <f t="shared" si="1"/>
        <v>305189.10296292795</v>
      </c>
      <c r="C12" s="238">
        <v>25367.267302403612</v>
      </c>
      <c r="D12" s="238">
        <v>21048.086712365792</v>
      </c>
      <c r="E12" s="238">
        <v>25974.340851070861</v>
      </c>
      <c r="F12" s="238">
        <v>26480.36456820395</v>
      </c>
      <c r="G12" s="238">
        <v>26082.597275</v>
      </c>
      <c r="H12" s="238">
        <v>25234.968095050001</v>
      </c>
      <c r="I12" s="238">
        <v>26726.216436849998</v>
      </c>
      <c r="J12" s="238">
        <v>24841.024380800001</v>
      </c>
      <c r="K12" s="238">
        <v>24842.983510000002</v>
      </c>
      <c r="L12" s="238">
        <v>26905.157341659749</v>
      </c>
      <c r="M12" s="238">
        <v>25649.326489523999</v>
      </c>
      <c r="N12" s="238">
        <v>26036.770000000004</v>
      </c>
    </row>
    <row r="13" spans="1:16" ht="16" customHeight="1">
      <c r="A13" s="121" t="s">
        <v>23</v>
      </c>
      <c r="B13" s="642">
        <f t="shared" si="1"/>
        <v>3438.3083841127964</v>
      </c>
      <c r="C13" s="238">
        <v>287.66122880885956</v>
      </c>
      <c r="D13" s="238">
        <v>257.36391695727087</v>
      </c>
      <c r="E13" s="238">
        <v>242.17234799666579</v>
      </c>
      <c r="F13" s="238">
        <v>261.3537</v>
      </c>
      <c r="G13" s="238">
        <v>268.77710000000002</v>
      </c>
      <c r="H13" s="238">
        <v>270.363</v>
      </c>
      <c r="I13" s="238">
        <v>311.11789999999996</v>
      </c>
      <c r="J13" s="238">
        <v>277.99258959999997</v>
      </c>
      <c r="K13" s="238">
        <v>299.49318625000001</v>
      </c>
      <c r="L13" s="238">
        <v>306.28151450000001</v>
      </c>
      <c r="M13" s="238">
        <v>319.17579999999998</v>
      </c>
      <c r="N13" s="238">
        <v>336.55610000000001</v>
      </c>
    </row>
    <row r="14" spans="1:16" ht="16" customHeight="1">
      <c r="A14" s="119" t="s">
        <v>88</v>
      </c>
      <c r="B14" s="642">
        <f t="shared" si="1"/>
        <v>2215.4550841127962</v>
      </c>
      <c r="C14" s="238">
        <v>188.88542880885956</v>
      </c>
      <c r="D14" s="238">
        <v>156.27991695727087</v>
      </c>
      <c r="E14" s="238">
        <v>154.01864799666581</v>
      </c>
      <c r="F14" s="238">
        <v>157.64000000000001</v>
      </c>
      <c r="G14" s="238">
        <v>173.73310000000001</v>
      </c>
      <c r="H14" s="238">
        <v>173.90800000000002</v>
      </c>
      <c r="I14" s="238">
        <v>206.56189999999998</v>
      </c>
      <c r="J14" s="238">
        <v>171.74658959999999</v>
      </c>
      <c r="K14" s="238">
        <v>193.25618624999998</v>
      </c>
      <c r="L14" s="238">
        <v>205.32351449999999</v>
      </c>
      <c r="M14" s="238">
        <v>215.5598</v>
      </c>
      <c r="N14" s="238">
        <v>218.54199999999997</v>
      </c>
    </row>
    <row r="15" spans="1:16" ht="16" customHeight="1">
      <c r="A15" s="119" t="s">
        <v>89</v>
      </c>
      <c r="B15" s="642">
        <f t="shared" si="1"/>
        <v>555.44729999999993</v>
      </c>
      <c r="C15" s="238">
        <v>41.428899999999999</v>
      </c>
      <c r="D15" s="238">
        <v>45.542999999999999</v>
      </c>
      <c r="E15" s="238">
        <v>39.964700000000001</v>
      </c>
      <c r="F15" s="238">
        <v>50.064700000000002</v>
      </c>
      <c r="G15" s="238">
        <v>43.372999999999998</v>
      </c>
      <c r="H15" s="238">
        <v>45.396999999999998</v>
      </c>
      <c r="I15" s="238">
        <v>50.238999999999997</v>
      </c>
      <c r="J15" s="238">
        <v>48.637999999999998</v>
      </c>
      <c r="K15" s="238">
        <v>48.115000000000002</v>
      </c>
      <c r="L15" s="238">
        <v>46.639000000000003</v>
      </c>
      <c r="M15" s="238">
        <v>46.408999999999999</v>
      </c>
      <c r="N15" s="238">
        <v>49.636000000000003</v>
      </c>
    </row>
    <row r="16" spans="1:16" ht="16" customHeight="1">
      <c r="A16" s="119" t="s">
        <v>90</v>
      </c>
      <c r="B16" s="642">
        <f t="shared" si="1"/>
        <v>667.40600000000006</v>
      </c>
      <c r="C16" s="238">
        <v>57.346899999999998</v>
      </c>
      <c r="D16" s="238">
        <v>55.540999999999997</v>
      </c>
      <c r="E16" s="238">
        <v>48.189</v>
      </c>
      <c r="F16" s="238">
        <v>53.649000000000001</v>
      </c>
      <c r="G16" s="238">
        <v>51.670999999999999</v>
      </c>
      <c r="H16" s="238">
        <v>51.058</v>
      </c>
      <c r="I16" s="238">
        <v>54.317</v>
      </c>
      <c r="J16" s="238">
        <v>57.607999999999997</v>
      </c>
      <c r="K16" s="238">
        <v>58.122</v>
      </c>
      <c r="L16" s="238">
        <v>54.319000000000003</v>
      </c>
      <c r="M16" s="238">
        <v>57.207000000000001</v>
      </c>
      <c r="N16" s="238">
        <v>68.378100000000003</v>
      </c>
    </row>
    <row r="17" spans="1:14" ht="16" customHeight="1">
      <c r="A17" s="143" t="s">
        <v>27</v>
      </c>
      <c r="B17" s="642">
        <f t="shared" si="1"/>
        <v>739.20854666999992</v>
      </c>
      <c r="C17" s="238">
        <v>65.375</v>
      </c>
      <c r="D17" s="238">
        <v>53.7393</v>
      </c>
      <c r="E17" s="238">
        <v>58.246000000000002</v>
      </c>
      <c r="F17" s="238">
        <v>53.188000000000002</v>
      </c>
      <c r="G17" s="238">
        <v>44.76</v>
      </c>
      <c r="H17" s="238">
        <v>59.263000000000005</v>
      </c>
      <c r="I17" s="238">
        <v>56.313900000000004</v>
      </c>
      <c r="J17" s="238">
        <v>61.927500000000002</v>
      </c>
      <c r="K17" s="238">
        <v>66.376000000000005</v>
      </c>
      <c r="L17" s="238">
        <v>64.798000000000002</v>
      </c>
      <c r="M17" s="238">
        <v>81.646180000000001</v>
      </c>
      <c r="N17" s="238">
        <v>73.575666670000004</v>
      </c>
    </row>
    <row r="18" spans="1:14" ht="16" customHeight="1">
      <c r="A18" s="121" t="s">
        <v>28</v>
      </c>
      <c r="B18" s="642">
        <f t="shared" si="1"/>
        <v>37406.833775118663</v>
      </c>
      <c r="C18" s="238">
        <v>4458.6977231246428</v>
      </c>
      <c r="D18" s="238">
        <v>2417.1518000000001</v>
      </c>
      <c r="E18" s="238">
        <v>2700.8388</v>
      </c>
      <c r="F18" s="238">
        <v>2257.4705159940136</v>
      </c>
      <c r="G18" s="238">
        <v>4061.6183000000001</v>
      </c>
      <c r="H18" s="238">
        <v>3063.518</v>
      </c>
      <c r="I18" s="238">
        <v>3744.1878845000001</v>
      </c>
      <c r="J18" s="238">
        <v>2827.4557239999999</v>
      </c>
      <c r="K18" s="238">
        <v>2989.2671</v>
      </c>
      <c r="L18" s="238">
        <v>2756.3926574999996</v>
      </c>
      <c r="M18" s="238">
        <v>2376.8179</v>
      </c>
      <c r="N18" s="238">
        <v>3753.4173699999997</v>
      </c>
    </row>
    <row r="19" spans="1:14" ht="16" customHeight="1">
      <c r="A19" s="121" t="s">
        <v>29</v>
      </c>
      <c r="B19" s="642">
        <f t="shared" si="1"/>
        <v>1072413.5399395518</v>
      </c>
      <c r="C19" s="238">
        <v>86958.669869432575</v>
      </c>
      <c r="D19" s="238">
        <v>78761.407813695027</v>
      </c>
      <c r="E19" s="238">
        <v>82481.340565631952</v>
      </c>
      <c r="F19" s="238">
        <v>78067.651605097606</v>
      </c>
      <c r="G19" s="238">
        <v>90374.180342837688</v>
      </c>
      <c r="H19" s="238">
        <v>88946.7750042017</v>
      </c>
      <c r="I19" s="238">
        <v>91226.60132719684</v>
      </c>
      <c r="J19" s="238">
        <v>92679.896743648103</v>
      </c>
      <c r="K19" s="238">
        <v>92164.191873722782</v>
      </c>
      <c r="L19" s="238">
        <v>95381.282595865196</v>
      </c>
      <c r="M19" s="238">
        <v>92777.367439955255</v>
      </c>
      <c r="N19" s="238">
        <v>102594.17475826709</v>
      </c>
    </row>
    <row r="20" spans="1:14" ht="16" customHeight="1">
      <c r="A20" s="143" t="s">
        <v>30</v>
      </c>
      <c r="B20" s="642">
        <f t="shared" si="1"/>
        <v>96390.975807179697</v>
      </c>
      <c r="C20" s="238">
        <v>6456.8739221163414</v>
      </c>
      <c r="D20" s="238">
        <v>6371.1035359678945</v>
      </c>
      <c r="E20" s="238">
        <v>8113.3446354519001</v>
      </c>
      <c r="F20" s="238">
        <v>9582.9479963102094</v>
      </c>
      <c r="G20" s="238">
        <v>9467.8489999999983</v>
      </c>
      <c r="H20" s="238">
        <v>8419.612000000001</v>
      </c>
      <c r="I20" s="238">
        <v>8483.3682000000008</v>
      </c>
      <c r="J20" s="238">
        <v>8288.1378999999997</v>
      </c>
      <c r="K20" s="238">
        <v>8261.6125499999998</v>
      </c>
      <c r="L20" s="238">
        <v>7789.4379840000001</v>
      </c>
      <c r="M20" s="238">
        <v>7596.8487999999998</v>
      </c>
      <c r="N20" s="238">
        <v>7559.8392833333301</v>
      </c>
    </row>
    <row r="21" spans="1:14" ht="16" customHeight="1">
      <c r="A21" s="143" t="s">
        <v>31</v>
      </c>
      <c r="B21" s="642">
        <f t="shared" si="1"/>
        <v>1214.5537291440201</v>
      </c>
      <c r="C21" s="238">
        <v>86.592299999999994</v>
      </c>
      <c r="D21" s="238">
        <v>79.021000000000001</v>
      </c>
      <c r="E21" s="238">
        <v>81.307869999999994</v>
      </c>
      <c r="F21" s="238">
        <v>90.504599999999996</v>
      </c>
      <c r="G21" s="238">
        <v>88.678489999999996</v>
      </c>
      <c r="H21" s="238">
        <v>122.039</v>
      </c>
      <c r="I21" s="238">
        <v>127.2291</v>
      </c>
      <c r="J21" s="238">
        <v>110.73100000000001</v>
      </c>
      <c r="K21" s="238">
        <v>85.147999999999996</v>
      </c>
      <c r="L21" s="238">
        <v>105.10939114401999</v>
      </c>
      <c r="M21" s="238">
        <v>115.35740800000001</v>
      </c>
      <c r="N21" s="238">
        <v>122.83556999999999</v>
      </c>
    </row>
    <row r="22" spans="1:14" ht="16" customHeight="1">
      <c r="A22" s="143" t="s">
        <v>32</v>
      </c>
      <c r="B22" s="642">
        <f t="shared" si="1"/>
        <v>533.27201821083554</v>
      </c>
      <c r="C22" s="238">
        <v>26.5185</v>
      </c>
      <c r="D22" s="238">
        <v>20.856593340656833</v>
      </c>
      <c r="E22" s="238">
        <v>20.6754</v>
      </c>
      <c r="F22" s="238">
        <v>81.080799999999996</v>
      </c>
      <c r="G22" s="238">
        <v>43.916200000000003</v>
      </c>
      <c r="H22" s="238">
        <v>33.935000000000002</v>
      </c>
      <c r="I22" s="238">
        <v>55.655999999999999</v>
      </c>
      <c r="J22" s="238">
        <v>48.6325</v>
      </c>
      <c r="K22" s="238">
        <v>45.606000000000002</v>
      </c>
      <c r="L22" s="238">
        <v>45.091535870178703</v>
      </c>
      <c r="M22" s="238">
        <v>71.643489000000002</v>
      </c>
      <c r="N22" s="238">
        <v>39.660000000000004</v>
      </c>
    </row>
    <row r="23" spans="1:14" ht="16" customHeight="1">
      <c r="A23" s="143" t="s">
        <v>33</v>
      </c>
      <c r="B23" s="642">
        <f t="shared" si="1"/>
        <v>9569.4467743293299</v>
      </c>
      <c r="C23" s="238">
        <v>655.74790524098398</v>
      </c>
      <c r="D23" s="238">
        <v>731.1915300379784</v>
      </c>
      <c r="E23" s="238">
        <v>877.53577925700552</v>
      </c>
      <c r="F23" s="238">
        <v>872.38819999999998</v>
      </c>
      <c r="G23" s="238">
        <v>876.93</v>
      </c>
      <c r="H23" s="238">
        <v>780.23699999999997</v>
      </c>
      <c r="I23" s="238">
        <v>801.7938903999999</v>
      </c>
      <c r="J23" s="238">
        <v>788.94665840000005</v>
      </c>
      <c r="K23" s="238">
        <v>741.41338750000011</v>
      </c>
      <c r="L23" s="238">
        <v>782.22742349336181</v>
      </c>
      <c r="M23" s="238">
        <v>808.43669999999997</v>
      </c>
      <c r="N23" s="238">
        <v>852.59829999999999</v>
      </c>
    </row>
    <row r="24" spans="1:14" ht="16" customHeight="1">
      <c r="A24" s="143" t="s">
        <v>34</v>
      </c>
      <c r="B24" s="642">
        <f t="shared" si="1"/>
        <v>913.40697903548789</v>
      </c>
      <c r="C24" s="238">
        <v>72.227999999999994</v>
      </c>
      <c r="D24" s="238">
        <v>76.573299999999989</v>
      </c>
      <c r="E24" s="238">
        <v>71.2607</v>
      </c>
      <c r="F24" s="238">
        <v>85.316999999999993</v>
      </c>
      <c r="G24" s="238">
        <v>73.162999999999997</v>
      </c>
      <c r="H24" s="238">
        <v>75.411000000000001</v>
      </c>
      <c r="I24" s="238">
        <v>76.472999999999999</v>
      </c>
      <c r="J24" s="238">
        <v>81.653000000000006</v>
      </c>
      <c r="K24" s="238">
        <v>65.805000000000007</v>
      </c>
      <c r="L24" s="238">
        <v>65.133979035487897</v>
      </c>
      <c r="M24" s="238">
        <v>70.417000000000002</v>
      </c>
      <c r="N24" s="238">
        <v>99.971999999999994</v>
      </c>
    </row>
    <row r="25" spans="1:14" ht="16" customHeight="1">
      <c r="A25" s="121" t="s">
        <v>35</v>
      </c>
      <c r="B25" s="642">
        <f t="shared" si="1"/>
        <v>162454.02352085273</v>
      </c>
      <c r="C25" s="238">
        <v>13562.121596697893</v>
      </c>
      <c r="D25" s="238">
        <v>12200.253999999999</v>
      </c>
      <c r="E25" s="238">
        <v>12537.266</v>
      </c>
      <c r="F25" s="238">
        <v>13874.827435894842</v>
      </c>
      <c r="G25" s="238">
        <v>14105.936692500001</v>
      </c>
      <c r="H25" s="238">
        <v>13735.6871128</v>
      </c>
      <c r="I25" s="238">
        <v>15347.241984600001</v>
      </c>
      <c r="J25" s="238">
        <v>14270.368181599999</v>
      </c>
      <c r="K25" s="238">
        <v>13602.0687375</v>
      </c>
      <c r="L25" s="238">
        <v>13402.868368999998</v>
      </c>
      <c r="M25" s="238">
        <v>12807.81478026</v>
      </c>
      <c r="N25" s="238">
        <v>13007.568630000002</v>
      </c>
    </row>
    <row r="26" spans="1:14" ht="16" customHeight="1">
      <c r="A26" s="143" t="s">
        <v>36</v>
      </c>
      <c r="B26" s="642">
        <f t="shared" si="1"/>
        <v>180.96624499999999</v>
      </c>
      <c r="C26" s="238">
        <v>12.951000000000001</v>
      </c>
      <c r="D26" s="238">
        <v>13.991</v>
      </c>
      <c r="E26" s="238">
        <v>12.308</v>
      </c>
      <c r="F26" s="238">
        <v>13.4415</v>
      </c>
      <c r="G26" s="238">
        <v>12.053637500000001</v>
      </c>
      <c r="H26" s="238">
        <v>9.8312000000000008</v>
      </c>
      <c r="I26" s="238">
        <v>20.952999999999999</v>
      </c>
      <c r="J26" s="238">
        <v>22.087</v>
      </c>
      <c r="K26" s="238">
        <v>13.238</v>
      </c>
      <c r="L26" s="238">
        <v>15.6299075</v>
      </c>
      <c r="M26" s="238">
        <v>19.923999999999999</v>
      </c>
      <c r="N26" s="238">
        <v>14.558</v>
      </c>
    </row>
    <row r="27" spans="1:14" ht="16" customHeight="1">
      <c r="A27" s="143" t="s">
        <v>37</v>
      </c>
      <c r="B27" s="642">
        <f t="shared" si="1"/>
        <v>18179.653542479307</v>
      </c>
      <c r="C27" s="238">
        <v>1487.4392060719924</v>
      </c>
      <c r="D27" s="238">
        <v>1272.0350000000001</v>
      </c>
      <c r="E27" s="238">
        <v>1592.5270000000003</v>
      </c>
      <c r="F27" s="238">
        <v>1602.9193</v>
      </c>
      <c r="G27" s="238">
        <v>1693.4001999999998</v>
      </c>
      <c r="H27" s="238">
        <v>1590.413</v>
      </c>
      <c r="I27" s="238">
        <v>1634.3731531000001</v>
      </c>
      <c r="J27" s="238">
        <v>1487.6349312000002</v>
      </c>
      <c r="K27" s="238">
        <v>1454.5054975</v>
      </c>
      <c r="L27" s="238">
        <v>1416.0907744293161</v>
      </c>
      <c r="M27" s="238">
        <v>1424.2379501780001</v>
      </c>
      <c r="N27" s="238">
        <v>1524.0775299999998</v>
      </c>
    </row>
    <row r="28" spans="1:14" ht="16" customHeight="1">
      <c r="A28" s="143" t="s">
        <v>38</v>
      </c>
      <c r="B28" s="642">
        <f t="shared" si="1"/>
        <v>1029.8851383457556</v>
      </c>
      <c r="C28" s="238">
        <v>96.24967058153581</v>
      </c>
      <c r="D28" s="238">
        <v>66.679199999999994</v>
      </c>
      <c r="E28" s="238">
        <v>70.173000000000002</v>
      </c>
      <c r="F28" s="238">
        <v>96.620999999999995</v>
      </c>
      <c r="G28" s="238">
        <v>78.536100000000005</v>
      </c>
      <c r="H28" s="238">
        <v>82.243932549999997</v>
      </c>
      <c r="I28" s="238">
        <v>89.066532500000008</v>
      </c>
      <c r="J28" s="238">
        <v>92.003415199999992</v>
      </c>
      <c r="K28" s="238">
        <v>76.107399999999998</v>
      </c>
      <c r="L28" s="238">
        <v>78.846787514219997</v>
      </c>
      <c r="M28" s="238">
        <v>80.144999999999996</v>
      </c>
      <c r="N28" s="238">
        <v>123.2131</v>
      </c>
    </row>
    <row r="29" spans="1:14" ht="16" customHeight="1">
      <c r="A29" s="121" t="s">
        <v>39</v>
      </c>
      <c r="B29" s="642">
        <f t="shared" si="1"/>
        <v>696.77622056813289</v>
      </c>
      <c r="C29" s="238">
        <v>58.707843213289337</v>
      </c>
      <c r="D29" s="238">
        <v>50.121942258755006</v>
      </c>
      <c r="E29" s="238">
        <v>56.305887146088381</v>
      </c>
      <c r="F29" s="238">
        <v>68.570999999999998</v>
      </c>
      <c r="G29" s="238">
        <v>57.788600000000002</v>
      </c>
      <c r="H29" s="238">
        <v>58.396999999999998</v>
      </c>
      <c r="I29" s="238">
        <v>63.261132749999994</v>
      </c>
      <c r="J29" s="238">
        <v>58.660915200000005</v>
      </c>
      <c r="K29" s="238">
        <v>54.691000000000003</v>
      </c>
      <c r="L29" s="238">
        <v>56.974000000000004</v>
      </c>
      <c r="M29" s="238">
        <v>54.710000000000008</v>
      </c>
      <c r="N29" s="238">
        <v>58.5869</v>
      </c>
    </row>
    <row r="30" spans="1:14" ht="16" customHeight="1">
      <c r="A30" s="119" t="s">
        <v>91</v>
      </c>
      <c r="B30" s="642">
        <f t="shared" si="1"/>
        <v>433.30632056813272</v>
      </c>
      <c r="C30" s="238">
        <v>36.075843213289332</v>
      </c>
      <c r="D30" s="238">
        <v>31.698742258755004</v>
      </c>
      <c r="E30" s="238">
        <v>37.077887146088379</v>
      </c>
      <c r="F30" s="238">
        <v>41.502000000000002</v>
      </c>
      <c r="G30" s="238">
        <v>34.279800000000002</v>
      </c>
      <c r="H30" s="238">
        <v>35.689</v>
      </c>
      <c r="I30" s="238">
        <v>38.614132749999996</v>
      </c>
      <c r="J30" s="238">
        <v>38.131915200000002</v>
      </c>
      <c r="K30" s="238">
        <v>32.962000000000003</v>
      </c>
      <c r="L30" s="238">
        <v>36.042999999999999</v>
      </c>
      <c r="M30" s="238">
        <v>34.953000000000003</v>
      </c>
      <c r="N30" s="238">
        <v>36.279000000000003</v>
      </c>
    </row>
    <row r="31" spans="1:14" ht="16" customHeight="1">
      <c r="A31" s="119" t="s">
        <v>92</v>
      </c>
      <c r="B31" s="642">
        <f t="shared" si="1"/>
        <v>263.4699</v>
      </c>
      <c r="C31" s="238">
        <v>22.632000000000001</v>
      </c>
      <c r="D31" s="238">
        <v>18.423200000000001</v>
      </c>
      <c r="E31" s="238">
        <v>19.228000000000002</v>
      </c>
      <c r="F31" s="238">
        <v>27.068999999999999</v>
      </c>
      <c r="G31" s="238">
        <v>23.508800000000001</v>
      </c>
      <c r="H31" s="238">
        <v>22.707999999999998</v>
      </c>
      <c r="I31" s="238">
        <v>24.646999999999998</v>
      </c>
      <c r="J31" s="238">
        <v>20.529</v>
      </c>
      <c r="K31" s="238">
        <v>21.728999999999999</v>
      </c>
      <c r="L31" s="238">
        <v>20.931000000000001</v>
      </c>
      <c r="M31" s="238">
        <v>19.757000000000001</v>
      </c>
      <c r="N31" s="238">
        <v>22.3079</v>
      </c>
    </row>
    <row r="32" spans="1:14" ht="16" customHeight="1">
      <c r="A32" s="143" t="s">
        <v>42</v>
      </c>
      <c r="B32" s="642">
        <f t="shared" si="1"/>
        <v>3704.9126229036747</v>
      </c>
      <c r="C32" s="238">
        <v>286.10333850367448</v>
      </c>
      <c r="D32" s="238">
        <v>220.97800000000001</v>
      </c>
      <c r="E32" s="238">
        <v>239.5504</v>
      </c>
      <c r="F32" s="238">
        <v>278.21129999999999</v>
      </c>
      <c r="G32" s="238">
        <v>272.26599999999996</v>
      </c>
      <c r="H32" s="238">
        <v>321.69211280000002</v>
      </c>
      <c r="I32" s="238">
        <v>348.55033125</v>
      </c>
      <c r="J32" s="238">
        <v>348.79755280000001</v>
      </c>
      <c r="K32" s="238">
        <v>350.41319999999996</v>
      </c>
      <c r="L32" s="238">
        <v>350.68188750000002</v>
      </c>
      <c r="M32" s="238">
        <v>356.35361005000004</v>
      </c>
      <c r="N32" s="238">
        <v>331.31488999999999</v>
      </c>
    </row>
    <row r="33" spans="1:14" ht="16" customHeight="1">
      <c r="A33" s="143" t="s">
        <v>43</v>
      </c>
      <c r="B33" s="642">
        <f t="shared" si="1"/>
        <v>2508.2240227027401</v>
      </c>
      <c r="C33" s="238">
        <v>189.84594541827707</v>
      </c>
      <c r="D33" s="238">
        <v>181.71010000000001</v>
      </c>
      <c r="E33" s="238">
        <v>162.28117</v>
      </c>
      <c r="F33" s="238">
        <v>204.14605453446299</v>
      </c>
      <c r="G33" s="238">
        <v>220.06539999999998</v>
      </c>
      <c r="H33" s="238">
        <v>218.17324439999999</v>
      </c>
      <c r="I33" s="238">
        <v>215.97651934999999</v>
      </c>
      <c r="J33" s="238">
        <v>255.59100000000001</v>
      </c>
      <c r="K33" s="238">
        <v>223.77500000000001</v>
      </c>
      <c r="L33" s="238">
        <v>205.51150000000001</v>
      </c>
      <c r="M33" s="238">
        <v>214.77848900000001</v>
      </c>
      <c r="N33" s="238">
        <v>216.36959999999999</v>
      </c>
    </row>
    <row r="34" spans="1:14" ht="16" customHeight="1">
      <c r="A34" s="121" t="s">
        <v>44</v>
      </c>
      <c r="B34" s="642">
        <f t="shared" si="1"/>
        <v>37820.099282413692</v>
      </c>
      <c r="C34" s="238">
        <v>2946.1421821163412</v>
      </c>
      <c r="D34" s="238">
        <v>2916.0078331881427</v>
      </c>
      <c r="E34" s="238">
        <v>3135.2869354518998</v>
      </c>
      <c r="F34" s="238">
        <v>3531.6870999999996</v>
      </c>
      <c r="G34" s="238">
        <v>3687.6350000000002</v>
      </c>
      <c r="H34" s="238">
        <v>3340.4879999999998</v>
      </c>
      <c r="I34" s="238">
        <v>3359.3942597999999</v>
      </c>
      <c r="J34" s="238">
        <v>2926.4411000000005</v>
      </c>
      <c r="K34" s="238">
        <v>2844.7716499999997</v>
      </c>
      <c r="L34" s="238">
        <v>3069.85057738664</v>
      </c>
      <c r="M34" s="238">
        <v>2857.7075178039995</v>
      </c>
      <c r="N34" s="238">
        <v>3204.6871266666699</v>
      </c>
    </row>
    <row r="35" spans="1:14" ht="16" customHeight="1">
      <c r="A35" s="121" t="s">
        <v>45</v>
      </c>
      <c r="B35" s="642">
        <f t="shared" si="1"/>
        <v>24983.196964125345</v>
      </c>
      <c r="C35" s="238">
        <v>2049.88762880886</v>
      </c>
      <c r="D35" s="238">
        <v>1700.4193780575488</v>
      </c>
      <c r="E35" s="238">
        <v>1999.9625041766028</v>
      </c>
      <c r="F35" s="238">
        <v>1907.3967579970067</v>
      </c>
      <c r="G35" s="238">
        <v>1832.6232137499999</v>
      </c>
      <c r="H35" s="238">
        <v>2012.944</v>
      </c>
      <c r="I35" s="238">
        <v>2145.2849999999999</v>
      </c>
      <c r="J35" s="238">
        <v>2143.4022464</v>
      </c>
      <c r="K35" s="238">
        <v>2160.96785</v>
      </c>
      <c r="L35" s="238">
        <v>2051.0130544999997</v>
      </c>
      <c r="M35" s="238">
        <v>2120.413057102</v>
      </c>
      <c r="N35" s="238">
        <v>2858.88227333333</v>
      </c>
    </row>
    <row r="36" spans="1:14" ht="16" customHeight="1">
      <c r="A36" s="121" t="s">
        <v>46</v>
      </c>
      <c r="B36" s="642">
        <f t="shared" si="1"/>
        <v>14537.951839501431</v>
      </c>
      <c r="C36" s="238">
        <v>900.69402532963045</v>
      </c>
      <c r="D36" s="238">
        <v>543.5462433019336</v>
      </c>
      <c r="E36" s="238">
        <v>968.65700835320558</v>
      </c>
      <c r="F36" s="238">
        <v>1200.5115000000001</v>
      </c>
      <c r="G36" s="238">
        <v>1181.0620000000001</v>
      </c>
      <c r="H36" s="238">
        <v>1300.5131300500002</v>
      </c>
      <c r="I36" s="238">
        <v>1259.8190644000001</v>
      </c>
      <c r="J36" s="238">
        <v>1509.7013304</v>
      </c>
      <c r="K36" s="238">
        <v>1172.9356</v>
      </c>
      <c r="L36" s="238">
        <v>1841.9457849999999</v>
      </c>
      <c r="M36" s="238">
        <v>1116.6618859999999</v>
      </c>
      <c r="N36" s="238">
        <v>1541.9042666666601</v>
      </c>
    </row>
    <row r="37" spans="1:14" ht="16" customHeight="1" thickBot="1">
      <c r="A37" s="145" t="s">
        <v>47</v>
      </c>
      <c r="B37" s="643">
        <f t="shared" si="1"/>
        <v>8801.3522508170063</v>
      </c>
      <c r="C37" s="239">
        <v>835.61900000000003</v>
      </c>
      <c r="D37" s="239">
        <v>580.84607346500502</v>
      </c>
      <c r="E37" s="239">
        <v>659.56500000000005</v>
      </c>
      <c r="F37" s="239">
        <v>700.84299999999996</v>
      </c>
      <c r="G37" s="239">
        <v>736.47199999999998</v>
      </c>
      <c r="H37" s="239">
        <v>675.62699999999995</v>
      </c>
      <c r="I37" s="239">
        <v>767.28200000000004</v>
      </c>
      <c r="J37" s="239">
        <v>773.93920000000003</v>
      </c>
      <c r="K37" s="239">
        <v>730.04654999999991</v>
      </c>
      <c r="L37" s="239">
        <v>768.17179999999996</v>
      </c>
      <c r="M37" s="239">
        <v>639.59071735200007</v>
      </c>
      <c r="N37" s="239">
        <v>933.34990999999991</v>
      </c>
    </row>
    <row r="38" spans="1:14" ht="9" customHeight="1">
      <c r="A38" s="449" t="s">
        <v>330</v>
      </c>
      <c r="B38" s="476"/>
      <c r="C38" s="476"/>
      <c r="D38" s="476"/>
      <c r="E38" s="476"/>
      <c r="F38" s="235"/>
    </row>
    <row r="39" spans="1:14" ht="9" customHeight="1">
      <c r="A39" s="449" t="s">
        <v>304</v>
      </c>
      <c r="B39" s="476"/>
      <c r="C39" s="476"/>
      <c r="D39" s="476"/>
      <c r="E39" s="476"/>
      <c r="F39" s="235"/>
    </row>
    <row r="40" spans="1:14" ht="9" customHeight="1">
      <c r="A40" s="451" t="s">
        <v>303</v>
      </c>
      <c r="B40" s="476"/>
      <c r="C40" s="476"/>
      <c r="D40" s="476"/>
      <c r="E40" s="476"/>
      <c r="F40" s="235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Hoja53">
    <tabColor theme="9" tint="0.59999389629810485"/>
  </sheetPr>
  <dimension ref="A4:P54"/>
  <sheetViews>
    <sheetView showGridLines="0" zoomScaleNormal="100" workbookViewId="0">
      <selection activeCell="D21" sqref="D21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572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2" t="s">
        <v>382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16" ht="6" customHeight="1" thickBot="1"/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16" ht="18" customHeight="1">
      <c r="A8" s="640" t="s">
        <v>87</v>
      </c>
      <c r="B8" s="644">
        <v>2.2488181918157091</v>
      </c>
      <c r="C8" s="644">
        <v>2.2286759903682292</v>
      </c>
      <c r="D8" s="644">
        <v>2.2094955849914513</v>
      </c>
      <c r="E8" s="644">
        <v>2.1622740149252415</v>
      </c>
      <c r="F8" s="644">
        <v>2.2350973168765824</v>
      </c>
      <c r="G8" s="644">
        <v>2.2431112048406674</v>
      </c>
      <c r="H8" s="644">
        <v>2.2559775801022566</v>
      </c>
      <c r="I8" s="644">
        <v>2.241677586669129</v>
      </c>
      <c r="J8" s="644">
        <v>2.2192240286441383</v>
      </c>
      <c r="K8" s="644">
        <v>2.2587989101519037</v>
      </c>
      <c r="L8" s="644">
        <v>2.2990061871023992</v>
      </c>
      <c r="M8" s="644">
        <v>2.2584378495839736</v>
      </c>
      <c r="N8" s="644">
        <v>2.3621881958259201</v>
      </c>
    </row>
    <row r="9" spans="1:16" ht="16" customHeight="1">
      <c r="A9" s="143" t="s">
        <v>19</v>
      </c>
      <c r="B9" s="645">
        <v>2.8061155047123632</v>
      </c>
      <c r="C9" s="240">
        <v>2.34313944801095</v>
      </c>
      <c r="D9" s="240">
        <v>2.3939772718494208</v>
      </c>
      <c r="E9" s="240">
        <v>2.329749850007059</v>
      </c>
      <c r="F9" s="240">
        <v>2.1642588108689806</v>
      </c>
      <c r="G9" s="240">
        <v>2.1559822150363783</v>
      </c>
      <c r="H9" s="240">
        <v>2.1533623609095307</v>
      </c>
      <c r="I9" s="240">
        <v>3.5361958628659473</v>
      </c>
      <c r="J9" s="240">
        <v>3.4766755690902169</v>
      </c>
      <c r="K9" s="240">
        <v>4.0211823994797875</v>
      </c>
      <c r="L9" s="240">
        <v>2.1247295177436634</v>
      </c>
      <c r="M9" s="240">
        <v>2.6166601043343851</v>
      </c>
      <c r="N9" s="240">
        <v>3.052125883108542</v>
      </c>
    </row>
    <row r="10" spans="1:16" ht="16" customHeight="1">
      <c r="A10" s="143" t="s">
        <v>20</v>
      </c>
      <c r="B10" s="645">
        <v>2.2187565852117968</v>
      </c>
      <c r="C10" s="240">
        <v>2.1950866092925505</v>
      </c>
      <c r="D10" s="240">
        <v>2.1290049838164884</v>
      </c>
      <c r="E10" s="240">
        <v>2.1503721428887248</v>
      </c>
      <c r="F10" s="240">
        <v>2.2775452573192076</v>
      </c>
      <c r="G10" s="240">
        <v>2.2106462654719388</v>
      </c>
      <c r="H10" s="240">
        <v>2.2324047007040209</v>
      </c>
      <c r="I10" s="240">
        <v>2.2465322886342132</v>
      </c>
      <c r="J10" s="240">
        <v>2.2062943248164504</v>
      </c>
      <c r="K10" s="240">
        <v>2.2167879315704573</v>
      </c>
      <c r="L10" s="240">
        <v>2.1958998081024004</v>
      </c>
      <c r="M10" s="240">
        <v>2.2096095610998066</v>
      </c>
      <c r="N10" s="240">
        <v>2.3445014846509866</v>
      </c>
    </row>
    <row r="11" spans="1:16" ht="16" customHeight="1">
      <c r="A11" s="143" t="s">
        <v>21</v>
      </c>
      <c r="B11" s="645">
        <v>2.216527827444791</v>
      </c>
      <c r="C11" s="240">
        <v>2.2007153282324867</v>
      </c>
      <c r="D11" s="240">
        <v>2.1665219295371001</v>
      </c>
      <c r="E11" s="240">
        <v>2.1514761023669173</v>
      </c>
      <c r="F11" s="240">
        <v>2.2853854029597942</v>
      </c>
      <c r="G11" s="240">
        <v>2.2290086855543008</v>
      </c>
      <c r="H11" s="240">
        <v>2.2335310180920733</v>
      </c>
      <c r="I11" s="240">
        <v>2.2401680843042682</v>
      </c>
      <c r="J11" s="240">
        <v>2.1998406058908118</v>
      </c>
      <c r="K11" s="240">
        <v>2.2368214735592002</v>
      </c>
      <c r="L11" s="240">
        <v>2.1881269426818228</v>
      </c>
      <c r="M11" s="240">
        <v>2.1865866643976766</v>
      </c>
      <c r="N11" s="240">
        <v>2.2712004001052315</v>
      </c>
    </row>
    <row r="12" spans="1:16" ht="16" customHeight="1">
      <c r="A12" s="121" t="s">
        <v>22</v>
      </c>
      <c r="B12" s="645">
        <v>2.2113382837265272</v>
      </c>
      <c r="C12" s="240">
        <v>2.2176666010186117</v>
      </c>
      <c r="D12" s="240">
        <v>2.1335609655201213</v>
      </c>
      <c r="E12" s="240">
        <v>2.1357581402876256</v>
      </c>
      <c r="F12" s="240">
        <v>2.19011767404798</v>
      </c>
      <c r="G12" s="240">
        <v>2.222206843596243</v>
      </c>
      <c r="H12" s="240">
        <v>2.2324255730445088</v>
      </c>
      <c r="I12" s="240">
        <v>2.2236224598900893</v>
      </c>
      <c r="J12" s="240">
        <v>2.201162188818433</v>
      </c>
      <c r="K12" s="240">
        <v>2.2225815897691219</v>
      </c>
      <c r="L12" s="240">
        <v>2.2348256261989432</v>
      </c>
      <c r="M12" s="240">
        <v>2.2040567128156412</v>
      </c>
      <c r="N12" s="240">
        <v>2.313357154509136</v>
      </c>
    </row>
    <row r="13" spans="1:16" ht="16" customHeight="1">
      <c r="A13" s="121" t="s">
        <v>23</v>
      </c>
      <c r="B13" s="645">
        <v>2.216701771469904</v>
      </c>
      <c r="C13" s="240">
        <v>2.1688838115437536</v>
      </c>
      <c r="D13" s="240">
        <v>2.2592429242360237</v>
      </c>
      <c r="E13" s="240">
        <v>2.2192400204965521</v>
      </c>
      <c r="F13" s="240">
        <v>2.2400721681294571</v>
      </c>
      <c r="G13" s="240">
        <v>2.2198306904525933</v>
      </c>
      <c r="H13" s="240">
        <v>2.2015276002182285</v>
      </c>
      <c r="I13" s="240">
        <v>2.1638017011746866</v>
      </c>
      <c r="J13" s="240">
        <v>2.1364488629639022</v>
      </c>
      <c r="K13" s="240">
        <v>2.1674604764179275</v>
      </c>
      <c r="L13" s="240">
        <v>2.1793346651107521</v>
      </c>
      <c r="M13" s="240">
        <v>2.3309073116583412</v>
      </c>
      <c r="N13" s="240">
        <v>2.3160929585994272</v>
      </c>
    </row>
    <row r="14" spans="1:16" ht="16" customHeight="1">
      <c r="A14" s="119" t="s">
        <v>88</v>
      </c>
      <c r="B14" s="645">
        <v>2.2581015907558104</v>
      </c>
      <c r="C14" s="240">
        <v>2.1835203607752098</v>
      </c>
      <c r="D14" s="240">
        <v>2.324314245984664</v>
      </c>
      <c r="E14" s="240">
        <v>2.2590666783517528</v>
      </c>
      <c r="F14" s="240">
        <v>2.2883853266944421</v>
      </c>
      <c r="G14" s="240">
        <v>2.2422381972587182</v>
      </c>
      <c r="H14" s="240">
        <v>2.2515568559924395</v>
      </c>
      <c r="I14" s="240">
        <v>2.2104948312394321</v>
      </c>
      <c r="J14" s="240">
        <v>2.1482018486785326</v>
      </c>
      <c r="K14" s="240">
        <v>2.2099302021749816</v>
      </c>
      <c r="L14" s="240">
        <v>2.1944713190970884</v>
      </c>
      <c r="M14" s="240">
        <v>2.4366951528305298</v>
      </c>
      <c r="N14" s="240">
        <v>2.3571628880212265</v>
      </c>
    </row>
    <row r="15" spans="1:16" ht="16" customHeight="1">
      <c r="A15" s="119" t="s">
        <v>89</v>
      </c>
      <c r="B15" s="645">
        <v>2.0877553091524148</v>
      </c>
      <c r="C15" s="240">
        <v>2.0664854349561055</v>
      </c>
      <c r="D15" s="240">
        <v>2.1800296778517065</v>
      </c>
      <c r="E15" s="240">
        <v>2.1063985663838087</v>
      </c>
      <c r="F15" s="240">
        <v>2.1684294871794871</v>
      </c>
      <c r="G15" s="240">
        <v>2.1906661952623869</v>
      </c>
      <c r="H15" s="240">
        <v>2.0561166719507225</v>
      </c>
      <c r="I15" s="240">
        <v>2.0345442028105127</v>
      </c>
      <c r="J15" s="240">
        <v>2.0967366469802129</v>
      </c>
      <c r="K15" s="240">
        <v>2.0289702285569708</v>
      </c>
      <c r="L15" s="240">
        <v>2.0297240839063457</v>
      </c>
      <c r="M15" s="240">
        <v>2.0362862533456187</v>
      </c>
      <c r="N15" s="240">
        <v>2.0856338501617717</v>
      </c>
    </row>
    <row r="16" spans="1:16" ht="16" customHeight="1">
      <c r="A16" s="119" t="s">
        <v>90</v>
      </c>
      <c r="B16" s="645">
        <v>2.1959345634492382</v>
      </c>
      <c r="C16" s="240">
        <v>2.1990528414755732</v>
      </c>
      <c r="D16" s="240">
        <v>2.1537536838839766</v>
      </c>
      <c r="E16" s="240">
        <v>2.1931006234924681</v>
      </c>
      <c r="F16" s="240">
        <v>2.1722881321618011</v>
      </c>
      <c r="G16" s="240">
        <v>2.1711416446069163</v>
      </c>
      <c r="H16" s="240">
        <v>2.1736983268764103</v>
      </c>
      <c r="I16" s="240">
        <v>2.1181172983933867</v>
      </c>
      <c r="J16" s="240">
        <v>2.135765395024654</v>
      </c>
      <c r="K16" s="240">
        <v>2.1515510476049453</v>
      </c>
      <c r="L16" s="240">
        <v>2.2635746134933532</v>
      </c>
      <c r="M16" s="240">
        <v>2.2279471900923005</v>
      </c>
      <c r="N16" s="240">
        <v>2.374322025070315</v>
      </c>
    </row>
    <row r="17" spans="1:14" ht="16" customHeight="1">
      <c r="A17" s="143" t="s">
        <v>27</v>
      </c>
      <c r="B17" s="645">
        <v>2.0503214592561565</v>
      </c>
      <c r="C17" s="240">
        <v>2.1514842361613904</v>
      </c>
      <c r="D17" s="240">
        <v>2.1184728190168327</v>
      </c>
      <c r="E17" s="240">
        <v>2.0945017799992809</v>
      </c>
      <c r="F17" s="240">
        <v>2.0650722161826374</v>
      </c>
      <c r="G17" s="240">
        <v>2.1890741918129795</v>
      </c>
      <c r="H17" s="240">
        <v>1.9457924286699284</v>
      </c>
      <c r="I17" s="240">
        <v>1.9607903899721448</v>
      </c>
      <c r="J17" s="240">
        <v>1.9795262754123515</v>
      </c>
      <c r="K17" s="240">
        <v>1.9269021975788896</v>
      </c>
      <c r="L17" s="240">
        <v>1.9727820739207209</v>
      </c>
      <c r="M17" s="240">
        <v>2.103198866563627</v>
      </c>
      <c r="N17" s="240">
        <v>2.1517127762180501</v>
      </c>
    </row>
    <row r="18" spans="1:14" ht="16" customHeight="1">
      <c r="A18" s="121" t="s">
        <v>28</v>
      </c>
      <c r="B18" s="645">
        <v>2.2608917464675287</v>
      </c>
      <c r="C18" s="240">
        <v>2.2310489208400015</v>
      </c>
      <c r="D18" s="240">
        <v>2.241638249944125</v>
      </c>
      <c r="E18" s="240">
        <v>2.2166603333642474</v>
      </c>
      <c r="F18" s="240">
        <v>2.3489650538047631</v>
      </c>
      <c r="G18" s="240">
        <v>2.271969639337073</v>
      </c>
      <c r="H18" s="240">
        <v>2.2706938787611506</v>
      </c>
      <c r="I18" s="240">
        <v>2.2787160009688927</v>
      </c>
      <c r="J18" s="240">
        <v>2.2536315511763698</v>
      </c>
      <c r="K18" s="240">
        <v>2.2525604478494832</v>
      </c>
      <c r="L18" s="240">
        <v>2.2594178790727866</v>
      </c>
      <c r="M18" s="240">
        <v>2.2426978410138489</v>
      </c>
      <c r="N18" s="240">
        <v>2.2782392376850367</v>
      </c>
    </row>
    <row r="19" spans="1:14" ht="16" customHeight="1">
      <c r="A19" s="121" t="s">
        <v>29</v>
      </c>
      <c r="B19" s="645">
        <v>2.2702113907607058</v>
      </c>
      <c r="C19" s="240">
        <v>2.2330656670129367</v>
      </c>
      <c r="D19" s="240">
        <v>2.2491529079004065</v>
      </c>
      <c r="E19" s="240">
        <v>2.1732457811348351</v>
      </c>
      <c r="F19" s="240">
        <v>2.2389377062475155</v>
      </c>
      <c r="G19" s="240">
        <v>2.2628182610535936</v>
      </c>
      <c r="H19" s="240">
        <v>2.2729555174833846</v>
      </c>
      <c r="I19" s="240">
        <v>2.2526590188771571</v>
      </c>
      <c r="J19" s="240">
        <v>2.2299242292568722</v>
      </c>
      <c r="K19" s="240">
        <v>2.28642654690703</v>
      </c>
      <c r="L19" s="240">
        <v>2.3301617028358503</v>
      </c>
      <c r="M19" s="240">
        <v>2.2753736236138602</v>
      </c>
      <c r="N19" s="240">
        <v>2.4164698876804618</v>
      </c>
    </row>
    <row r="20" spans="1:14" ht="16" customHeight="1">
      <c r="A20" s="143" t="s">
        <v>30</v>
      </c>
      <c r="B20" s="645">
        <v>2.2331037849250155</v>
      </c>
      <c r="C20" s="240">
        <v>2.1909788821467671</v>
      </c>
      <c r="D20" s="240">
        <v>2.12436681359089</v>
      </c>
      <c r="E20" s="240">
        <v>2.1598079908840702</v>
      </c>
      <c r="F20" s="240">
        <v>2.250830236569862</v>
      </c>
      <c r="G20" s="240">
        <v>2.2014224373353057</v>
      </c>
      <c r="H20" s="240">
        <v>2.2317648851926712</v>
      </c>
      <c r="I20" s="240">
        <v>2.2134136490439662</v>
      </c>
      <c r="J20" s="240">
        <v>2.1977093874676434</v>
      </c>
      <c r="K20" s="240">
        <v>2.224000505551782</v>
      </c>
      <c r="L20" s="240">
        <v>2.3784173083106186</v>
      </c>
      <c r="M20" s="240">
        <v>2.3808975319282299</v>
      </c>
      <c r="N20" s="240">
        <v>2.2590130960801198</v>
      </c>
    </row>
    <row r="21" spans="1:14" ht="16" customHeight="1">
      <c r="A21" s="143" t="s">
        <v>31</v>
      </c>
      <c r="B21" s="645">
        <v>2.1517586755603624</v>
      </c>
      <c r="C21" s="240">
        <v>2.1424192191597804</v>
      </c>
      <c r="D21" s="240">
        <v>2.1785674900749892</v>
      </c>
      <c r="E21" s="240">
        <v>2.1272531526346081</v>
      </c>
      <c r="F21" s="240">
        <v>2.0511422355180851</v>
      </c>
      <c r="G21" s="240">
        <v>2.1596242267790173</v>
      </c>
      <c r="H21" s="240">
        <v>2.1127904158443265</v>
      </c>
      <c r="I21" s="240">
        <v>2.0949613871004926</v>
      </c>
      <c r="J21" s="240">
        <v>2.1386136701624276</v>
      </c>
      <c r="K21" s="240">
        <v>2.2198816382928799</v>
      </c>
      <c r="L21" s="240">
        <v>2.2852351591264264</v>
      </c>
      <c r="M21" s="240">
        <v>2.1604129148250806</v>
      </c>
      <c r="N21" s="240">
        <v>2.1806033977738721</v>
      </c>
    </row>
    <row r="22" spans="1:14" ht="16" customHeight="1">
      <c r="A22" s="143" t="s">
        <v>32</v>
      </c>
      <c r="B22" s="645">
        <v>2.1923697509078912</v>
      </c>
      <c r="C22" s="240">
        <v>2.1672523700555737</v>
      </c>
      <c r="D22" s="240">
        <v>2.0761092316003218</v>
      </c>
      <c r="E22" s="240">
        <v>2.1418626333782242</v>
      </c>
      <c r="F22" s="240">
        <v>2.1751475480201736</v>
      </c>
      <c r="G22" s="240">
        <v>2.1901156991821265</v>
      </c>
      <c r="H22" s="240">
        <v>2.2617302052785928</v>
      </c>
      <c r="I22" s="240">
        <v>2.2231276213301374</v>
      </c>
      <c r="J22" s="240">
        <v>2.1509287925696596</v>
      </c>
      <c r="K22" s="240">
        <v>2.1846139107108642</v>
      </c>
      <c r="L22" s="240">
        <v>2.1893346217798944</v>
      </c>
      <c r="M22" s="240">
        <v>2.2298004668534079</v>
      </c>
      <c r="N22" s="240">
        <v>2.2373914024596639</v>
      </c>
    </row>
    <row r="23" spans="1:14" ht="16" customHeight="1">
      <c r="A23" s="143" t="s">
        <v>33</v>
      </c>
      <c r="B23" s="645">
        <v>2.2093063056668472</v>
      </c>
      <c r="C23" s="240">
        <v>2.165971611035455</v>
      </c>
      <c r="D23" s="240">
        <v>2.1845328088182367</v>
      </c>
      <c r="E23" s="240">
        <v>2.1727582611140548</v>
      </c>
      <c r="F23" s="240">
        <v>2.1728007691081532</v>
      </c>
      <c r="G23" s="240">
        <v>2.1604475957250764</v>
      </c>
      <c r="H23" s="240">
        <v>2.2216505266275055</v>
      </c>
      <c r="I23" s="240">
        <v>2.2235179172317014</v>
      </c>
      <c r="J23" s="240">
        <v>2.1964911073680695</v>
      </c>
      <c r="K23" s="240">
        <v>2.230284232770809</v>
      </c>
      <c r="L23" s="240">
        <v>2.2448964218184169</v>
      </c>
      <c r="M23" s="240">
        <v>2.2102263438052767</v>
      </c>
      <c r="N23" s="240">
        <v>2.3355722108538854</v>
      </c>
    </row>
    <row r="24" spans="1:14" ht="16" customHeight="1">
      <c r="A24" s="143" t="s">
        <v>34</v>
      </c>
      <c r="B24" s="645">
        <v>2.1220604762530093</v>
      </c>
      <c r="C24" s="240">
        <v>2.1016061452513966</v>
      </c>
      <c r="D24" s="240">
        <v>2.1273315738296983</v>
      </c>
      <c r="E24" s="240">
        <v>2.1012797452304426</v>
      </c>
      <c r="F24" s="240">
        <v>2.1794007203617132</v>
      </c>
      <c r="G24" s="240">
        <v>2.1388312333732857</v>
      </c>
      <c r="H24" s="240">
        <v>2.1234759102300567</v>
      </c>
      <c r="I24" s="240">
        <v>1.9990850629999475</v>
      </c>
      <c r="J24" s="240">
        <v>2.0406107862248213</v>
      </c>
      <c r="K24" s="240">
        <v>2.1687759541229981</v>
      </c>
      <c r="L24" s="240">
        <v>2.1393279588611933</v>
      </c>
      <c r="M24" s="240">
        <v>2.1319749311211358</v>
      </c>
      <c r="N24" s="240">
        <v>2.2114763526965446</v>
      </c>
    </row>
    <row r="25" spans="1:14" ht="16" customHeight="1">
      <c r="A25" s="121" t="s">
        <v>35</v>
      </c>
      <c r="B25" s="645">
        <v>2.2283373394063233</v>
      </c>
      <c r="C25" s="240">
        <v>2.2565073826159798</v>
      </c>
      <c r="D25" s="240">
        <v>2.191485501649328</v>
      </c>
      <c r="E25" s="240">
        <v>2.1296817351008679</v>
      </c>
      <c r="F25" s="240">
        <v>2.2874005666385924</v>
      </c>
      <c r="G25" s="240">
        <v>2.2150218115304132</v>
      </c>
      <c r="H25" s="240">
        <v>2.2446353876071603</v>
      </c>
      <c r="I25" s="240">
        <v>2.2421799577956127</v>
      </c>
      <c r="J25" s="240">
        <v>2.204654680205091</v>
      </c>
      <c r="K25" s="240">
        <v>2.2182328848183257</v>
      </c>
      <c r="L25" s="240">
        <v>2.2556874274526737</v>
      </c>
      <c r="M25" s="240">
        <v>2.2367353077232051</v>
      </c>
      <c r="N25" s="240">
        <v>2.2549187358098624</v>
      </c>
    </row>
    <row r="26" spans="1:14" ht="16" customHeight="1">
      <c r="A26" s="143" t="s">
        <v>36</v>
      </c>
      <c r="B26" s="645">
        <v>2.1877492806886045</v>
      </c>
      <c r="C26" s="240">
        <v>2.1541916167664672</v>
      </c>
      <c r="D26" s="240">
        <v>2.2253857165579767</v>
      </c>
      <c r="E26" s="240">
        <v>2.1517482517482516</v>
      </c>
      <c r="F26" s="240">
        <v>2.2009988537743572</v>
      </c>
      <c r="G26" s="240">
        <v>2.2712714339551536</v>
      </c>
      <c r="H26" s="240">
        <v>2.0833227378681927</v>
      </c>
      <c r="I26" s="240">
        <v>2.0039211935730683</v>
      </c>
      <c r="J26" s="240">
        <v>1.9499426149907302</v>
      </c>
      <c r="K26" s="240">
        <v>2.1386106623586429</v>
      </c>
      <c r="L26" s="240">
        <v>2.1872246711446963</v>
      </c>
      <c r="M26" s="240">
        <v>2.8821061767684073</v>
      </c>
      <c r="N26" s="240">
        <v>2.2280379553106826</v>
      </c>
    </row>
    <row r="27" spans="1:14" ht="16" customHeight="1">
      <c r="A27" s="143" t="s">
        <v>37</v>
      </c>
      <c r="B27" s="645">
        <v>2.2171236604749818</v>
      </c>
      <c r="C27" s="240">
        <v>2.2033492367167682</v>
      </c>
      <c r="D27" s="240">
        <v>2.2189030687003726</v>
      </c>
      <c r="E27" s="240">
        <v>2.1356937098348876</v>
      </c>
      <c r="F27" s="240">
        <v>2.1905196152253561</v>
      </c>
      <c r="G27" s="240">
        <v>2.2035336691420739</v>
      </c>
      <c r="H27" s="240">
        <v>2.2213464847590951</v>
      </c>
      <c r="I27" s="240">
        <v>2.2116099971989063</v>
      </c>
      <c r="J27" s="240">
        <v>2.1987958803845289</v>
      </c>
      <c r="K27" s="240">
        <v>2.2218334563013071</v>
      </c>
      <c r="L27" s="240">
        <v>2.2467538779077274</v>
      </c>
      <c r="M27" s="240">
        <v>2.3216097774593707</v>
      </c>
      <c r="N27" s="240">
        <v>2.2563616538704108</v>
      </c>
    </row>
    <row r="28" spans="1:14" ht="16" customHeight="1">
      <c r="A28" s="143" t="s">
        <v>38</v>
      </c>
      <c r="B28" s="645">
        <v>2.2329827484920388</v>
      </c>
      <c r="C28" s="240">
        <v>2.9138311510515806</v>
      </c>
      <c r="D28" s="240">
        <v>2.2055834876951574</v>
      </c>
      <c r="E28" s="240">
        <v>2.2236904648730871</v>
      </c>
      <c r="F28" s="240">
        <v>2.1366873065015479</v>
      </c>
      <c r="G28" s="240">
        <v>2.1279459181185145</v>
      </c>
      <c r="H28" s="240">
        <v>2.2252748329229686</v>
      </c>
      <c r="I28" s="240">
        <v>2.106587807473983</v>
      </c>
      <c r="J28" s="240">
        <v>2.1175523660467683</v>
      </c>
      <c r="K28" s="240">
        <v>2.0194602913471491</v>
      </c>
      <c r="L28" s="240">
        <v>2.1136282305977909</v>
      </c>
      <c r="M28" s="240">
        <v>2.1402820060887677</v>
      </c>
      <c r="N28" s="240">
        <v>2.5072360254766703</v>
      </c>
    </row>
    <row r="29" spans="1:14" ht="16" customHeight="1">
      <c r="A29" s="121" t="s">
        <v>39</v>
      </c>
      <c r="B29" s="645">
        <v>2.1813726103422533</v>
      </c>
      <c r="C29" s="240">
        <v>2.0825769142706396</v>
      </c>
      <c r="D29" s="240">
        <v>2.1672479032626373</v>
      </c>
      <c r="E29" s="240">
        <v>2.127078204302383</v>
      </c>
      <c r="F29" s="240">
        <v>2.1119563878280152</v>
      </c>
      <c r="G29" s="240">
        <v>2.1172638675166704</v>
      </c>
      <c r="H29" s="240">
        <v>2.1958712491539445</v>
      </c>
      <c r="I29" s="240">
        <v>2.2434616905454288</v>
      </c>
      <c r="J29" s="240">
        <v>2.2090346526077953</v>
      </c>
      <c r="K29" s="240">
        <v>2.1480303208829192</v>
      </c>
      <c r="L29" s="240">
        <v>2.141396677441179</v>
      </c>
      <c r="M29" s="240">
        <v>2.2828173245431032</v>
      </c>
      <c r="N29" s="240">
        <v>2.3921808011106123</v>
      </c>
    </row>
    <row r="30" spans="1:14" ht="16" customHeight="1">
      <c r="A30" s="119" t="s">
        <v>91</v>
      </c>
      <c r="B30" s="645">
        <v>2.1804428280838382</v>
      </c>
      <c r="C30" s="240">
        <v>1.990830705440612</v>
      </c>
      <c r="D30" s="240">
        <v>2.1947477850000001</v>
      </c>
      <c r="E30" s="240">
        <v>2.1311580150642819</v>
      </c>
      <c r="F30" s="240">
        <v>2.0793626935217198</v>
      </c>
      <c r="G30" s="240">
        <v>2.079454049135578</v>
      </c>
      <c r="H30" s="240">
        <v>2.1438697663242627</v>
      </c>
      <c r="I30" s="240">
        <v>2.2569485504705122</v>
      </c>
      <c r="J30" s="240">
        <v>2.2587320933538684</v>
      </c>
      <c r="K30" s="240">
        <v>2.130429162357808</v>
      </c>
      <c r="L30" s="240">
        <v>2.1413379277566542</v>
      </c>
      <c r="M30" s="240">
        <v>2.3790498230329433</v>
      </c>
      <c r="N30" s="240">
        <v>2.4706483247071644</v>
      </c>
    </row>
    <row r="31" spans="1:14" ht="16" customHeight="1">
      <c r="A31" s="119" t="s">
        <v>92</v>
      </c>
      <c r="B31" s="645">
        <v>2.1829034690174569</v>
      </c>
      <c r="C31" s="240">
        <v>2.2476909325652992</v>
      </c>
      <c r="D31" s="240">
        <v>2.1215108245048366</v>
      </c>
      <c r="E31" s="240">
        <v>2.1192549322164664</v>
      </c>
      <c r="F31" s="240">
        <v>2.1639619473978735</v>
      </c>
      <c r="G31" s="240">
        <v>2.1749283004903321</v>
      </c>
      <c r="H31" s="240">
        <v>2.2828993666432091</v>
      </c>
      <c r="I31" s="240">
        <v>2.2226530796284605</v>
      </c>
      <c r="J31" s="240">
        <v>2.1222991832937042</v>
      </c>
      <c r="K31" s="240">
        <v>2.1752928221043151</v>
      </c>
      <c r="L31" s="240">
        <v>2.1414978514426029</v>
      </c>
      <c r="M31" s="240">
        <v>2.1303644597800306</v>
      </c>
      <c r="N31" s="240">
        <v>2.2746915468542879</v>
      </c>
    </row>
    <row r="32" spans="1:14" ht="16" customHeight="1">
      <c r="A32" s="143" t="s">
        <v>42</v>
      </c>
      <c r="B32" s="645">
        <v>2.2268458901575143</v>
      </c>
      <c r="C32" s="240">
        <v>2.6823110029126731</v>
      </c>
      <c r="D32" s="240">
        <v>2.1911117280767858</v>
      </c>
      <c r="E32" s="240">
        <v>2.1324075557691966</v>
      </c>
      <c r="F32" s="240">
        <v>1.9797288835124174</v>
      </c>
      <c r="G32" s="240">
        <v>2.1726355772606847</v>
      </c>
      <c r="H32" s="240">
        <v>2.1900056014323543</v>
      </c>
      <c r="I32" s="240">
        <v>2.1991944681052433</v>
      </c>
      <c r="J32" s="240">
        <v>2.2833191681013885</v>
      </c>
      <c r="K32" s="240">
        <v>2.1831101918248592</v>
      </c>
      <c r="L32" s="240">
        <v>2.2172042152449354</v>
      </c>
      <c r="M32" s="240">
        <v>2.330113709508677</v>
      </c>
      <c r="N32" s="240">
        <v>2.2340705052562018</v>
      </c>
    </row>
    <row r="33" spans="1:14" ht="16" customHeight="1">
      <c r="A33" s="143" t="s">
        <v>43</v>
      </c>
      <c r="B33" s="645">
        <v>2.1023663949000708</v>
      </c>
      <c r="C33" s="240">
        <v>2.0816897894501754</v>
      </c>
      <c r="D33" s="240">
        <v>2.0556603880309976</v>
      </c>
      <c r="E33" s="240">
        <v>2.1054149043825734</v>
      </c>
      <c r="F33" s="240">
        <v>2.0374467751974907</v>
      </c>
      <c r="G33" s="240">
        <v>2.0827101255879539</v>
      </c>
      <c r="H33" s="240">
        <v>2.1357288446854747</v>
      </c>
      <c r="I33" s="240">
        <v>2.1337336430547325</v>
      </c>
      <c r="J33" s="240">
        <v>2.0906213191990579</v>
      </c>
      <c r="K33" s="240">
        <v>2.1686145675853781</v>
      </c>
      <c r="L33" s="240">
        <v>2.1156000041177259</v>
      </c>
      <c r="M33" s="240">
        <v>2.092113743291026</v>
      </c>
      <c r="N33" s="240">
        <v>2.1234148208485037</v>
      </c>
    </row>
    <row r="34" spans="1:14" ht="16" customHeight="1">
      <c r="A34" s="121" t="s">
        <v>44</v>
      </c>
      <c r="B34" s="645">
        <v>2.2125074015206407</v>
      </c>
      <c r="C34" s="240">
        <v>2.2093321270704673</v>
      </c>
      <c r="D34" s="240">
        <v>2.1024470320955002</v>
      </c>
      <c r="E34" s="240">
        <v>2.1406331703268484</v>
      </c>
      <c r="F34" s="240">
        <v>2.2526775878905938</v>
      </c>
      <c r="G34" s="240">
        <v>2.2240070586645952</v>
      </c>
      <c r="H34" s="240">
        <v>2.2192173419121679</v>
      </c>
      <c r="I34" s="240">
        <v>2.2039046716770803</v>
      </c>
      <c r="J34" s="240">
        <v>2.2361880040407316</v>
      </c>
      <c r="K34" s="240">
        <v>2.1978108587524701</v>
      </c>
      <c r="L34" s="240">
        <v>2.3242815026542316</v>
      </c>
      <c r="M34" s="240">
        <v>2.1969656920027796</v>
      </c>
      <c r="N34" s="240">
        <v>2.2431246428790601</v>
      </c>
    </row>
    <row r="35" spans="1:14" ht="16" customHeight="1">
      <c r="A35" s="121" t="s">
        <v>45</v>
      </c>
      <c r="B35" s="645">
        <v>2.210958344974514</v>
      </c>
      <c r="C35" s="240">
        <v>2.2379516584773453</v>
      </c>
      <c r="D35" s="240">
        <v>2.1812888725999535</v>
      </c>
      <c r="E35" s="240">
        <v>2.2385493303551893</v>
      </c>
      <c r="F35" s="240">
        <v>2.1847859171866988</v>
      </c>
      <c r="G35" s="240">
        <v>2.2147574671283201</v>
      </c>
      <c r="H35" s="240">
        <v>2.2131013085476683</v>
      </c>
      <c r="I35" s="240">
        <v>2.2141631884668258</v>
      </c>
      <c r="J35" s="240">
        <v>2.2061268448528564</v>
      </c>
      <c r="K35" s="240">
        <v>2.207986931710781</v>
      </c>
      <c r="L35" s="240">
        <v>2.2362286962684323</v>
      </c>
      <c r="M35" s="240">
        <v>2.1894304739317505</v>
      </c>
      <c r="N35" s="240">
        <v>2.206080880102268</v>
      </c>
    </row>
    <row r="36" spans="1:14" ht="16" customHeight="1">
      <c r="A36" s="121" t="s">
        <v>46</v>
      </c>
      <c r="B36" s="645">
        <v>2.2231551504566949</v>
      </c>
      <c r="C36" s="240">
        <v>2.2278139114498829</v>
      </c>
      <c r="D36" s="240">
        <v>2.1692564226155522</v>
      </c>
      <c r="E36" s="240">
        <v>2.3044990718149791</v>
      </c>
      <c r="F36" s="240">
        <v>2.1907384022452803</v>
      </c>
      <c r="G36" s="240">
        <v>2.2145050906568171</v>
      </c>
      <c r="H36" s="240">
        <v>2.2273789812391676</v>
      </c>
      <c r="I36" s="240">
        <v>2.225030712306364</v>
      </c>
      <c r="J36" s="240">
        <v>2.194202569904991</v>
      </c>
      <c r="K36" s="240">
        <v>2.2171564022252173</v>
      </c>
      <c r="L36" s="240">
        <v>2.2423839909522867</v>
      </c>
      <c r="M36" s="240">
        <v>2.2038886353857872</v>
      </c>
      <c r="N36" s="240">
        <v>2.2425578187759121</v>
      </c>
    </row>
    <row r="37" spans="1:14" ht="16" customHeight="1" thickBot="1">
      <c r="A37" s="145" t="s">
        <v>47</v>
      </c>
      <c r="B37" s="646">
        <v>2.2263957991373551</v>
      </c>
      <c r="C37" s="241">
        <v>2.2158318594161432</v>
      </c>
      <c r="D37" s="241">
        <v>2.2185701649854477</v>
      </c>
      <c r="E37" s="241">
        <v>2.120201487691507</v>
      </c>
      <c r="F37" s="241">
        <v>2.1874342608342823</v>
      </c>
      <c r="G37" s="241">
        <v>2.2144605411126546</v>
      </c>
      <c r="H37" s="241">
        <v>2.2381908349151765</v>
      </c>
      <c r="I37" s="241">
        <v>2.2126922056499523</v>
      </c>
      <c r="J37" s="241">
        <v>2.1738277541527866</v>
      </c>
      <c r="K37" s="241">
        <v>2.1970625942344326</v>
      </c>
      <c r="L37" s="241">
        <v>2.2173491861435126</v>
      </c>
      <c r="M37" s="241">
        <v>2.2365579634018835</v>
      </c>
      <c r="N37" s="241">
        <v>2.4506313589472275</v>
      </c>
    </row>
    <row r="38" spans="1:14" ht="9" customHeight="1">
      <c r="A38" s="449" t="s">
        <v>330</v>
      </c>
      <c r="B38" s="479"/>
      <c r="C38" s="476"/>
      <c r="D38" s="476"/>
      <c r="E38" s="476"/>
      <c r="F38" s="235"/>
    </row>
    <row r="39" spans="1:14" ht="9" customHeight="1">
      <c r="A39" s="449" t="s">
        <v>304</v>
      </c>
      <c r="B39" s="476"/>
      <c r="C39" s="476"/>
      <c r="D39" s="476"/>
      <c r="E39" s="476"/>
      <c r="F39" s="235"/>
    </row>
    <row r="40" spans="1:14" ht="9" customHeight="1">
      <c r="A40" s="451" t="s">
        <v>303</v>
      </c>
      <c r="B40" s="477"/>
      <c r="C40" s="476"/>
      <c r="D40" s="476"/>
      <c r="E40" s="476"/>
      <c r="F40" s="235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Hoja54">
    <tabColor theme="9" tint="0.59999389629810485"/>
  </sheetPr>
  <dimension ref="A4:P62"/>
  <sheetViews>
    <sheetView showGridLines="0" zoomScaleNormal="100" workbookViewId="0">
      <selection activeCell="N37" sqref="N37"/>
    </sheetView>
  </sheetViews>
  <sheetFormatPr baseColWidth="10" defaultColWidth="7" defaultRowHeight="13.25" customHeight="1"/>
  <cols>
    <col min="1" max="1" width="12" style="121" customWidth="1"/>
    <col min="2" max="2" width="12" style="138" customWidth="1"/>
    <col min="3" max="14" width="9.19921875" style="138" customWidth="1"/>
    <col min="15" max="21" width="8" style="121" customWidth="1"/>
    <col min="22" max="16384" width="7" style="121"/>
  </cols>
  <sheetData>
    <row r="4" spans="1:16" ht="13" customHeight="1">
      <c r="A4" s="229" t="s">
        <v>573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2" t="s">
        <v>211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16" ht="6" customHeight="1" thickBot="1"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16" ht="18" customHeight="1">
      <c r="A7" s="738" t="s">
        <v>16</v>
      </c>
      <c r="B7" s="740" t="s">
        <v>103</v>
      </c>
      <c r="C7" s="741" t="s">
        <v>53</v>
      </c>
      <c r="D7" s="741" t="s">
        <v>54</v>
      </c>
      <c r="E7" s="741" t="s">
        <v>55</v>
      </c>
      <c r="F7" s="741" t="s">
        <v>56</v>
      </c>
      <c r="G7" s="741" t="s">
        <v>57</v>
      </c>
      <c r="H7" s="741" t="s">
        <v>58</v>
      </c>
      <c r="I7" s="741" t="s">
        <v>59</v>
      </c>
      <c r="J7" s="741" t="s">
        <v>60</v>
      </c>
      <c r="K7" s="741" t="s">
        <v>61</v>
      </c>
      <c r="L7" s="741" t="s">
        <v>62</v>
      </c>
      <c r="M7" s="741" t="s">
        <v>63</v>
      </c>
      <c r="N7" s="741" t="s">
        <v>64</v>
      </c>
    </row>
    <row r="8" spans="1:16" ht="18" customHeight="1">
      <c r="A8" s="647" t="s">
        <v>93</v>
      </c>
      <c r="B8" s="648">
        <f t="shared" ref="B8:B37" si="0">SUM(C8:N8)</f>
        <v>2588736.659663293</v>
      </c>
      <c r="C8" s="648">
        <f t="shared" ref="C8:N8" si="1">(C9+C10+C11+C12+C13+C17+C18+C19+C20+C21+C22+C23+C24+C25+C26+C27+C28+C29+C32+C33+C34+C35+C36+C37)</f>
        <v>190114</v>
      </c>
      <c r="D8" s="648">
        <f t="shared" si="1"/>
        <v>198555</v>
      </c>
      <c r="E8" s="648">
        <f t="shared" si="1"/>
        <v>207459.1538862873</v>
      </c>
      <c r="F8" s="648">
        <f t="shared" si="1"/>
        <v>227075.13431542378</v>
      </c>
      <c r="G8" s="648">
        <f t="shared" si="1"/>
        <v>234908</v>
      </c>
      <c r="H8" s="648">
        <f t="shared" si="1"/>
        <v>234612</v>
      </c>
      <c r="I8" s="648">
        <f t="shared" si="1"/>
        <v>235301.37146158199</v>
      </c>
      <c r="J8" s="648">
        <f t="shared" si="1"/>
        <v>229883</v>
      </c>
      <c r="K8" s="648">
        <f t="shared" si="1"/>
        <v>219063</v>
      </c>
      <c r="L8" s="648">
        <f t="shared" si="1"/>
        <v>207740</v>
      </c>
      <c r="M8" s="648">
        <f t="shared" si="1"/>
        <v>199418</v>
      </c>
      <c r="N8" s="648">
        <f t="shared" si="1"/>
        <v>204608</v>
      </c>
      <c r="O8" s="138"/>
    </row>
    <row r="9" spans="1:16" ht="16" customHeight="1">
      <c r="A9" s="143" t="s">
        <v>19</v>
      </c>
      <c r="B9" s="642">
        <f t="shared" si="0"/>
        <v>2978</v>
      </c>
      <c r="C9" s="238">
        <v>249</v>
      </c>
      <c r="D9" s="238">
        <v>260</v>
      </c>
      <c r="E9" s="238">
        <v>247</v>
      </c>
      <c r="F9" s="238">
        <v>249</v>
      </c>
      <c r="G9" s="238">
        <v>250</v>
      </c>
      <c r="H9" s="238">
        <v>241</v>
      </c>
      <c r="I9" s="238">
        <v>233</v>
      </c>
      <c r="J9" s="238">
        <v>235</v>
      </c>
      <c r="K9" s="238">
        <v>257</v>
      </c>
      <c r="L9" s="238">
        <v>281</v>
      </c>
      <c r="M9" s="238">
        <v>275</v>
      </c>
      <c r="N9" s="238">
        <v>201</v>
      </c>
      <c r="O9" s="138"/>
    </row>
    <row r="10" spans="1:16" ht="16" customHeight="1">
      <c r="A10" s="143" t="s">
        <v>20</v>
      </c>
      <c r="B10" s="642">
        <f t="shared" si="0"/>
        <v>114970.5057770058</v>
      </c>
      <c r="C10" s="238">
        <v>8643</v>
      </c>
      <c r="D10" s="238">
        <v>8569</v>
      </c>
      <c r="E10" s="238">
        <v>8429</v>
      </c>
      <c r="F10" s="238">
        <v>10424.1343154238</v>
      </c>
      <c r="G10" s="238">
        <v>11708</v>
      </c>
      <c r="H10" s="238">
        <v>11573</v>
      </c>
      <c r="I10" s="238">
        <v>11582.371461582001</v>
      </c>
      <c r="J10" s="238">
        <v>12196</v>
      </c>
      <c r="K10" s="238">
        <v>9807</v>
      </c>
      <c r="L10" s="238">
        <v>6949</v>
      </c>
      <c r="M10" s="238">
        <v>6982</v>
      </c>
      <c r="N10" s="238">
        <v>8108</v>
      </c>
      <c r="O10" s="138"/>
    </row>
    <row r="11" spans="1:16" ht="16" customHeight="1">
      <c r="A11" s="143" t="s">
        <v>21</v>
      </c>
      <c r="B11" s="642">
        <f t="shared" si="0"/>
        <v>24880</v>
      </c>
      <c r="C11" s="238">
        <v>2188</v>
      </c>
      <c r="D11" s="238">
        <v>2304</v>
      </c>
      <c r="E11" s="238">
        <v>2287</v>
      </c>
      <c r="F11" s="238">
        <v>2073</v>
      </c>
      <c r="G11" s="238">
        <v>2108</v>
      </c>
      <c r="H11" s="238">
        <v>2157</v>
      </c>
      <c r="I11" s="238">
        <v>1983</v>
      </c>
      <c r="J11" s="238">
        <v>1719</v>
      </c>
      <c r="K11" s="238">
        <v>1794</v>
      </c>
      <c r="L11" s="238">
        <v>1891</v>
      </c>
      <c r="M11" s="238">
        <v>1887</v>
      </c>
      <c r="N11" s="238">
        <v>2489</v>
      </c>
      <c r="O11" s="138"/>
    </row>
    <row r="12" spans="1:16" ht="16" customHeight="1">
      <c r="A12" s="119" t="s">
        <v>22</v>
      </c>
      <c r="B12" s="642">
        <f t="shared" si="0"/>
        <v>221021</v>
      </c>
      <c r="C12" s="238">
        <v>17374</v>
      </c>
      <c r="D12" s="238">
        <v>18035</v>
      </c>
      <c r="E12" s="238">
        <v>17847</v>
      </c>
      <c r="F12" s="238">
        <v>18827</v>
      </c>
      <c r="G12" s="238">
        <v>19003</v>
      </c>
      <c r="H12" s="238">
        <v>19465</v>
      </c>
      <c r="I12" s="238">
        <v>19041</v>
      </c>
      <c r="J12" s="238">
        <v>18846</v>
      </c>
      <c r="K12" s="238">
        <v>18436</v>
      </c>
      <c r="L12" s="238">
        <v>18326</v>
      </c>
      <c r="M12" s="238">
        <v>17962</v>
      </c>
      <c r="N12" s="238">
        <v>17859</v>
      </c>
      <c r="O12" s="138"/>
    </row>
    <row r="13" spans="1:16" ht="16" customHeight="1">
      <c r="A13" s="119" t="s">
        <v>23</v>
      </c>
      <c r="B13" s="642">
        <f t="shared" si="0"/>
        <v>74335</v>
      </c>
      <c r="C13" s="238">
        <v>6914</v>
      </c>
      <c r="D13" s="238">
        <v>6995</v>
      </c>
      <c r="E13" s="238">
        <v>6462</v>
      </c>
      <c r="F13" s="238">
        <v>5276</v>
      </c>
      <c r="G13" s="238">
        <v>5613</v>
      </c>
      <c r="H13" s="238">
        <v>6110</v>
      </c>
      <c r="I13" s="238">
        <v>6140</v>
      </c>
      <c r="J13" s="238">
        <v>6205</v>
      </c>
      <c r="K13" s="238">
        <v>6156</v>
      </c>
      <c r="L13" s="238">
        <v>6074</v>
      </c>
      <c r="M13" s="238">
        <v>6277</v>
      </c>
      <c r="N13" s="238">
        <v>6113</v>
      </c>
      <c r="O13" s="138"/>
    </row>
    <row r="14" spans="1:16" ht="16" customHeight="1">
      <c r="A14" s="119" t="s">
        <v>94</v>
      </c>
      <c r="B14" s="642">
        <f t="shared" si="0"/>
        <v>51470</v>
      </c>
      <c r="C14" s="238">
        <v>4887</v>
      </c>
      <c r="D14" s="238">
        <v>4973</v>
      </c>
      <c r="E14" s="238">
        <v>4807</v>
      </c>
      <c r="F14" s="238">
        <v>3972</v>
      </c>
      <c r="G14" s="238">
        <v>4028</v>
      </c>
      <c r="H14" s="238">
        <v>4083</v>
      </c>
      <c r="I14" s="238">
        <v>4133</v>
      </c>
      <c r="J14" s="238">
        <v>4160</v>
      </c>
      <c r="K14" s="238">
        <v>4094</v>
      </c>
      <c r="L14" s="238">
        <v>4107</v>
      </c>
      <c r="M14" s="238">
        <v>4187</v>
      </c>
      <c r="N14" s="238">
        <v>4039</v>
      </c>
      <c r="O14" s="138"/>
    </row>
    <row r="15" spans="1:16" ht="16" customHeight="1">
      <c r="A15" s="119" t="s">
        <v>95</v>
      </c>
      <c r="B15" s="642">
        <f t="shared" si="0"/>
        <v>19724</v>
      </c>
      <c r="C15" s="238">
        <v>1783</v>
      </c>
      <c r="D15" s="238">
        <v>1799</v>
      </c>
      <c r="E15" s="238">
        <v>1463</v>
      </c>
      <c r="F15" s="238">
        <v>1047</v>
      </c>
      <c r="G15" s="238">
        <v>1206</v>
      </c>
      <c r="H15" s="238">
        <v>1677</v>
      </c>
      <c r="I15" s="238">
        <v>1710</v>
      </c>
      <c r="J15" s="238">
        <v>1785</v>
      </c>
      <c r="K15" s="238">
        <v>1792</v>
      </c>
      <c r="L15" s="238">
        <v>1716</v>
      </c>
      <c r="M15" s="238">
        <v>1873</v>
      </c>
      <c r="N15" s="238">
        <v>1873</v>
      </c>
      <c r="O15" s="138"/>
    </row>
    <row r="16" spans="1:16" ht="16" customHeight="1">
      <c r="A16" s="119" t="s">
        <v>96</v>
      </c>
      <c r="B16" s="642">
        <f t="shared" si="0"/>
        <v>3141</v>
      </c>
      <c r="C16" s="238">
        <v>244</v>
      </c>
      <c r="D16" s="238">
        <v>223</v>
      </c>
      <c r="E16" s="238">
        <v>192</v>
      </c>
      <c r="F16" s="238">
        <v>257</v>
      </c>
      <c r="G16" s="238">
        <v>379</v>
      </c>
      <c r="H16" s="238">
        <v>350</v>
      </c>
      <c r="I16" s="238">
        <v>297</v>
      </c>
      <c r="J16" s="238">
        <v>260</v>
      </c>
      <c r="K16" s="238">
        <v>270</v>
      </c>
      <c r="L16" s="238">
        <v>251</v>
      </c>
      <c r="M16" s="238">
        <v>217</v>
      </c>
      <c r="N16" s="238">
        <v>201</v>
      </c>
      <c r="O16" s="138"/>
    </row>
    <row r="17" spans="1:15" ht="16" customHeight="1">
      <c r="A17" s="143" t="s">
        <v>27</v>
      </c>
      <c r="B17" s="642">
        <f t="shared" si="0"/>
        <v>3752</v>
      </c>
      <c r="C17" s="238">
        <v>320</v>
      </c>
      <c r="D17" s="238">
        <v>296</v>
      </c>
      <c r="E17" s="238">
        <v>278</v>
      </c>
      <c r="F17" s="238">
        <v>239</v>
      </c>
      <c r="G17" s="238">
        <v>269</v>
      </c>
      <c r="H17" s="238">
        <v>281</v>
      </c>
      <c r="I17" s="238">
        <v>309</v>
      </c>
      <c r="J17" s="238">
        <v>290</v>
      </c>
      <c r="K17" s="238">
        <v>319</v>
      </c>
      <c r="L17" s="238">
        <v>238</v>
      </c>
      <c r="M17" s="238">
        <v>374</v>
      </c>
      <c r="N17" s="238">
        <v>539</v>
      </c>
      <c r="O17" s="138"/>
    </row>
    <row r="18" spans="1:15" ht="16" customHeight="1">
      <c r="A18" s="119" t="s">
        <v>28</v>
      </c>
      <c r="B18" s="642">
        <f t="shared" si="0"/>
        <v>135246</v>
      </c>
      <c r="C18" s="238">
        <v>10614</v>
      </c>
      <c r="D18" s="238">
        <v>10298</v>
      </c>
      <c r="E18" s="238">
        <v>11136</v>
      </c>
      <c r="F18" s="238">
        <v>11261</v>
      </c>
      <c r="G18" s="238">
        <v>11303</v>
      </c>
      <c r="H18" s="238">
        <v>10130</v>
      </c>
      <c r="I18" s="238">
        <v>11784</v>
      </c>
      <c r="J18" s="238">
        <v>12848</v>
      </c>
      <c r="K18" s="238">
        <v>13148</v>
      </c>
      <c r="L18" s="238">
        <v>11882</v>
      </c>
      <c r="M18" s="238">
        <v>10718</v>
      </c>
      <c r="N18" s="238">
        <v>10124</v>
      </c>
      <c r="O18" s="138"/>
    </row>
    <row r="19" spans="1:15" ht="16" customHeight="1">
      <c r="A19" s="119" t="s">
        <v>29</v>
      </c>
      <c r="B19" s="642">
        <f t="shared" si="0"/>
        <v>63970</v>
      </c>
      <c r="C19" s="238">
        <v>4271</v>
      </c>
      <c r="D19" s="238">
        <v>4781</v>
      </c>
      <c r="E19" s="238">
        <v>4769</v>
      </c>
      <c r="F19" s="238">
        <v>4857</v>
      </c>
      <c r="G19" s="238">
        <v>5150</v>
      </c>
      <c r="H19" s="238">
        <v>5465</v>
      </c>
      <c r="I19" s="238">
        <v>5670</v>
      </c>
      <c r="J19" s="238">
        <v>5855</v>
      </c>
      <c r="K19" s="238">
        <v>6055</v>
      </c>
      <c r="L19" s="238">
        <v>5081</v>
      </c>
      <c r="M19" s="238">
        <v>5728</v>
      </c>
      <c r="N19" s="238">
        <v>6288</v>
      </c>
      <c r="O19" s="138"/>
    </row>
    <row r="20" spans="1:15" ht="16" customHeight="1">
      <c r="A20" s="143" t="s">
        <v>30</v>
      </c>
      <c r="B20" s="642">
        <f t="shared" si="0"/>
        <v>12625</v>
      </c>
      <c r="C20" s="238">
        <v>806</v>
      </c>
      <c r="D20" s="238">
        <v>804</v>
      </c>
      <c r="E20" s="238">
        <v>890</v>
      </c>
      <c r="F20" s="238">
        <v>901</v>
      </c>
      <c r="G20" s="238">
        <v>1086</v>
      </c>
      <c r="H20" s="238">
        <v>967</v>
      </c>
      <c r="I20" s="238">
        <v>1127</v>
      </c>
      <c r="J20" s="238">
        <v>1280</v>
      </c>
      <c r="K20" s="238">
        <v>1307</v>
      </c>
      <c r="L20" s="238">
        <v>1299</v>
      </c>
      <c r="M20" s="238">
        <v>1149</v>
      </c>
      <c r="N20" s="238">
        <v>1009</v>
      </c>
      <c r="O20" s="138"/>
    </row>
    <row r="21" spans="1:15" ht="16" customHeight="1">
      <c r="A21" s="143" t="s">
        <v>31</v>
      </c>
      <c r="B21" s="642">
        <f t="shared" si="0"/>
        <v>174789</v>
      </c>
      <c r="C21" s="238">
        <v>13308</v>
      </c>
      <c r="D21" s="238">
        <v>13308</v>
      </c>
      <c r="E21" s="238">
        <v>14462</v>
      </c>
      <c r="F21" s="238">
        <v>14331</v>
      </c>
      <c r="G21" s="238">
        <v>13922</v>
      </c>
      <c r="H21" s="238">
        <v>14462</v>
      </c>
      <c r="I21" s="238">
        <v>15289</v>
      </c>
      <c r="J21" s="238">
        <v>15118</v>
      </c>
      <c r="K21" s="238">
        <v>15163</v>
      </c>
      <c r="L21" s="238">
        <v>14821</v>
      </c>
      <c r="M21" s="238">
        <v>15281</v>
      </c>
      <c r="N21" s="238">
        <v>15324</v>
      </c>
      <c r="O21" s="138"/>
    </row>
    <row r="22" spans="1:15" ht="16" customHeight="1">
      <c r="A22" s="143" t="s">
        <v>32</v>
      </c>
      <c r="B22" s="642">
        <f t="shared" si="0"/>
        <v>116592</v>
      </c>
      <c r="C22" s="238">
        <v>6001</v>
      </c>
      <c r="D22" s="238">
        <v>7292</v>
      </c>
      <c r="E22" s="238">
        <v>8889</v>
      </c>
      <c r="F22" s="238">
        <v>10109</v>
      </c>
      <c r="G22" s="238">
        <v>12350</v>
      </c>
      <c r="H22" s="238">
        <v>10154</v>
      </c>
      <c r="I22" s="238">
        <v>11855</v>
      </c>
      <c r="J22" s="238">
        <v>11312</v>
      </c>
      <c r="K22" s="238">
        <v>7784</v>
      </c>
      <c r="L22" s="238">
        <v>7908</v>
      </c>
      <c r="M22" s="238">
        <v>9218</v>
      </c>
      <c r="N22" s="238">
        <v>13720</v>
      </c>
      <c r="O22" s="138"/>
    </row>
    <row r="23" spans="1:15" ht="16" customHeight="1">
      <c r="A23" s="143" t="s">
        <v>33</v>
      </c>
      <c r="B23" s="642">
        <f t="shared" si="0"/>
        <v>303797</v>
      </c>
      <c r="C23" s="238">
        <v>26855</v>
      </c>
      <c r="D23" s="238">
        <v>24616</v>
      </c>
      <c r="E23" s="238">
        <v>24480</v>
      </c>
      <c r="F23" s="238">
        <v>24188</v>
      </c>
      <c r="G23" s="238">
        <v>24626</v>
      </c>
      <c r="H23" s="238">
        <v>25082</v>
      </c>
      <c r="I23" s="238">
        <v>25838</v>
      </c>
      <c r="J23" s="238">
        <v>25948</v>
      </c>
      <c r="K23" s="238">
        <v>25570</v>
      </c>
      <c r="L23" s="238">
        <v>25819</v>
      </c>
      <c r="M23" s="238">
        <v>24143</v>
      </c>
      <c r="N23" s="238">
        <v>26632</v>
      </c>
      <c r="O23" s="138"/>
    </row>
    <row r="24" spans="1:15" ht="16" customHeight="1">
      <c r="A24" s="143" t="s">
        <v>34</v>
      </c>
      <c r="B24" s="642">
        <f t="shared" si="0"/>
        <v>97429</v>
      </c>
      <c r="C24" s="238">
        <v>8433</v>
      </c>
      <c r="D24" s="238">
        <v>7982</v>
      </c>
      <c r="E24" s="238">
        <v>7706</v>
      </c>
      <c r="F24" s="238">
        <v>7922</v>
      </c>
      <c r="G24" s="238">
        <v>8509</v>
      </c>
      <c r="H24" s="238">
        <v>9473</v>
      </c>
      <c r="I24" s="238">
        <v>7806</v>
      </c>
      <c r="J24" s="238">
        <v>7317</v>
      </c>
      <c r="K24" s="238">
        <v>8067</v>
      </c>
      <c r="L24" s="238">
        <v>8164</v>
      </c>
      <c r="M24" s="238">
        <v>7983</v>
      </c>
      <c r="N24" s="238">
        <v>8067</v>
      </c>
      <c r="O24" s="138"/>
    </row>
    <row r="25" spans="1:15" ht="16" customHeight="1">
      <c r="A25" s="119" t="s">
        <v>35</v>
      </c>
      <c r="B25" s="642">
        <f t="shared" si="0"/>
        <v>105611</v>
      </c>
      <c r="C25" s="238">
        <v>10633</v>
      </c>
      <c r="D25" s="238">
        <v>10232</v>
      </c>
      <c r="E25" s="238">
        <v>9619</v>
      </c>
      <c r="F25" s="238">
        <v>9045</v>
      </c>
      <c r="G25" s="238">
        <v>8891</v>
      </c>
      <c r="H25" s="238">
        <v>8526</v>
      </c>
      <c r="I25" s="238">
        <v>8519</v>
      </c>
      <c r="J25" s="238">
        <v>8337</v>
      </c>
      <c r="K25" s="238">
        <v>8060</v>
      </c>
      <c r="L25" s="238">
        <v>7979</v>
      </c>
      <c r="M25" s="238">
        <v>7865</v>
      </c>
      <c r="N25" s="238">
        <v>7905</v>
      </c>
      <c r="O25" s="138"/>
    </row>
    <row r="26" spans="1:15" ht="16" customHeight="1">
      <c r="A26" s="143" t="s">
        <v>36</v>
      </c>
      <c r="B26" s="642">
        <f t="shared" si="0"/>
        <v>3803.8000366054243</v>
      </c>
      <c r="C26" s="238">
        <v>290</v>
      </c>
      <c r="D26" s="238">
        <v>292</v>
      </c>
      <c r="E26" s="238">
        <v>298.80003660542445</v>
      </c>
      <c r="F26" s="238">
        <v>245</v>
      </c>
      <c r="G26" s="238">
        <v>278</v>
      </c>
      <c r="H26" s="238">
        <v>322</v>
      </c>
      <c r="I26" s="238">
        <v>358</v>
      </c>
      <c r="J26" s="238">
        <v>338</v>
      </c>
      <c r="K26" s="238">
        <v>364</v>
      </c>
      <c r="L26" s="238">
        <v>402</v>
      </c>
      <c r="M26" s="238">
        <v>314</v>
      </c>
      <c r="N26" s="238">
        <v>302</v>
      </c>
      <c r="O26" s="138"/>
    </row>
    <row r="27" spans="1:15" ht="16" customHeight="1">
      <c r="A27" s="143" t="s">
        <v>37</v>
      </c>
      <c r="B27" s="642">
        <f t="shared" si="0"/>
        <v>8737</v>
      </c>
      <c r="C27" s="238">
        <v>597</v>
      </c>
      <c r="D27" s="238">
        <v>640</v>
      </c>
      <c r="E27" s="238">
        <v>659</v>
      </c>
      <c r="F27" s="238">
        <v>670</v>
      </c>
      <c r="G27" s="238">
        <v>722</v>
      </c>
      <c r="H27" s="238">
        <v>723</v>
      </c>
      <c r="I27" s="238">
        <v>766</v>
      </c>
      <c r="J27" s="238">
        <v>762</v>
      </c>
      <c r="K27" s="238">
        <v>766</v>
      </c>
      <c r="L27" s="238">
        <v>735</v>
      </c>
      <c r="M27" s="238">
        <v>845</v>
      </c>
      <c r="N27" s="238">
        <v>852</v>
      </c>
      <c r="O27" s="138"/>
    </row>
    <row r="28" spans="1:15" ht="16" customHeight="1">
      <c r="A28" s="143" t="s">
        <v>38</v>
      </c>
      <c r="B28" s="642">
        <f t="shared" si="0"/>
        <v>142794</v>
      </c>
      <c r="C28" s="238">
        <v>10209</v>
      </c>
      <c r="D28" s="238">
        <v>10687</v>
      </c>
      <c r="E28" s="238">
        <v>12109</v>
      </c>
      <c r="F28" s="238">
        <v>12458</v>
      </c>
      <c r="G28" s="238">
        <v>13428</v>
      </c>
      <c r="H28" s="238">
        <v>12712</v>
      </c>
      <c r="I28" s="238">
        <v>12806</v>
      </c>
      <c r="J28" s="238">
        <v>11206</v>
      </c>
      <c r="K28" s="238">
        <v>11008</v>
      </c>
      <c r="L28" s="238">
        <v>12247</v>
      </c>
      <c r="M28" s="238">
        <v>10843</v>
      </c>
      <c r="N28" s="238">
        <v>13081</v>
      </c>
      <c r="O28" s="138"/>
    </row>
    <row r="29" spans="1:15" ht="16" customHeight="1">
      <c r="A29" s="119" t="s">
        <v>39</v>
      </c>
      <c r="B29" s="642">
        <f t="shared" si="0"/>
        <v>68602</v>
      </c>
      <c r="C29" s="238">
        <v>6331</v>
      </c>
      <c r="D29" s="238">
        <v>6259</v>
      </c>
      <c r="E29" s="238">
        <v>5847</v>
      </c>
      <c r="F29" s="238">
        <v>5683</v>
      </c>
      <c r="G29" s="238">
        <v>5662</v>
      </c>
      <c r="H29" s="238">
        <v>5897</v>
      </c>
      <c r="I29" s="238">
        <v>5700</v>
      </c>
      <c r="J29" s="238">
        <v>5547</v>
      </c>
      <c r="K29" s="238">
        <v>5566</v>
      </c>
      <c r="L29" s="238">
        <v>5483</v>
      </c>
      <c r="M29" s="238">
        <v>5266</v>
      </c>
      <c r="N29" s="238">
        <v>5361</v>
      </c>
      <c r="O29" s="138"/>
    </row>
    <row r="30" spans="1:15" ht="16" customHeight="1">
      <c r="A30" s="119" t="s">
        <v>97</v>
      </c>
      <c r="B30" s="642">
        <f t="shared" si="0"/>
        <v>35465</v>
      </c>
      <c r="C30" s="238">
        <v>3047</v>
      </c>
      <c r="D30" s="238">
        <v>3083</v>
      </c>
      <c r="E30" s="238">
        <v>3087</v>
      </c>
      <c r="F30" s="238">
        <v>3006</v>
      </c>
      <c r="G30" s="238">
        <v>2983</v>
      </c>
      <c r="H30" s="238">
        <v>3109</v>
      </c>
      <c r="I30" s="238">
        <v>3018</v>
      </c>
      <c r="J30" s="238">
        <v>2981</v>
      </c>
      <c r="K30" s="238">
        <v>3017</v>
      </c>
      <c r="L30" s="238">
        <v>2973</v>
      </c>
      <c r="M30" s="238">
        <v>2567</v>
      </c>
      <c r="N30" s="238">
        <v>2594</v>
      </c>
      <c r="O30" s="138"/>
    </row>
    <row r="31" spans="1:15" ht="16" customHeight="1">
      <c r="A31" s="119" t="s">
        <v>98</v>
      </c>
      <c r="B31" s="642">
        <f t="shared" si="0"/>
        <v>33137</v>
      </c>
      <c r="C31" s="238">
        <v>3284</v>
      </c>
      <c r="D31" s="238">
        <v>3176</v>
      </c>
      <c r="E31" s="238">
        <v>2760</v>
      </c>
      <c r="F31" s="238">
        <v>2677</v>
      </c>
      <c r="G31" s="238">
        <v>2679</v>
      </c>
      <c r="H31" s="238">
        <v>2788</v>
      </c>
      <c r="I31" s="238">
        <v>2682</v>
      </c>
      <c r="J31" s="238">
        <v>2566</v>
      </c>
      <c r="K31" s="238">
        <v>2549</v>
      </c>
      <c r="L31" s="238">
        <v>2510</v>
      </c>
      <c r="M31" s="238">
        <v>2699</v>
      </c>
      <c r="N31" s="238">
        <v>2767</v>
      </c>
      <c r="O31" s="138"/>
    </row>
    <row r="32" spans="1:15" ht="16" customHeight="1">
      <c r="A32" s="143" t="s">
        <v>42</v>
      </c>
      <c r="B32" s="642">
        <f t="shared" si="0"/>
        <v>312820</v>
      </c>
      <c r="C32" s="238">
        <v>21817</v>
      </c>
      <c r="D32" s="238">
        <v>24039</v>
      </c>
      <c r="E32" s="238">
        <v>26409</v>
      </c>
      <c r="F32" s="238">
        <v>28344</v>
      </c>
      <c r="G32" s="238">
        <v>30452</v>
      </c>
      <c r="H32" s="238">
        <v>31894</v>
      </c>
      <c r="I32" s="238">
        <v>30813</v>
      </c>
      <c r="J32" s="238">
        <v>28009</v>
      </c>
      <c r="K32" s="238">
        <v>27058</v>
      </c>
      <c r="L32" s="238">
        <v>24705</v>
      </c>
      <c r="M32" s="238">
        <v>20575</v>
      </c>
      <c r="N32" s="238">
        <v>18705</v>
      </c>
      <c r="O32" s="138"/>
    </row>
    <row r="33" spans="1:15" ht="16" customHeight="1">
      <c r="A33" s="143" t="s">
        <v>43</v>
      </c>
      <c r="B33" s="642">
        <f t="shared" si="0"/>
        <v>588240</v>
      </c>
      <c r="C33" s="238">
        <v>33400</v>
      </c>
      <c r="D33" s="238">
        <v>40010</v>
      </c>
      <c r="E33" s="238">
        <v>43880</v>
      </c>
      <c r="F33" s="238">
        <v>59170</v>
      </c>
      <c r="G33" s="238">
        <v>58750</v>
      </c>
      <c r="H33" s="238">
        <v>58080</v>
      </c>
      <c r="I33" s="238">
        <v>56750</v>
      </c>
      <c r="J33" s="238">
        <v>55510</v>
      </c>
      <c r="K33" s="238">
        <v>51330</v>
      </c>
      <c r="L33" s="238">
        <v>46400</v>
      </c>
      <c r="M33" s="238">
        <v>44610</v>
      </c>
      <c r="N33" s="238">
        <v>40350</v>
      </c>
      <c r="O33" s="138"/>
    </row>
    <row r="34" spans="1:15" ht="16" customHeight="1">
      <c r="A34" s="119" t="s">
        <v>99</v>
      </c>
      <c r="B34" s="642">
        <f t="shared" si="0"/>
        <v>5153.3538496818774</v>
      </c>
      <c r="C34" s="238">
        <v>365</v>
      </c>
      <c r="D34" s="238">
        <v>405</v>
      </c>
      <c r="E34" s="238">
        <v>331.35384968187748</v>
      </c>
      <c r="F34" s="238">
        <v>380</v>
      </c>
      <c r="G34" s="238">
        <v>364</v>
      </c>
      <c r="H34" s="238">
        <v>400</v>
      </c>
      <c r="I34" s="238">
        <v>406</v>
      </c>
      <c r="J34" s="238">
        <v>512</v>
      </c>
      <c r="K34" s="238">
        <v>502</v>
      </c>
      <c r="L34" s="238">
        <v>454</v>
      </c>
      <c r="M34" s="238">
        <v>482</v>
      </c>
      <c r="N34" s="238">
        <v>552</v>
      </c>
      <c r="O34" s="138"/>
    </row>
    <row r="35" spans="1:15" ht="16" customHeight="1">
      <c r="A35" s="119" t="s">
        <v>45</v>
      </c>
      <c r="B35" s="642">
        <f t="shared" si="0"/>
        <v>2435</v>
      </c>
      <c r="C35" s="238">
        <v>230</v>
      </c>
      <c r="D35" s="238">
        <v>193</v>
      </c>
      <c r="E35" s="238">
        <v>151</v>
      </c>
      <c r="F35" s="238">
        <v>172</v>
      </c>
      <c r="G35" s="238">
        <v>187</v>
      </c>
      <c r="H35" s="238">
        <v>187</v>
      </c>
      <c r="I35" s="238">
        <v>196</v>
      </c>
      <c r="J35" s="238">
        <v>204</v>
      </c>
      <c r="K35" s="238">
        <v>215</v>
      </c>
      <c r="L35" s="238">
        <v>235</v>
      </c>
      <c r="M35" s="238">
        <v>204</v>
      </c>
      <c r="N35" s="238">
        <v>261</v>
      </c>
      <c r="O35" s="138"/>
    </row>
    <row r="36" spans="1:15" ht="16" customHeight="1">
      <c r="A36" s="119" t="s">
        <v>46</v>
      </c>
      <c r="B36" s="642">
        <f t="shared" si="0"/>
        <v>2700</v>
      </c>
      <c r="C36" s="238">
        <v>156</v>
      </c>
      <c r="D36" s="238">
        <v>154</v>
      </c>
      <c r="E36" s="238">
        <v>155</v>
      </c>
      <c r="F36" s="238">
        <v>142</v>
      </c>
      <c r="G36" s="238">
        <v>168</v>
      </c>
      <c r="H36" s="238">
        <v>187</v>
      </c>
      <c r="I36" s="238">
        <v>196</v>
      </c>
      <c r="J36" s="238">
        <v>189</v>
      </c>
      <c r="K36" s="238">
        <v>219</v>
      </c>
      <c r="L36" s="238">
        <v>244</v>
      </c>
      <c r="M36" s="238">
        <v>271</v>
      </c>
      <c r="N36" s="238">
        <v>619</v>
      </c>
      <c r="O36" s="138"/>
    </row>
    <row r="37" spans="1:15" ht="16" customHeight="1" thickBot="1">
      <c r="A37" s="145" t="s">
        <v>47</v>
      </c>
      <c r="B37" s="643">
        <f t="shared" si="0"/>
        <v>1456</v>
      </c>
      <c r="C37" s="239">
        <v>110</v>
      </c>
      <c r="D37" s="239">
        <v>104</v>
      </c>
      <c r="E37" s="239">
        <v>118</v>
      </c>
      <c r="F37" s="239">
        <v>109</v>
      </c>
      <c r="G37" s="239">
        <v>109</v>
      </c>
      <c r="H37" s="239">
        <v>124</v>
      </c>
      <c r="I37" s="239">
        <v>134</v>
      </c>
      <c r="J37" s="239">
        <v>100</v>
      </c>
      <c r="K37" s="239">
        <v>112</v>
      </c>
      <c r="L37" s="239">
        <v>123</v>
      </c>
      <c r="M37" s="239">
        <v>166</v>
      </c>
      <c r="N37" s="239">
        <v>147</v>
      </c>
      <c r="O37" s="138"/>
    </row>
    <row r="38" spans="1:15" ht="9" customHeight="1">
      <c r="A38" s="449" t="s">
        <v>330</v>
      </c>
      <c r="B38" s="477"/>
      <c r="C38" s="477"/>
      <c r="D38" s="477"/>
      <c r="E38" s="477"/>
      <c r="F38" s="236"/>
      <c r="O38" s="138"/>
    </row>
    <row r="39" spans="1:15" ht="9" customHeight="1">
      <c r="A39" s="449" t="s">
        <v>304</v>
      </c>
      <c r="B39" s="477"/>
      <c r="C39" s="477"/>
      <c r="D39" s="477"/>
      <c r="E39" s="477"/>
      <c r="F39" s="236"/>
      <c r="O39" s="138"/>
    </row>
    <row r="40" spans="1:15" ht="9" customHeight="1">
      <c r="A40" s="451" t="s">
        <v>303</v>
      </c>
      <c r="B40" s="477"/>
      <c r="C40" s="477"/>
      <c r="D40" s="477"/>
      <c r="E40" s="477"/>
      <c r="F40" s="236"/>
      <c r="O40" s="138"/>
    </row>
    <row r="41" spans="1:15" ht="13.25" customHeight="1">
      <c r="A41" s="11"/>
      <c r="O41" s="138"/>
    </row>
    <row r="42" spans="1:15" ht="13.25" customHeight="1">
      <c r="A42" s="67"/>
      <c r="O42" s="138"/>
    </row>
    <row r="43" spans="1:15" ht="13.25" customHeight="1">
      <c r="A43" s="67"/>
      <c r="O43" s="138"/>
    </row>
    <row r="44" spans="1:15" ht="13.25" customHeight="1">
      <c r="A44" s="22"/>
      <c r="O44" s="138"/>
    </row>
    <row r="45" spans="1:15" ht="13.25" customHeight="1">
      <c r="A45" s="30"/>
      <c r="O45" s="138"/>
    </row>
    <row r="46" spans="1:15" ht="13.25" customHeight="1">
      <c r="A46" s="22"/>
      <c r="O46" s="138"/>
    </row>
    <row r="47" spans="1:15" ht="13.25" customHeight="1">
      <c r="A47" s="67"/>
      <c r="O47" s="138"/>
    </row>
    <row r="48" spans="1:15" ht="13.25" customHeight="1">
      <c r="A48" s="67"/>
      <c r="O48" s="138"/>
    </row>
    <row r="49" spans="1:15" ht="13.25" customHeight="1">
      <c r="A49" s="67"/>
      <c r="O49" s="138"/>
    </row>
    <row r="50" spans="1:15" ht="13.25" customHeight="1">
      <c r="A50" s="67"/>
      <c r="O50" s="138"/>
    </row>
    <row r="51" spans="1:15" ht="13.25" customHeight="1">
      <c r="A51" s="67"/>
      <c r="O51" s="138"/>
    </row>
    <row r="52" spans="1:15" ht="13.25" customHeight="1">
      <c r="A52" s="67"/>
      <c r="O52" s="138"/>
    </row>
    <row r="53" spans="1:15" ht="13.25" customHeight="1">
      <c r="A53" s="67"/>
      <c r="O53" s="138"/>
    </row>
    <row r="54" spans="1:15" ht="13.25" customHeight="1">
      <c r="A54" s="67"/>
      <c r="O54" s="138"/>
    </row>
    <row r="55" spans="1:15" ht="13.25" customHeight="1">
      <c r="A55" s="119"/>
      <c r="O55" s="138"/>
    </row>
    <row r="56" spans="1:15" ht="13.25" customHeight="1">
      <c r="A56" s="143"/>
      <c r="O56" s="138"/>
    </row>
    <row r="57" spans="1:15" ht="13.25" customHeight="1">
      <c r="A57" s="143"/>
      <c r="O57" s="138"/>
    </row>
    <row r="58" spans="1:15" ht="13.25" customHeight="1">
      <c r="A58" s="143"/>
      <c r="O58" s="138"/>
    </row>
    <row r="59" spans="1:15" ht="13.25" customHeight="1">
      <c r="A59" s="143"/>
      <c r="O59" s="138"/>
    </row>
    <row r="60" spans="1:15" ht="13.25" customHeight="1">
      <c r="A60" s="119"/>
      <c r="O60" s="138"/>
    </row>
    <row r="61" spans="1:15" ht="13.25" customHeight="1">
      <c r="A61" s="119"/>
      <c r="O61" s="138"/>
    </row>
    <row r="62" spans="1:15" ht="13.25" customHeight="1">
      <c r="A62" s="119"/>
      <c r="O62" s="138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Hoja55">
    <tabColor theme="9" tint="0.59999389629810485"/>
  </sheetPr>
  <dimension ref="A4:P54"/>
  <sheetViews>
    <sheetView showGridLines="0" topLeftCell="A4" zoomScaleNormal="100" workbookViewId="0">
      <selection activeCell="O10" sqref="O10"/>
    </sheetView>
  </sheetViews>
  <sheetFormatPr baseColWidth="10" defaultColWidth="7" defaultRowHeight="13.25" customHeight="1"/>
  <cols>
    <col min="1" max="1" width="12" style="121" customWidth="1"/>
    <col min="2" max="2" width="12" style="126" customWidth="1"/>
    <col min="3" max="14" width="9.19921875" style="126" customWidth="1"/>
    <col min="15" max="21" width="8" style="121" customWidth="1"/>
    <col min="22" max="16384" width="7" style="121"/>
  </cols>
  <sheetData>
    <row r="4" spans="1:16" ht="13" customHeight="1">
      <c r="A4" s="229" t="s">
        <v>574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2" t="s">
        <v>210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16" ht="6" customHeight="1" thickBot="1"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16" ht="18" customHeight="1">
      <c r="A7" s="738" t="s">
        <v>16</v>
      </c>
      <c r="B7" s="742" t="s">
        <v>103</v>
      </c>
      <c r="C7" s="743" t="s">
        <v>53</v>
      </c>
      <c r="D7" s="743" t="s">
        <v>54</v>
      </c>
      <c r="E7" s="743" t="s">
        <v>55</v>
      </c>
      <c r="F7" s="743" t="s">
        <v>56</v>
      </c>
      <c r="G7" s="743" t="s">
        <v>57</v>
      </c>
      <c r="H7" s="743" t="s">
        <v>58</v>
      </c>
      <c r="I7" s="743" t="s">
        <v>59</v>
      </c>
      <c r="J7" s="743" t="s">
        <v>60</v>
      </c>
      <c r="K7" s="743" t="s">
        <v>61</v>
      </c>
      <c r="L7" s="743" t="s">
        <v>62</v>
      </c>
      <c r="M7" s="743" t="s">
        <v>63</v>
      </c>
      <c r="N7" s="743" t="s">
        <v>64</v>
      </c>
    </row>
    <row r="8" spans="1:16" ht="18" customHeight="1">
      <c r="A8" s="649" t="s">
        <v>93</v>
      </c>
      <c r="B8" s="650">
        <f t="shared" ref="B8:B37" si="0">SUM(C8:N8)</f>
        <v>33625.352626535074</v>
      </c>
      <c r="C8" s="650">
        <f t="shared" ref="C8:N8" si="1">(C9+C10+C11+C12+C13+C17+C18+C19+C20+C21+C22+C23+C24+C25+C26+C27+C28+C29+C32+C33+C34+C35+C36+C37)</f>
        <v>2424.1655965229224</v>
      </c>
      <c r="D8" s="650">
        <f t="shared" si="1"/>
        <v>2569.3588666394812</v>
      </c>
      <c r="E8" s="650">
        <f t="shared" si="1"/>
        <v>2704.8904000000002</v>
      </c>
      <c r="F8" s="650">
        <f t="shared" si="1"/>
        <v>3017.1671014176286</v>
      </c>
      <c r="G8" s="650">
        <f t="shared" si="1"/>
        <v>3114.5689690545778</v>
      </c>
      <c r="H8" s="650">
        <f t="shared" si="1"/>
        <v>3140.32208614</v>
      </c>
      <c r="I8" s="650">
        <f t="shared" si="1"/>
        <v>3083.0530237991998</v>
      </c>
      <c r="J8" s="650">
        <f t="shared" si="1"/>
        <v>2982.5771789300779</v>
      </c>
      <c r="K8" s="650">
        <f t="shared" si="1"/>
        <v>2779.3159639999999</v>
      </c>
      <c r="L8" s="650">
        <f t="shared" si="1"/>
        <v>2631.687950031187</v>
      </c>
      <c r="M8" s="650">
        <f t="shared" si="1"/>
        <v>2549.7692919999995</v>
      </c>
      <c r="N8" s="650">
        <f t="shared" si="1"/>
        <v>2628.4761979999994</v>
      </c>
    </row>
    <row r="9" spans="1:16" ht="16" customHeight="1">
      <c r="A9" s="143" t="s">
        <v>19</v>
      </c>
      <c r="B9" s="651">
        <f t="shared" si="0"/>
        <v>35.305500000000002</v>
      </c>
      <c r="C9" s="242">
        <v>3.1240000000000001</v>
      </c>
      <c r="D9" s="242">
        <v>3.1457999999999999</v>
      </c>
      <c r="E9" s="242">
        <v>3.0053999999999998</v>
      </c>
      <c r="F9" s="242">
        <v>3.1320000000000001</v>
      </c>
      <c r="G9" s="242">
        <v>3.1240999999999999</v>
      </c>
      <c r="H9" s="242">
        <v>3.0459999999999998</v>
      </c>
      <c r="I9" s="242">
        <v>2.8119999999999998</v>
      </c>
      <c r="J9" s="242">
        <v>2.706</v>
      </c>
      <c r="K9" s="242">
        <v>2.7604000000000002</v>
      </c>
      <c r="L9" s="242">
        <v>3.0718000000000001</v>
      </c>
      <c r="M9" s="242">
        <v>3.0409999999999999</v>
      </c>
      <c r="N9" s="242">
        <v>2.3370000000000002</v>
      </c>
    </row>
    <row r="10" spans="1:16" ht="16" customHeight="1">
      <c r="A10" s="143" t="s">
        <v>20</v>
      </c>
      <c r="B10" s="651">
        <f t="shared" si="0"/>
        <v>1858.3685120546197</v>
      </c>
      <c r="C10" s="242">
        <v>153.64699999999999</v>
      </c>
      <c r="D10" s="242">
        <v>153.03952435970001</v>
      </c>
      <c r="E10" s="242">
        <v>150.34700000000001</v>
      </c>
      <c r="F10" s="242">
        <v>157.63441767762799</v>
      </c>
      <c r="G10" s="242">
        <v>174.58384055457799</v>
      </c>
      <c r="H10" s="242">
        <v>179.61799999999999</v>
      </c>
      <c r="I10" s="242">
        <v>181.11600000000001</v>
      </c>
      <c r="J10" s="242">
        <v>201.53326343152682</v>
      </c>
      <c r="K10" s="242">
        <v>149.06469999999999</v>
      </c>
      <c r="L10" s="242">
        <v>109.190766031187</v>
      </c>
      <c r="M10" s="242">
        <v>112.38500000000001</v>
      </c>
      <c r="N10" s="242">
        <v>136.209</v>
      </c>
    </row>
    <row r="11" spans="1:16" ht="16" customHeight="1">
      <c r="A11" s="143" t="s">
        <v>21</v>
      </c>
      <c r="B11" s="651">
        <f t="shared" si="0"/>
        <v>383.87769999999995</v>
      </c>
      <c r="C11" s="242">
        <v>35.420999999999999</v>
      </c>
      <c r="D11" s="242">
        <v>36.134700000000002</v>
      </c>
      <c r="E11" s="242">
        <v>36.167999999999999</v>
      </c>
      <c r="F11" s="242">
        <v>32.469000000000001</v>
      </c>
      <c r="G11" s="242">
        <v>33.414000000000001</v>
      </c>
      <c r="H11" s="242">
        <v>32.918999999999997</v>
      </c>
      <c r="I11" s="242">
        <v>28.535</v>
      </c>
      <c r="J11" s="242">
        <v>23.218</v>
      </c>
      <c r="K11" s="242">
        <v>25.372</v>
      </c>
      <c r="L11" s="242">
        <v>30.074000000000002</v>
      </c>
      <c r="M11" s="242">
        <v>29.864000000000001</v>
      </c>
      <c r="N11" s="242">
        <v>40.289000000000001</v>
      </c>
    </row>
    <row r="12" spans="1:16" ht="16" customHeight="1">
      <c r="A12" s="119" t="s">
        <v>22</v>
      </c>
      <c r="B12" s="651">
        <f t="shared" si="0"/>
        <v>3019.7650720000001</v>
      </c>
      <c r="C12" s="242">
        <v>238.75185199999996</v>
      </c>
      <c r="D12" s="242">
        <v>246.59555600000002</v>
      </c>
      <c r="E12" s="242">
        <v>242.811048</v>
      </c>
      <c r="F12" s="242">
        <v>253.94563600000001</v>
      </c>
      <c r="G12" s="242">
        <v>262.70860000000005</v>
      </c>
      <c r="H12" s="242">
        <v>272.59509200000002</v>
      </c>
      <c r="I12" s="242">
        <v>262.40403200000003</v>
      </c>
      <c r="J12" s="242">
        <v>254.22311999999999</v>
      </c>
      <c r="K12" s="242">
        <v>247.08775600000001</v>
      </c>
      <c r="L12" s="242">
        <v>252.36308000000005</v>
      </c>
      <c r="M12" s="242">
        <v>235.28443200000001</v>
      </c>
      <c r="N12" s="242">
        <v>250.99486800000003</v>
      </c>
    </row>
    <row r="13" spans="1:16" ht="16" customHeight="1">
      <c r="A13" s="119" t="s">
        <v>23</v>
      </c>
      <c r="B13" s="651">
        <f t="shared" si="0"/>
        <v>872.91439999999989</v>
      </c>
      <c r="C13" s="242">
        <v>74.846999999999994</v>
      </c>
      <c r="D13" s="242">
        <v>80.033000000000001</v>
      </c>
      <c r="E13" s="242">
        <v>73.452999999999989</v>
      </c>
      <c r="F13" s="242">
        <v>58.968400000000003</v>
      </c>
      <c r="G13" s="242">
        <v>64.452799999999996</v>
      </c>
      <c r="H13" s="242">
        <v>70.13</v>
      </c>
      <c r="I13" s="242">
        <v>73.391999999999996</v>
      </c>
      <c r="J13" s="242">
        <v>73.959699999999998</v>
      </c>
      <c r="K13" s="242">
        <v>73.936300000000017</v>
      </c>
      <c r="L13" s="242">
        <v>73.779200000000003</v>
      </c>
      <c r="M13" s="242">
        <v>78.081999999999994</v>
      </c>
      <c r="N13" s="242">
        <v>77.881</v>
      </c>
    </row>
    <row r="14" spans="1:16" ht="16" customHeight="1">
      <c r="A14" s="119" t="s">
        <v>94</v>
      </c>
      <c r="B14" s="651">
        <f t="shared" si="0"/>
        <v>597.11849999999993</v>
      </c>
      <c r="C14" s="242">
        <v>51.393999999999998</v>
      </c>
      <c r="D14" s="242">
        <v>55.658000000000001</v>
      </c>
      <c r="E14" s="242">
        <v>55.031999999999996</v>
      </c>
      <c r="F14" s="242">
        <v>44.39</v>
      </c>
      <c r="G14" s="242">
        <v>45.634799999999998</v>
      </c>
      <c r="H14" s="242">
        <v>46.58</v>
      </c>
      <c r="I14" s="242">
        <v>49.308</v>
      </c>
      <c r="J14" s="242">
        <v>49.031700000000001</v>
      </c>
      <c r="K14" s="242">
        <v>48.877000000000002</v>
      </c>
      <c r="L14" s="242">
        <v>49.305999999999997</v>
      </c>
      <c r="M14" s="242">
        <v>51.048999999999999</v>
      </c>
      <c r="N14" s="242">
        <v>50.857999999999997</v>
      </c>
    </row>
    <row r="15" spans="1:16" ht="16" customHeight="1">
      <c r="A15" s="119" t="s">
        <v>95</v>
      </c>
      <c r="B15" s="651">
        <f t="shared" si="0"/>
        <v>235.60939999999999</v>
      </c>
      <c r="C15" s="242">
        <v>20.247</v>
      </c>
      <c r="D15" s="242">
        <v>21.248000000000001</v>
      </c>
      <c r="E15" s="242">
        <v>16.074000000000002</v>
      </c>
      <c r="F15" s="242">
        <v>11.3314</v>
      </c>
      <c r="G15" s="242">
        <v>13.968999999999999</v>
      </c>
      <c r="H15" s="242">
        <v>19.041</v>
      </c>
      <c r="I15" s="242">
        <v>20.276</v>
      </c>
      <c r="J15" s="242">
        <v>21.634</v>
      </c>
      <c r="K15" s="242">
        <v>21.667000000000002</v>
      </c>
      <c r="L15" s="242">
        <v>21.338999999999999</v>
      </c>
      <c r="M15" s="242">
        <v>24.306999999999999</v>
      </c>
      <c r="N15" s="242">
        <v>24.475999999999999</v>
      </c>
    </row>
    <row r="16" spans="1:16" ht="16" customHeight="1">
      <c r="A16" s="119" t="s">
        <v>96</v>
      </c>
      <c r="B16" s="651">
        <f t="shared" si="0"/>
        <v>40.186499999999995</v>
      </c>
      <c r="C16" s="242">
        <v>3.206</v>
      </c>
      <c r="D16" s="242">
        <v>3.1269999999999998</v>
      </c>
      <c r="E16" s="242">
        <v>2.347</v>
      </c>
      <c r="F16" s="242">
        <v>3.2469999999999999</v>
      </c>
      <c r="G16" s="242">
        <v>4.8490000000000002</v>
      </c>
      <c r="H16" s="242">
        <v>4.5090000000000003</v>
      </c>
      <c r="I16" s="242">
        <v>3.8079999999999998</v>
      </c>
      <c r="J16" s="242">
        <v>3.294</v>
      </c>
      <c r="K16" s="242">
        <v>3.3923000000000001</v>
      </c>
      <c r="L16" s="242">
        <v>3.1341999999999999</v>
      </c>
      <c r="M16" s="242">
        <v>2.726</v>
      </c>
      <c r="N16" s="242">
        <v>2.5470000000000002</v>
      </c>
    </row>
    <row r="17" spans="1:14" ht="16" customHeight="1">
      <c r="A17" s="143" t="s">
        <v>27</v>
      </c>
      <c r="B17" s="651">
        <f t="shared" si="0"/>
        <v>60.121011999999993</v>
      </c>
      <c r="C17" s="242">
        <v>5.1036800000000007</v>
      </c>
      <c r="D17" s="242">
        <v>4.6660000000000013</v>
      </c>
      <c r="E17" s="242">
        <v>4.3819999999999988</v>
      </c>
      <c r="F17" s="242">
        <v>3.7835999999999994</v>
      </c>
      <c r="G17" s="242">
        <v>4.183031999999999</v>
      </c>
      <c r="H17" s="242">
        <v>4.2950999999999997</v>
      </c>
      <c r="I17" s="242">
        <v>4.9559999999999986</v>
      </c>
      <c r="J17" s="242">
        <v>4.5389000000000008</v>
      </c>
      <c r="K17" s="242">
        <v>4.962299999999999</v>
      </c>
      <c r="L17" s="242">
        <v>3.9837999999999996</v>
      </c>
      <c r="M17" s="242">
        <v>6.2073999999999998</v>
      </c>
      <c r="N17" s="242">
        <v>9.0591999999999953</v>
      </c>
    </row>
    <row r="18" spans="1:14" ht="16" customHeight="1">
      <c r="A18" s="143" t="s">
        <v>28</v>
      </c>
      <c r="B18" s="651">
        <f t="shared" si="0"/>
        <v>1476.8160342112003</v>
      </c>
      <c r="C18" s="242">
        <v>118.357892154</v>
      </c>
      <c r="D18" s="242">
        <v>114.434681658</v>
      </c>
      <c r="E18" s="242">
        <v>123.28319999999999</v>
      </c>
      <c r="F18" s="242">
        <v>124.112021</v>
      </c>
      <c r="G18" s="242">
        <v>114.21091</v>
      </c>
      <c r="H18" s="242">
        <v>116.21210000000001</v>
      </c>
      <c r="I18" s="242">
        <v>120.21119179920001</v>
      </c>
      <c r="J18" s="242">
        <v>130.2941376</v>
      </c>
      <c r="K18" s="242">
        <v>135.82759999999999</v>
      </c>
      <c r="L18" s="242">
        <v>131.24250000000001</v>
      </c>
      <c r="M18" s="242">
        <v>127.7642</v>
      </c>
      <c r="N18" s="242">
        <v>120.8656</v>
      </c>
    </row>
    <row r="19" spans="1:14" ht="16" customHeight="1">
      <c r="A19" s="119" t="s">
        <v>29</v>
      </c>
      <c r="B19" s="651">
        <f t="shared" si="0"/>
        <v>760.26465999999994</v>
      </c>
      <c r="C19" s="242">
        <v>51.627000000000002</v>
      </c>
      <c r="D19" s="242">
        <v>58.834240000000008</v>
      </c>
      <c r="E19" s="242">
        <v>58.476439999999997</v>
      </c>
      <c r="F19" s="242">
        <v>59.163680000000006</v>
      </c>
      <c r="G19" s="242">
        <v>62.173319999999997</v>
      </c>
      <c r="H19" s="242">
        <v>65.887</v>
      </c>
      <c r="I19" s="242">
        <v>68.681808000000004</v>
      </c>
      <c r="J19" s="242">
        <v>75.267012000000008</v>
      </c>
      <c r="K19" s="242">
        <v>74.446799999999996</v>
      </c>
      <c r="L19" s="242">
        <v>62.93468</v>
      </c>
      <c r="M19" s="242">
        <v>60.337919999999997</v>
      </c>
      <c r="N19" s="242">
        <v>62.434759999999997</v>
      </c>
    </row>
    <row r="20" spans="1:14" ht="16" customHeight="1">
      <c r="A20" s="143" t="s">
        <v>30</v>
      </c>
      <c r="B20" s="651">
        <f t="shared" si="0"/>
        <v>140.98679999999999</v>
      </c>
      <c r="C20" s="242">
        <v>8.6690000000000005</v>
      </c>
      <c r="D20" s="242">
        <v>8.5239999999999991</v>
      </c>
      <c r="E20" s="242">
        <v>8.9879999999999995</v>
      </c>
      <c r="F20" s="242">
        <v>9.8079999999999998</v>
      </c>
      <c r="G20" s="242">
        <v>12.364800000000001</v>
      </c>
      <c r="H20" s="242">
        <v>11.526999999999999</v>
      </c>
      <c r="I20" s="242">
        <v>12.608000000000001</v>
      </c>
      <c r="J20" s="242">
        <v>13.952999999999999</v>
      </c>
      <c r="K20" s="242">
        <v>15.528</v>
      </c>
      <c r="L20" s="242">
        <v>15.067</v>
      </c>
      <c r="M20" s="242">
        <v>12.893000000000001</v>
      </c>
      <c r="N20" s="242">
        <v>11.057</v>
      </c>
    </row>
    <row r="21" spans="1:14" ht="16" customHeight="1">
      <c r="A21" s="143" t="s">
        <v>31</v>
      </c>
      <c r="B21" s="651">
        <f t="shared" si="0"/>
        <v>1911.922421995175</v>
      </c>
      <c r="C21" s="242">
        <v>151.16239999999999</v>
      </c>
      <c r="D21" s="242">
        <v>151.16239999999999</v>
      </c>
      <c r="E21" s="242">
        <v>163.65760000000003</v>
      </c>
      <c r="F21" s="242">
        <v>165.72600000000006</v>
      </c>
      <c r="G21" s="242">
        <v>161.40960000000004</v>
      </c>
      <c r="H21" s="242">
        <v>169.25160000000005</v>
      </c>
      <c r="I21" s="242">
        <v>167.95679999999999</v>
      </c>
      <c r="J21" s="242">
        <v>160.94102199517499</v>
      </c>
      <c r="K21" s="242">
        <v>152.57079999999999</v>
      </c>
      <c r="L21" s="242">
        <v>159.3288</v>
      </c>
      <c r="M21" s="242">
        <v>153.31399999999999</v>
      </c>
      <c r="N21" s="242">
        <v>155.44139999999999</v>
      </c>
    </row>
    <row r="22" spans="1:14" ht="16" customHeight="1">
      <c r="A22" s="143" t="s">
        <v>32</v>
      </c>
      <c r="B22" s="651">
        <f t="shared" si="0"/>
        <v>1376.3280869488763</v>
      </c>
      <c r="C22" s="242">
        <v>70.418520545500002</v>
      </c>
      <c r="D22" s="242">
        <v>80.479231999999996</v>
      </c>
      <c r="E22" s="242">
        <v>95.472111999999996</v>
      </c>
      <c r="F22" s="242">
        <v>120.4128</v>
      </c>
      <c r="G22" s="242">
        <v>152.2444265</v>
      </c>
      <c r="H22" s="242">
        <v>130.39773600000001</v>
      </c>
      <c r="I22" s="242">
        <v>141.66789200000002</v>
      </c>
      <c r="J22" s="242">
        <v>137.48458590337626</v>
      </c>
      <c r="K22" s="242">
        <v>100.06550800000001</v>
      </c>
      <c r="L22" s="242">
        <v>81.762004000000005</v>
      </c>
      <c r="M22" s="242">
        <v>111.2218</v>
      </c>
      <c r="N22" s="242">
        <v>154.70147</v>
      </c>
    </row>
    <row r="23" spans="1:14" ht="16" customHeight="1">
      <c r="A23" s="143" t="s">
        <v>33</v>
      </c>
      <c r="B23" s="651">
        <f t="shared" si="0"/>
        <v>3548.9452000000001</v>
      </c>
      <c r="C23" s="242">
        <v>310.25599999999997</v>
      </c>
      <c r="D23" s="242">
        <v>286.93919999999997</v>
      </c>
      <c r="E23" s="242">
        <v>287.26600000000002</v>
      </c>
      <c r="F23" s="242">
        <v>283.17679999999996</v>
      </c>
      <c r="G23" s="242">
        <v>288.57920000000007</v>
      </c>
      <c r="H23" s="242">
        <v>290.6504000000001</v>
      </c>
      <c r="I23" s="242">
        <v>295.43720000000002</v>
      </c>
      <c r="J23" s="242">
        <v>296.52720000000011</v>
      </c>
      <c r="K23" s="242">
        <v>292.85439999999988</v>
      </c>
      <c r="L23" s="242">
        <v>306.14880000000005</v>
      </c>
      <c r="M23" s="242">
        <v>290.00159999999983</v>
      </c>
      <c r="N23" s="242">
        <v>321.1083999999999</v>
      </c>
    </row>
    <row r="24" spans="1:14" ht="16" customHeight="1">
      <c r="A24" s="143" t="s">
        <v>34</v>
      </c>
      <c r="B24" s="651">
        <f t="shared" si="0"/>
        <v>1211.9880000000001</v>
      </c>
      <c r="C24" s="242">
        <v>101.248</v>
      </c>
      <c r="D24" s="242">
        <v>97.257999999999996</v>
      </c>
      <c r="E24" s="242">
        <v>92.409000000000006</v>
      </c>
      <c r="F24" s="242">
        <v>95.707999999999998</v>
      </c>
      <c r="G24" s="242">
        <v>106.413</v>
      </c>
      <c r="H24" s="242">
        <v>124.19199999999999</v>
      </c>
      <c r="I24" s="242">
        <v>93.418000000000006</v>
      </c>
      <c r="J24" s="242">
        <v>91.046999999999997</v>
      </c>
      <c r="K24" s="242">
        <v>103.41500000000001</v>
      </c>
      <c r="L24" s="242">
        <v>105.227</v>
      </c>
      <c r="M24" s="242">
        <v>100.447</v>
      </c>
      <c r="N24" s="242">
        <v>101.206</v>
      </c>
    </row>
    <row r="25" spans="1:14" ht="16" customHeight="1">
      <c r="A25" s="119" t="s">
        <v>35</v>
      </c>
      <c r="B25" s="651">
        <f t="shared" si="0"/>
        <v>1520.5018999999998</v>
      </c>
      <c r="C25" s="242">
        <v>150.69219999999999</v>
      </c>
      <c r="D25" s="242">
        <v>142.23439999999999</v>
      </c>
      <c r="E25" s="242">
        <v>138.70680000000002</v>
      </c>
      <c r="F25" s="242">
        <v>133.38090000000003</v>
      </c>
      <c r="G25" s="242">
        <v>131.8468</v>
      </c>
      <c r="H25" s="242">
        <v>125.84990000000001</v>
      </c>
      <c r="I25" s="242">
        <v>124.7187</v>
      </c>
      <c r="J25" s="242">
        <v>120.76849999999999</v>
      </c>
      <c r="K25" s="242">
        <v>115.42019999999999</v>
      </c>
      <c r="L25" s="242">
        <v>114.15989999999999</v>
      </c>
      <c r="M25" s="242">
        <v>110.9196</v>
      </c>
      <c r="N25" s="242">
        <v>111.80399999999997</v>
      </c>
    </row>
    <row r="26" spans="1:14" ht="16" customHeight="1">
      <c r="A26" s="143" t="s">
        <v>36</v>
      </c>
      <c r="B26" s="651">
        <f t="shared" si="0"/>
        <v>78.453800980799997</v>
      </c>
      <c r="C26" s="242">
        <v>6.7985784599999999</v>
      </c>
      <c r="D26" s="242">
        <v>6.2034355807999999</v>
      </c>
      <c r="E26" s="242">
        <v>6.9455</v>
      </c>
      <c r="F26" s="242">
        <v>5.3731999999999998</v>
      </c>
      <c r="G26" s="242">
        <v>6.2923999999999998</v>
      </c>
      <c r="H26" s="242">
        <v>6.4543089399999998</v>
      </c>
      <c r="I26" s="242">
        <v>6.0430000000000001</v>
      </c>
      <c r="J26" s="242">
        <v>6.3757380000000001</v>
      </c>
      <c r="K26" s="242">
        <v>7.3651999999999997</v>
      </c>
      <c r="L26" s="242">
        <v>7.8122199999999999</v>
      </c>
      <c r="M26" s="242">
        <v>6.7122200000000003</v>
      </c>
      <c r="N26" s="242">
        <v>6.0780000000000003</v>
      </c>
    </row>
    <row r="27" spans="1:14" ht="16" customHeight="1">
      <c r="A27" s="143" t="s">
        <v>37</v>
      </c>
      <c r="B27" s="651">
        <f t="shared" si="0"/>
        <v>215.67362</v>
      </c>
      <c r="C27" s="242">
        <v>14.32</v>
      </c>
      <c r="D27" s="242">
        <v>15.512400000000003</v>
      </c>
      <c r="E27" s="242">
        <v>16.366400000000002</v>
      </c>
      <c r="F27" s="242">
        <v>16.54</v>
      </c>
      <c r="G27" s="242">
        <v>17.923999999999999</v>
      </c>
      <c r="H27" s="242">
        <v>18.396000000000001</v>
      </c>
      <c r="I27" s="242">
        <v>19.088000000000001</v>
      </c>
      <c r="J27" s="242">
        <v>19.108000000000001</v>
      </c>
      <c r="K27" s="242">
        <v>19.564</v>
      </c>
      <c r="L27" s="242">
        <v>18.295999999999999</v>
      </c>
      <c r="M27" s="242">
        <v>20.12462</v>
      </c>
      <c r="N27" s="242">
        <v>20.434200000000001</v>
      </c>
    </row>
    <row r="28" spans="1:14" ht="16" customHeight="1">
      <c r="A28" s="143" t="s">
        <v>38</v>
      </c>
      <c r="B28" s="651">
        <f t="shared" si="0"/>
        <v>1739.8634999999999</v>
      </c>
      <c r="C28" s="242">
        <v>117.38</v>
      </c>
      <c r="D28" s="242">
        <v>124.6895</v>
      </c>
      <c r="E28" s="242">
        <v>149.98099999999999</v>
      </c>
      <c r="F28" s="242">
        <v>162.32</v>
      </c>
      <c r="G28" s="242">
        <v>168.309</v>
      </c>
      <c r="H28" s="242">
        <v>161.62899999999999</v>
      </c>
      <c r="I28" s="242">
        <v>163.34700000000001</v>
      </c>
      <c r="J28" s="242">
        <v>130.40799999999999</v>
      </c>
      <c r="K28" s="242">
        <v>129.047</v>
      </c>
      <c r="L28" s="242">
        <v>141.339</v>
      </c>
      <c r="M28" s="242">
        <v>131.077</v>
      </c>
      <c r="N28" s="242">
        <v>160.33699999999999</v>
      </c>
    </row>
    <row r="29" spans="1:14" ht="16" customHeight="1">
      <c r="A29" s="119" t="s">
        <v>39</v>
      </c>
      <c r="B29" s="651">
        <f t="shared" si="0"/>
        <v>762.57559999999989</v>
      </c>
      <c r="C29" s="242">
        <v>67.686999999999998</v>
      </c>
      <c r="D29" s="242">
        <v>67.754000000000005</v>
      </c>
      <c r="E29" s="242">
        <v>66.414999999999992</v>
      </c>
      <c r="F29" s="242">
        <v>64.783999999999992</v>
      </c>
      <c r="G29" s="242">
        <v>64.975999999999999</v>
      </c>
      <c r="H29" s="242">
        <v>66.058999999999997</v>
      </c>
      <c r="I29" s="242">
        <v>65.498999999999995</v>
      </c>
      <c r="J29" s="242">
        <v>62.448999999999998</v>
      </c>
      <c r="K29" s="242">
        <v>62.263999999999996</v>
      </c>
      <c r="L29" s="242">
        <v>60.994999999999997</v>
      </c>
      <c r="M29" s="242">
        <v>56.2836</v>
      </c>
      <c r="N29" s="242">
        <v>57.41</v>
      </c>
    </row>
    <row r="30" spans="1:14" ht="16" customHeight="1">
      <c r="A30" s="119" t="s">
        <v>97</v>
      </c>
      <c r="B30" s="651">
        <f t="shared" si="0"/>
        <v>408.4726</v>
      </c>
      <c r="C30" s="242">
        <v>34.04</v>
      </c>
      <c r="D30" s="242">
        <v>35.706000000000003</v>
      </c>
      <c r="E30" s="242">
        <v>35.607999999999997</v>
      </c>
      <c r="F30" s="242">
        <v>35.466999999999999</v>
      </c>
      <c r="G30" s="242">
        <v>35.328000000000003</v>
      </c>
      <c r="H30" s="242">
        <v>35.866999999999997</v>
      </c>
      <c r="I30" s="242">
        <v>35.682000000000002</v>
      </c>
      <c r="J30" s="242">
        <v>34.107999999999997</v>
      </c>
      <c r="K30" s="242">
        <v>34.655999999999999</v>
      </c>
      <c r="L30" s="242">
        <v>33.820999999999998</v>
      </c>
      <c r="M30" s="242">
        <v>28.840599999999998</v>
      </c>
      <c r="N30" s="242">
        <v>29.349</v>
      </c>
    </row>
    <row r="31" spans="1:14" ht="16" customHeight="1">
      <c r="A31" s="119" t="s">
        <v>98</v>
      </c>
      <c r="B31" s="651">
        <f t="shared" si="0"/>
        <v>354.10299999999995</v>
      </c>
      <c r="C31" s="242">
        <v>33.646999999999998</v>
      </c>
      <c r="D31" s="242">
        <v>32.048000000000002</v>
      </c>
      <c r="E31" s="242">
        <v>30.806999999999999</v>
      </c>
      <c r="F31" s="242">
        <v>29.317</v>
      </c>
      <c r="G31" s="242">
        <v>29.648</v>
      </c>
      <c r="H31" s="242">
        <v>30.192</v>
      </c>
      <c r="I31" s="242">
        <v>29.817</v>
      </c>
      <c r="J31" s="242">
        <v>28.341000000000001</v>
      </c>
      <c r="K31" s="242">
        <v>27.608000000000001</v>
      </c>
      <c r="L31" s="242">
        <v>27.173999999999999</v>
      </c>
      <c r="M31" s="242">
        <v>27.443000000000001</v>
      </c>
      <c r="N31" s="242">
        <v>28.061</v>
      </c>
    </row>
    <row r="32" spans="1:14" ht="16" customHeight="1">
      <c r="A32" s="143" t="s">
        <v>42</v>
      </c>
      <c r="B32" s="651">
        <f t="shared" si="0"/>
        <v>4042.6616000000008</v>
      </c>
      <c r="C32" s="242">
        <v>279.33800000000002</v>
      </c>
      <c r="D32" s="242">
        <v>315.03399999999999</v>
      </c>
      <c r="E32" s="242">
        <v>342.089</v>
      </c>
      <c r="F32" s="242">
        <v>378.12599999999998</v>
      </c>
      <c r="G32" s="242">
        <v>404.31400000000002</v>
      </c>
      <c r="H32" s="242">
        <v>417.81200000000001</v>
      </c>
      <c r="I32" s="242">
        <v>410.28899999999999</v>
      </c>
      <c r="J32" s="242">
        <v>364.495</v>
      </c>
      <c r="K32" s="242">
        <v>330.358</v>
      </c>
      <c r="L32" s="242">
        <v>301.35700000000003</v>
      </c>
      <c r="M32" s="242">
        <v>264.0419</v>
      </c>
      <c r="N32" s="242">
        <v>235.40770000000001</v>
      </c>
    </row>
    <row r="33" spans="1:14" ht="16" customHeight="1">
      <c r="A33" s="143" t="s">
        <v>43</v>
      </c>
      <c r="B33" s="651">
        <f t="shared" si="0"/>
        <v>8455.1829999999991</v>
      </c>
      <c r="C33" s="242">
        <v>453.70099999999996</v>
      </c>
      <c r="D33" s="242">
        <v>565.56399999999996</v>
      </c>
      <c r="E33" s="242">
        <v>634.56999999999994</v>
      </c>
      <c r="F33" s="242">
        <v>878.0100000000001</v>
      </c>
      <c r="G33" s="242">
        <v>869.38900000000012</v>
      </c>
      <c r="H33" s="242">
        <v>861.12100000000021</v>
      </c>
      <c r="I33" s="242">
        <v>828.14800000000014</v>
      </c>
      <c r="J33" s="242">
        <v>799.9899999999999</v>
      </c>
      <c r="K33" s="242">
        <v>723.54000000000008</v>
      </c>
      <c r="L33" s="242">
        <v>639.41300000000001</v>
      </c>
      <c r="M33" s="242">
        <v>625.63799999999992</v>
      </c>
      <c r="N33" s="242">
        <v>576.09899999999993</v>
      </c>
    </row>
    <row r="34" spans="1:14" ht="16" customHeight="1">
      <c r="A34" s="119" t="s">
        <v>99</v>
      </c>
      <c r="B34" s="651">
        <f t="shared" si="0"/>
        <v>59.932706344404004</v>
      </c>
      <c r="C34" s="242">
        <v>4.4246733634225004</v>
      </c>
      <c r="D34" s="242">
        <v>4.7783970409815</v>
      </c>
      <c r="E34" s="242">
        <v>4.0168999999999997</v>
      </c>
      <c r="F34" s="242">
        <v>4.55764674</v>
      </c>
      <c r="G34" s="242">
        <v>4.5582399999999996</v>
      </c>
      <c r="H34" s="242">
        <v>5.0080492000000003</v>
      </c>
      <c r="I34" s="242">
        <v>5.0064000000000002</v>
      </c>
      <c r="J34" s="242">
        <v>5.9409999999999998</v>
      </c>
      <c r="K34" s="242">
        <v>5.4691999999999998</v>
      </c>
      <c r="L34" s="242">
        <v>5.0309999999999997</v>
      </c>
      <c r="M34" s="242">
        <v>4.8600000000000003</v>
      </c>
      <c r="N34" s="242">
        <v>6.2812000000000001</v>
      </c>
    </row>
    <row r="35" spans="1:14" ht="16" customHeight="1">
      <c r="A35" s="119" t="s">
        <v>45</v>
      </c>
      <c r="B35" s="651">
        <f t="shared" si="0"/>
        <v>36.062799999999996</v>
      </c>
      <c r="C35" s="242">
        <v>3.1356000000000002</v>
      </c>
      <c r="D35" s="242">
        <v>2.6684000000000001</v>
      </c>
      <c r="E35" s="242">
        <v>2.1707999999999998</v>
      </c>
      <c r="F35" s="242">
        <v>2.6160000000000001</v>
      </c>
      <c r="G35" s="242">
        <v>3.0416000000000003</v>
      </c>
      <c r="H35" s="242">
        <v>2.6788000000000003</v>
      </c>
      <c r="I35" s="242">
        <v>2.9500000000000006</v>
      </c>
      <c r="J35" s="242">
        <v>2.8620000000000001</v>
      </c>
      <c r="K35" s="242">
        <v>3.2788000000000004</v>
      </c>
      <c r="L35" s="242">
        <v>3.7984000000000004</v>
      </c>
      <c r="M35" s="242">
        <v>2.8320000000000007</v>
      </c>
      <c r="N35" s="242">
        <v>4.0303999999999993</v>
      </c>
    </row>
    <row r="36" spans="1:14" ht="16" customHeight="1">
      <c r="A36" s="119" t="s">
        <v>46</v>
      </c>
      <c r="B36" s="651">
        <f t="shared" si="0"/>
        <v>31.089700000000001</v>
      </c>
      <c r="C36" s="242">
        <v>2.0432000000000001</v>
      </c>
      <c r="D36" s="242">
        <v>1.8260000000000001</v>
      </c>
      <c r="E36" s="242">
        <v>1.8191999999999999</v>
      </c>
      <c r="F36" s="242">
        <v>1.5640000000000001</v>
      </c>
      <c r="G36" s="242">
        <v>2.0163000000000002</v>
      </c>
      <c r="H36" s="242">
        <v>2.343</v>
      </c>
      <c r="I36" s="242">
        <v>2.5979999999999999</v>
      </c>
      <c r="J36" s="242">
        <v>2.6520000000000001</v>
      </c>
      <c r="K36" s="242">
        <v>3.1480000000000001</v>
      </c>
      <c r="L36" s="242">
        <v>3.1280000000000001</v>
      </c>
      <c r="M36" s="242">
        <v>3.524</v>
      </c>
      <c r="N36" s="242">
        <v>4.4279999999999999</v>
      </c>
    </row>
    <row r="37" spans="1:14" ht="16" customHeight="1" thickBot="1">
      <c r="A37" s="145" t="s">
        <v>47</v>
      </c>
      <c r="B37" s="652">
        <f t="shared" si="0"/>
        <v>25.750999999999998</v>
      </c>
      <c r="C37" s="243">
        <v>2.012</v>
      </c>
      <c r="D37" s="243">
        <v>1.8480000000000001</v>
      </c>
      <c r="E37" s="243">
        <v>2.0910000000000002</v>
      </c>
      <c r="F37" s="243">
        <v>1.8549999999999998</v>
      </c>
      <c r="G37" s="243">
        <v>2.04</v>
      </c>
      <c r="H37" s="243">
        <v>2.25</v>
      </c>
      <c r="I37" s="243">
        <v>2.17</v>
      </c>
      <c r="J37" s="243">
        <v>1.8350000000000002</v>
      </c>
      <c r="K37" s="243">
        <v>1.9700000000000004</v>
      </c>
      <c r="L37" s="243">
        <v>2.1850000000000001</v>
      </c>
      <c r="M37" s="243">
        <v>2.9130000000000003</v>
      </c>
      <c r="N37" s="243">
        <v>2.5820000000000003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56">
    <tabColor theme="9" tint="0.59999389629810485"/>
  </sheetPr>
  <dimension ref="A4:P58"/>
  <sheetViews>
    <sheetView showGridLines="0" zoomScaleNormal="100" workbookViewId="0">
      <selection activeCell="E25" sqref="E25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575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2" t="s">
        <v>382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16" ht="6" customHeight="1" thickBot="1">
      <c r="A6" s="1023"/>
      <c r="B6" s="1023"/>
      <c r="C6" s="1023"/>
      <c r="D6" s="1023"/>
      <c r="E6" s="1023"/>
      <c r="F6" s="1023"/>
      <c r="G6" s="1023"/>
      <c r="H6" s="1023"/>
      <c r="I6" s="1023"/>
      <c r="J6" s="1023"/>
      <c r="K6" s="1023"/>
      <c r="L6" s="1023"/>
      <c r="M6" s="1023"/>
      <c r="N6" s="1023"/>
    </row>
    <row r="7" spans="1:16" ht="18" customHeight="1">
      <c r="A7" s="738" t="s">
        <v>16</v>
      </c>
      <c r="B7" s="742" t="s">
        <v>103</v>
      </c>
      <c r="C7" s="743" t="s">
        <v>53</v>
      </c>
      <c r="D7" s="743" t="s">
        <v>54</v>
      </c>
      <c r="E7" s="743" t="s">
        <v>55</v>
      </c>
      <c r="F7" s="743" t="s">
        <v>56</v>
      </c>
      <c r="G7" s="743" t="s">
        <v>57</v>
      </c>
      <c r="H7" s="743" t="s">
        <v>58</v>
      </c>
      <c r="I7" s="743" t="s">
        <v>59</v>
      </c>
      <c r="J7" s="743" t="s">
        <v>60</v>
      </c>
      <c r="K7" s="743" t="s">
        <v>61</v>
      </c>
      <c r="L7" s="743" t="s">
        <v>62</v>
      </c>
      <c r="M7" s="743" t="s">
        <v>63</v>
      </c>
      <c r="N7" s="743" t="s">
        <v>64</v>
      </c>
      <c r="O7" s="122"/>
    </row>
    <row r="8" spans="1:16" ht="18" customHeight="1">
      <c r="A8" s="653" t="s">
        <v>170</v>
      </c>
      <c r="B8" s="654">
        <v>12.989097404333354</v>
      </c>
      <c r="C8" s="654">
        <v>12.751115628112197</v>
      </c>
      <c r="D8" s="654">
        <v>12.940287913371515</v>
      </c>
      <c r="E8" s="654">
        <v>13.038182935435122</v>
      </c>
      <c r="F8" s="654">
        <v>13.287087159559114</v>
      </c>
      <c r="G8" s="654">
        <v>13.258675605150007</v>
      </c>
      <c r="H8" s="654">
        <v>13.385172481117761</v>
      </c>
      <c r="I8" s="654">
        <v>13.102571415749587</v>
      </c>
      <c r="J8" s="654">
        <v>12.974326848571133</v>
      </c>
      <c r="K8" s="654">
        <v>12.687290706326491</v>
      </c>
      <c r="L8" s="654">
        <v>12.668181140036522</v>
      </c>
      <c r="M8" s="654">
        <v>12.78605387678143</v>
      </c>
      <c r="N8" s="654">
        <v>12.84639993548639</v>
      </c>
    </row>
    <row r="9" spans="1:16" ht="16" customHeight="1">
      <c r="A9" s="143" t="s">
        <v>19</v>
      </c>
      <c r="B9" s="655">
        <v>11.855439892545334</v>
      </c>
      <c r="C9" s="244">
        <v>12.546184738955823</v>
      </c>
      <c r="D9" s="244">
        <v>12.099230769230768</v>
      </c>
      <c r="E9" s="244">
        <v>12.167611336032389</v>
      </c>
      <c r="F9" s="244">
        <v>12.57831325301205</v>
      </c>
      <c r="G9" s="244">
        <v>12.4964</v>
      </c>
      <c r="H9" s="244">
        <v>12.639004149377593</v>
      </c>
      <c r="I9" s="244">
        <v>12.068669527896995</v>
      </c>
      <c r="J9" s="244">
        <v>11.514893617021276</v>
      </c>
      <c r="K9" s="244">
        <v>10.740856031128406</v>
      </c>
      <c r="L9" s="244">
        <v>10.93167259786477</v>
      </c>
      <c r="M9" s="244">
        <v>11.058181818181819</v>
      </c>
      <c r="N9" s="244">
        <v>11.626865671641793</v>
      </c>
    </row>
    <row r="10" spans="1:16" ht="16" customHeight="1">
      <c r="A10" s="143" t="s">
        <v>20</v>
      </c>
      <c r="B10" s="655">
        <v>16.163871764285958</v>
      </c>
      <c r="C10" s="244">
        <v>17.777045007520535</v>
      </c>
      <c r="D10" s="244">
        <v>17.859671415532734</v>
      </c>
      <c r="E10" s="244">
        <v>17.836872701388067</v>
      </c>
      <c r="F10" s="244">
        <v>15.122063176448936</v>
      </c>
      <c r="G10" s="244">
        <v>14.911499876544072</v>
      </c>
      <c r="H10" s="244">
        <v>15.520435496414066</v>
      </c>
      <c r="I10" s="244">
        <v>15.637212172028018</v>
      </c>
      <c r="J10" s="244">
        <v>16.524537834661103</v>
      </c>
      <c r="K10" s="244">
        <v>15.199826654430508</v>
      </c>
      <c r="L10" s="244">
        <v>15.713162473908044</v>
      </c>
      <c r="M10" s="244">
        <v>16.096390718991696</v>
      </c>
      <c r="N10" s="244">
        <v>16.799333991119884</v>
      </c>
    </row>
    <row r="11" spans="1:16" ht="16" customHeight="1">
      <c r="A11" s="143" t="s">
        <v>21</v>
      </c>
      <c r="B11" s="655">
        <v>15.429168006430867</v>
      </c>
      <c r="C11" s="244">
        <v>16.188756855575868</v>
      </c>
      <c r="D11" s="244">
        <v>15.683463541666669</v>
      </c>
      <c r="E11" s="244">
        <v>15.814604285089635</v>
      </c>
      <c r="F11" s="244">
        <v>15.662807525325617</v>
      </c>
      <c r="G11" s="244">
        <v>15.851043643263758</v>
      </c>
      <c r="H11" s="244">
        <v>15.261474269819193</v>
      </c>
      <c r="I11" s="244">
        <v>14.389813414019162</v>
      </c>
      <c r="J11" s="244">
        <v>13.506689936009307</v>
      </c>
      <c r="K11" s="244">
        <v>14.142697881828315</v>
      </c>
      <c r="L11" s="244">
        <v>15.903754627181385</v>
      </c>
      <c r="M11" s="244">
        <v>15.826179120296768</v>
      </c>
      <c r="N11" s="244">
        <v>16.186822016874249</v>
      </c>
    </row>
    <row r="12" spans="1:16" ht="16" customHeight="1">
      <c r="A12" s="119" t="s">
        <v>22</v>
      </c>
      <c r="B12" s="655">
        <v>13.662797073581244</v>
      </c>
      <c r="C12" s="244">
        <v>13.741904685161733</v>
      </c>
      <c r="D12" s="244">
        <v>13.673166398669254</v>
      </c>
      <c r="E12" s="244">
        <v>13.60514641116154</v>
      </c>
      <c r="F12" s="244">
        <v>13.488374993360599</v>
      </c>
      <c r="G12" s="244">
        <v>13.824585591748672</v>
      </c>
      <c r="H12" s="244">
        <v>14.004371538659132</v>
      </c>
      <c r="I12" s="244">
        <v>13.781000577700754</v>
      </c>
      <c r="J12" s="244">
        <v>13.489500159184972</v>
      </c>
      <c r="K12" s="244">
        <v>13.402460186591451</v>
      </c>
      <c r="L12" s="244">
        <v>13.770767215977303</v>
      </c>
      <c r="M12" s="244">
        <v>13.099010800579</v>
      </c>
      <c r="N12" s="244">
        <v>14.054250965899548</v>
      </c>
    </row>
    <row r="13" spans="1:16" ht="16" customHeight="1">
      <c r="A13" s="119" t="s">
        <v>23</v>
      </c>
      <c r="B13" s="655">
        <v>11.742979753817178</v>
      </c>
      <c r="C13" s="244">
        <v>10.825426670523575</v>
      </c>
      <c r="D13" s="244">
        <v>11.441458184417442</v>
      </c>
      <c r="E13" s="244">
        <v>11.366914268028474</v>
      </c>
      <c r="F13" s="244">
        <v>11.176724791508718</v>
      </c>
      <c r="G13" s="244">
        <v>11.482772136112596</v>
      </c>
      <c r="H13" s="244">
        <v>11.477905073649753</v>
      </c>
      <c r="I13" s="244">
        <v>11.953094462540717</v>
      </c>
      <c r="J13" s="244">
        <v>11.919371474617245</v>
      </c>
      <c r="K13" s="244">
        <v>12.010445094217026</v>
      </c>
      <c r="L13" s="244">
        <v>12.146723740533421</v>
      </c>
      <c r="M13" s="244">
        <v>12.439381870320217</v>
      </c>
      <c r="N13" s="244">
        <v>12.740225748405038</v>
      </c>
    </row>
    <row r="14" spans="1:16" ht="16" customHeight="1">
      <c r="A14" s="119" t="s">
        <v>94</v>
      </c>
      <c r="B14" s="655">
        <v>11.601292014765882</v>
      </c>
      <c r="C14" s="244">
        <v>10.51647227337835</v>
      </c>
      <c r="D14" s="244">
        <v>11.192036999798914</v>
      </c>
      <c r="E14" s="244">
        <v>11.448304555856042</v>
      </c>
      <c r="F14" s="244">
        <v>11.175730110775429</v>
      </c>
      <c r="G14" s="244">
        <v>11.329394240317775</v>
      </c>
      <c r="H14" s="244">
        <v>11.408278226794023</v>
      </c>
      <c r="I14" s="244">
        <v>11.930316961045245</v>
      </c>
      <c r="J14" s="244">
        <v>11.786466346153846</v>
      </c>
      <c r="K14" s="244">
        <v>11.938690766976062</v>
      </c>
      <c r="L14" s="244">
        <v>12.005356708059409</v>
      </c>
      <c r="M14" s="244">
        <v>12.192261762598518</v>
      </c>
      <c r="N14" s="244">
        <v>12.591730626392671</v>
      </c>
    </row>
    <row r="15" spans="1:16" ht="16" customHeight="1">
      <c r="A15" s="119" t="s">
        <v>95</v>
      </c>
      <c r="B15" s="655">
        <v>11.945315351855607</v>
      </c>
      <c r="C15" s="244">
        <v>11.355580482333146</v>
      </c>
      <c r="D15" s="244">
        <v>11.811006114508061</v>
      </c>
      <c r="E15" s="244">
        <v>10.987012987012989</v>
      </c>
      <c r="F15" s="244">
        <v>10.822731614135627</v>
      </c>
      <c r="G15" s="244">
        <v>11.582918739635156</v>
      </c>
      <c r="H15" s="244">
        <v>11.354203935599283</v>
      </c>
      <c r="I15" s="244">
        <v>11.857309941520468</v>
      </c>
      <c r="J15" s="244">
        <v>12.119887955182074</v>
      </c>
      <c r="K15" s="244">
        <v>12.090959821428573</v>
      </c>
      <c r="L15" s="244">
        <v>12.435314685314685</v>
      </c>
      <c r="M15" s="244">
        <v>12.977576081153229</v>
      </c>
      <c r="N15" s="244">
        <v>13.067805659369995</v>
      </c>
    </row>
    <row r="16" spans="1:16" ht="16" customHeight="1">
      <c r="A16" s="119" t="s">
        <v>96</v>
      </c>
      <c r="B16" s="655">
        <v>12.794173829990447</v>
      </c>
      <c r="C16" s="244">
        <v>13.139344262295083</v>
      </c>
      <c r="D16" s="244">
        <v>14.022421524663676</v>
      </c>
      <c r="E16" s="244">
        <v>12.223958333333334</v>
      </c>
      <c r="F16" s="244">
        <v>12.634241245136186</v>
      </c>
      <c r="G16" s="244">
        <v>12.794195250659632</v>
      </c>
      <c r="H16" s="244">
        <v>12.882857142857144</v>
      </c>
      <c r="I16" s="244">
        <v>12.82154882154882</v>
      </c>
      <c r="J16" s="244">
        <v>12.669230769230769</v>
      </c>
      <c r="K16" s="244">
        <v>12.564074074074075</v>
      </c>
      <c r="L16" s="244">
        <v>12.486852589641435</v>
      </c>
      <c r="M16" s="244">
        <v>12.562211981566819</v>
      </c>
      <c r="N16" s="244">
        <v>12.671641791044777</v>
      </c>
    </row>
    <row r="17" spans="1:14" ht="16" customHeight="1">
      <c r="A17" s="143" t="s">
        <v>27</v>
      </c>
      <c r="B17" s="655">
        <v>16.023723880597011</v>
      </c>
      <c r="C17" s="244">
        <v>15.949000000000002</v>
      </c>
      <c r="D17" s="244">
        <v>15.763513513513516</v>
      </c>
      <c r="E17" s="244">
        <v>15.762589928057547</v>
      </c>
      <c r="F17" s="244">
        <v>15.830962343096232</v>
      </c>
      <c r="G17" s="244">
        <v>15.550304832713751</v>
      </c>
      <c r="H17" s="244">
        <v>15.285053380782918</v>
      </c>
      <c r="I17" s="244">
        <v>16.038834951456309</v>
      </c>
      <c r="J17" s="244">
        <v>15.651379310344829</v>
      </c>
      <c r="K17" s="244">
        <v>15.555799373040749</v>
      </c>
      <c r="L17" s="244">
        <v>16.738655462184873</v>
      </c>
      <c r="M17" s="244">
        <v>16.597326203208556</v>
      </c>
      <c r="N17" s="244">
        <v>16.807421150278287</v>
      </c>
    </row>
    <row r="18" spans="1:14" ht="16" customHeight="1">
      <c r="A18" s="143" t="s">
        <v>28</v>
      </c>
      <c r="B18" s="655">
        <v>10.919480311515315</v>
      </c>
      <c r="C18" s="244">
        <v>11.151111</v>
      </c>
      <c r="D18" s="244">
        <v>11.112321</v>
      </c>
      <c r="E18" s="244">
        <v>11.070689655172412</v>
      </c>
      <c r="F18" s="244">
        <v>11.021403161353343</v>
      </c>
      <c r="G18" s="244">
        <v>10.10447757232593</v>
      </c>
      <c r="H18" s="244">
        <v>11.472073050345509</v>
      </c>
      <c r="I18" s="244">
        <v>10.2012213</v>
      </c>
      <c r="J18" s="244">
        <v>10.1412</v>
      </c>
      <c r="K18" s="244">
        <v>10.330666261028293</v>
      </c>
      <c r="L18" s="244">
        <v>11.045488974920048</v>
      </c>
      <c r="M18" s="244">
        <v>11.920526217577907</v>
      </c>
      <c r="N18" s="244">
        <v>11.938522323192414</v>
      </c>
    </row>
    <row r="19" spans="1:14" ht="16" customHeight="1">
      <c r="A19" s="119" t="s">
        <v>29</v>
      </c>
      <c r="B19" s="655">
        <v>11.884706268563388</v>
      </c>
      <c r="C19" s="244">
        <v>12.08780145165067</v>
      </c>
      <c r="D19" s="244">
        <v>12.305843965697555</v>
      </c>
      <c r="E19" s="244">
        <v>12.261782344306981</v>
      </c>
      <c r="F19" s="244">
        <v>12.181115915173978</v>
      </c>
      <c r="G19" s="244">
        <v>12.072489320388348</v>
      </c>
      <c r="H19" s="244">
        <v>12.056175663311986</v>
      </c>
      <c r="I19" s="244">
        <v>12.113193650793651</v>
      </c>
      <c r="J19" s="244">
        <v>12.85516857386849</v>
      </c>
      <c r="K19" s="244">
        <v>12.295094962840626</v>
      </c>
      <c r="L19" s="244">
        <v>12.386278291674866</v>
      </c>
      <c r="M19" s="244">
        <v>10.533854748603352</v>
      </c>
      <c r="N19" s="244">
        <v>9.9291921119592867</v>
      </c>
    </row>
    <row r="20" spans="1:14" ht="16" customHeight="1">
      <c r="A20" s="143" t="s">
        <v>30</v>
      </c>
      <c r="B20" s="655">
        <v>11.167271287128713</v>
      </c>
      <c r="C20" s="244">
        <v>10.755583126550869</v>
      </c>
      <c r="D20" s="244">
        <v>10.601990049751244</v>
      </c>
      <c r="E20" s="244">
        <v>10.098876404494382</v>
      </c>
      <c r="F20" s="244">
        <v>10.885682574916759</v>
      </c>
      <c r="G20" s="244">
        <v>11.385635359116023</v>
      </c>
      <c r="H20" s="244">
        <v>11.920372285418821</v>
      </c>
      <c r="I20" s="244">
        <v>11.187222715173027</v>
      </c>
      <c r="J20" s="244">
        <v>10.90078125</v>
      </c>
      <c r="K20" s="244">
        <v>11.880642693190513</v>
      </c>
      <c r="L20" s="244">
        <v>11.598922247882987</v>
      </c>
      <c r="M20" s="244">
        <v>11.22106179286336</v>
      </c>
      <c r="N20" s="244">
        <v>10.958374628344897</v>
      </c>
    </row>
    <row r="21" spans="1:14" ht="16" customHeight="1">
      <c r="A21" s="143" t="s">
        <v>31</v>
      </c>
      <c r="B21" s="655">
        <v>10.938459639881085</v>
      </c>
      <c r="C21" s="244">
        <v>11.358761647129544</v>
      </c>
      <c r="D21" s="244">
        <v>11.358761647129544</v>
      </c>
      <c r="E21" s="244">
        <v>11.316387774858251</v>
      </c>
      <c r="F21" s="244">
        <v>11.564161607703584</v>
      </c>
      <c r="G21" s="244">
        <v>11.593851458123837</v>
      </c>
      <c r="H21" s="244">
        <v>11.703194578896422</v>
      </c>
      <c r="I21" s="244">
        <v>10.985466675387533</v>
      </c>
      <c r="J21" s="244">
        <v>10.645655641961568</v>
      </c>
      <c r="K21" s="244">
        <v>10.062045769306865</v>
      </c>
      <c r="L21" s="244">
        <v>10.750205789083058</v>
      </c>
      <c r="M21" s="244">
        <v>10.03298213467705</v>
      </c>
      <c r="N21" s="244">
        <v>10.143657008613937</v>
      </c>
    </row>
    <row r="22" spans="1:14" ht="16" customHeight="1">
      <c r="A22" s="143" t="s">
        <v>32</v>
      </c>
      <c r="B22" s="655">
        <v>11.804652865967444</v>
      </c>
      <c r="C22" s="244">
        <v>11.734464346858857</v>
      </c>
      <c r="D22" s="244">
        <v>11.036647284695555</v>
      </c>
      <c r="E22" s="244">
        <v>10.740478344020698</v>
      </c>
      <c r="F22" s="244">
        <v>11.911445246809773</v>
      </c>
      <c r="G22" s="244">
        <v>12.327483927125506</v>
      </c>
      <c r="H22" s="244">
        <v>12.842006696868228</v>
      </c>
      <c r="I22" s="244">
        <v>11.950054154365247</v>
      </c>
      <c r="J22" s="244">
        <v>12.153870748176827</v>
      </c>
      <c r="K22" s="244">
        <v>12.855281089414184</v>
      </c>
      <c r="L22" s="244">
        <v>10.339150733434497</v>
      </c>
      <c r="M22" s="244">
        <v>12.065719244955522</v>
      </c>
      <c r="N22" s="244">
        <v>11.275617346938777</v>
      </c>
    </row>
    <row r="23" spans="1:14" ht="16" customHeight="1">
      <c r="A23" s="143" t="s">
        <v>33</v>
      </c>
      <c r="B23" s="655">
        <v>11.681962626359049</v>
      </c>
      <c r="C23" s="244">
        <v>11.553006888847515</v>
      </c>
      <c r="D23" s="244">
        <v>11.656613584660382</v>
      </c>
      <c r="E23" s="244">
        <v>11.734722222222222</v>
      </c>
      <c r="F23" s="244">
        <v>11.707325946750453</v>
      </c>
      <c r="G23" s="244">
        <v>11.718476407049462</v>
      </c>
      <c r="H23" s="244">
        <v>11.588007335938126</v>
      </c>
      <c r="I23" s="244">
        <v>11.434213174394303</v>
      </c>
      <c r="J23" s="244">
        <v>11.42774780329891</v>
      </c>
      <c r="K23" s="244">
        <v>11.453046538912783</v>
      </c>
      <c r="L23" s="244">
        <v>11.857500290483754</v>
      </c>
      <c r="M23" s="244">
        <v>12.011829515801674</v>
      </c>
      <c r="N23" s="244">
        <v>12.057239411234601</v>
      </c>
    </row>
    <row r="24" spans="1:14" ht="16" customHeight="1">
      <c r="A24" s="143" t="s">
        <v>34</v>
      </c>
      <c r="B24" s="655">
        <v>12.439704810682652</v>
      </c>
      <c r="C24" s="244">
        <v>12.0061662516305</v>
      </c>
      <c r="D24" s="244">
        <v>12.18466549736908</v>
      </c>
      <c r="E24" s="244">
        <v>11.991824552296913</v>
      </c>
      <c r="F24" s="244">
        <v>12.08129260287806</v>
      </c>
      <c r="G24" s="244">
        <v>12.505934892466801</v>
      </c>
      <c r="H24" s="244">
        <v>13.110102396284177</v>
      </c>
      <c r="I24" s="244">
        <v>11.967460927491675</v>
      </c>
      <c r="J24" s="244">
        <v>12.443214432144321</v>
      </c>
      <c r="K24" s="244">
        <v>12.819511590430148</v>
      </c>
      <c r="L24" s="244">
        <v>12.889147476727095</v>
      </c>
      <c r="M24" s="244">
        <v>12.582613052737067</v>
      </c>
      <c r="N24" s="244">
        <v>12.545679930581382</v>
      </c>
    </row>
    <row r="25" spans="1:14" ht="16" customHeight="1">
      <c r="A25" s="119" t="s">
        <v>35</v>
      </c>
      <c r="B25" s="655">
        <v>14.397192527293555</v>
      </c>
      <c r="C25" s="244">
        <v>14.172124518009968</v>
      </c>
      <c r="D25" s="244">
        <v>13.900938232994527</v>
      </c>
      <c r="E25" s="244">
        <v>14.420085247946773</v>
      </c>
      <c r="F25" s="244">
        <v>14.746368159203982</v>
      </c>
      <c r="G25" s="244">
        <v>14.829243054774491</v>
      </c>
      <c r="H25" s="244">
        <v>14.760720150129018</v>
      </c>
      <c r="I25" s="244">
        <v>14.640063387721563</v>
      </c>
      <c r="J25" s="244">
        <v>14.485846227659829</v>
      </c>
      <c r="K25" s="244">
        <v>14.320124069478908</v>
      </c>
      <c r="L25" s="244">
        <v>14.307544805113423</v>
      </c>
      <c r="M25" s="244">
        <v>14.102937062937063</v>
      </c>
      <c r="N25" s="244">
        <v>14.14345351043643</v>
      </c>
    </row>
    <row r="26" spans="1:14" ht="16" customHeight="1">
      <c r="A26" s="143" t="s">
        <v>36</v>
      </c>
      <c r="B26" s="655">
        <v>20.625111789738952</v>
      </c>
      <c r="C26" s="244">
        <v>23.443373999999999</v>
      </c>
      <c r="D26" s="244">
        <v>21.2446424</v>
      </c>
      <c r="E26" s="244">
        <v>23.244642399999993</v>
      </c>
      <c r="F26" s="244">
        <v>21.931428571428569</v>
      </c>
      <c r="G26" s="244">
        <v>22.634532374100718</v>
      </c>
      <c r="H26" s="244">
        <v>20.044437701863355</v>
      </c>
      <c r="I26" s="244">
        <v>16.879888268156424</v>
      </c>
      <c r="J26" s="244">
        <v>18.863130177514794</v>
      </c>
      <c r="K26" s="244">
        <v>20.234065934065935</v>
      </c>
      <c r="L26" s="244">
        <v>19.433383084577116</v>
      </c>
      <c r="M26" s="244">
        <v>21.376496815286625</v>
      </c>
      <c r="N26" s="244">
        <v>20.125827814569536</v>
      </c>
    </row>
    <row r="27" spans="1:14" ht="16" customHeight="1">
      <c r="A27" s="143" t="s">
        <v>37</v>
      </c>
      <c r="B27" s="655">
        <v>24.685088703216209</v>
      </c>
      <c r="C27" s="244">
        <v>23.986599664991626</v>
      </c>
      <c r="D27" s="244">
        <v>24.238125000000007</v>
      </c>
      <c r="E27" s="244">
        <v>24.835204855842189</v>
      </c>
      <c r="F27" s="244">
        <v>24.686567164179102</v>
      </c>
      <c r="G27" s="244">
        <v>24.825484764542935</v>
      </c>
      <c r="H27" s="244">
        <v>25.443983402489629</v>
      </c>
      <c r="I27" s="244">
        <v>24.919060052219322</v>
      </c>
      <c r="J27" s="244">
        <v>25.076115485564305</v>
      </c>
      <c r="K27" s="244">
        <v>25.540469973890339</v>
      </c>
      <c r="L27" s="244">
        <v>24.89251700680272</v>
      </c>
      <c r="M27" s="244">
        <v>23.816118343195267</v>
      </c>
      <c r="N27" s="244">
        <v>23.983802816901409</v>
      </c>
    </row>
    <row r="28" spans="1:14" ht="16" customHeight="1">
      <c r="A28" s="143" t="s">
        <v>38</v>
      </c>
      <c r="B28" s="655">
        <v>12.184430018067985</v>
      </c>
      <c r="C28" s="244">
        <v>11.497698109511216</v>
      </c>
      <c r="D28" s="244">
        <v>11.66739964442781</v>
      </c>
      <c r="E28" s="244">
        <v>12.385911305640432</v>
      </c>
      <c r="F28" s="244">
        <v>13.029378712473912</v>
      </c>
      <c r="G28" s="244">
        <v>12.534182305630026</v>
      </c>
      <c r="H28" s="244">
        <v>12.714679043423537</v>
      </c>
      <c r="I28" s="244">
        <v>12.755505231922537</v>
      </c>
      <c r="J28" s="244">
        <v>11.637337140817419</v>
      </c>
      <c r="K28" s="244">
        <v>11.723019622093023</v>
      </c>
      <c r="L28" s="244">
        <v>11.540703845839797</v>
      </c>
      <c r="M28" s="244">
        <v>12.08862860831873</v>
      </c>
      <c r="N28" s="244">
        <v>12.257243330020641</v>
      </c>
    </row>
    <row r="29" spans="1:14" ht="16" customHeight="1">
      <c r="A29" s="119" t="s">
        <v>39</v>
      </c>
      <c r="B29" s="655">
        <v>11.115938310836418</v>
      </c>
      <c r="C29" s="244">
        <v>10.691359974727531</v>
      </c>
      <c r="D29" s="244">
        <v>10.825051925227672</v>
      </c>
      <c r="E29" s="244">
        <v>11.358816487087394</v>
      </c>
      <c r="F29" s="244">
        <v>11.39961288052085</v>
      </c>
      <c r="G29" s="244">
        <v>11.475803602967149</v>
      </c>
      <c r="H29" s="244">
        <v>11.202136679667628</v>
      </c>
      <c r="I29" s="244">
        <v>11.491052631578947</v>
      </c>
      <c r="J29" s="244">
        <v>11.258157562646476</v>
      </c>
      <c r="K29" s="244">
        <v>11.186489399928135</v>
      </c>
      <c r="L29" s="244">
        <v>11.124384461061462</v>
      </c>
      <c r="M29" s="244">
        <v>10.688112419293581</v>
      </c>
      <c r="N29" s="244">
        <v>10.708822980787167</v>
      </c>
    </row>
    <row r="30" spans="1:14" ht="16" customHeight="1">
      <c r="A30" s="119" t="s">
        <v>97</v>
      </c>
      <c r="B30" s="655">
        <v>11.517625828281403</v>
      </c>
      <c r="C30" s="244">
        <v>0</v>
      </c>
      <c r="D30" s="244">
        <v>11.581576386636394</v>
      </c>
      <c r="E30" s="244">
        <v>11.534823453190798</v>
      </c>
      <c r="F30" s="244">
        <v>11.798735861610112</v>
      </c>
      <c r="G30" s="244">
        <v>11.843110962118674</v>
      </c>
      <c r="H30" s="244">
        <v>11.536506915406882</v>
      </c>
      <c r="I30" s="244">
        <v>11.823061630218689</v>
      </c>
      <c r="J30" s="244">
        <v>11.441798054344178</v>
      </c>
      <c r="K30" s="244">
        <v>11.486907524030494</v>
      </c>
      <c r="L30" s="244">
        <v>11.376051126807937</v>
      </c>
      <c r="M30" s="244">
        <v>11.235138293728088</v>
      </c>
      <c r="N30" s="244">
        <v>11.314186584425597</v>
      </c>
    </row>
    <row r="31" spans="1:14" ht="16" customHeight="1">
      <c r="A31" s="119" t="s">
        <v>98</v>
      </c>
      <c r="B31" s="655">
        <v>10.686030720946373</v>
      </c>
      <c r="C31" s="244">
        <v>10.245736906211935</v>
      </c>
      <c r="D31" s="244">
        <v>10.090680100755669</v>
      </c>
      <c r="E31" s="244">
        <v>11.16195652173913</v>
      </c>
      <c r="F31" s="244">
        <v>10.951438177063878</v>
      </c>
      <c r="G31" s="244">
        <v>11.066815976110489</v>
      </c>
      <c r="H31" s="244">
        <v>10.829268292682926</v>
      </c>
      <c r="I31" s="244">
        <v>11.117449664429531</v>
      </c>
      <c r="J31" s="244">
        <v>11.044816835541699</v>
      </c>
      <c r="K31" s="244">
        <v>10.830914083954491</v>
      </c>
      <c r="L31" s="244">
        <v>10.826294820717132</v>
      </c>
      <c r="M31" s="244">
        <v>10.167839940718785</v>
      </c>
      <c r="N31" s="244">
        <v>10.141308276111312</v>
      </c>
    </row>
    <row r="32" spans="1:14" ht="16" customHeight="1">
      <c r="A32" s="143" t="s">
        <v>42</v>
      </c>
      <c r="B32" s="655">
        <v>12.923283677514227</v>
      </c>
      <c r="C32" s="244">
        <v>12.80368519961498</v>
      </c>
      <c r="D32" s="244">
        <v>13.105120845293065</v>
      </c>
      <c r="E32" s="244">
        <v>12.953500700518763</v>
      </c>
      <c r="F32" s="244">
        <v>13.34060118543607</v>
      </c>
      <c r="G32" s="244">
        <v>13.277091816629451</v>
      </c>
      <c r="H32" s="244">
        <v>13.100018812315795</v>
      </c>
      <c r="I32" s="244">
        <v>13.315451270567618</v>
      </c>
      <c r="J32" s="244">
        <v>13.013495662108607</v>
      </c>
      <c r="K32" s="244">
        <v>12.209254194692882</v>
      </c>
      <c r="L32" s="244">
        <v>12.198218984011335</v>
      </c>
      <c r="M32" s="244">
        <v>12.833142162818955</v>
      </c>
      <c r="N32" s="244">
        <v>12.585282010157712</v>
      </c>
    </row>
    <row r="33" spans="1:14" ht="16" customHeight="1">
      <c r="A33" s="143" t="s">
        <v>43</v>
      </c>
      <c r="B33" s="655">
        <v>14.373696110431116</v>
      </c>
      <c r="C33" s="244">
        <v>13.583862275449102</v>
      </c>
      <c r="D33" s="244">
        <v>14.135566108472881</v>
      </c>
      <c r="E33" s="244">
        <v>14.461485870556061</v>
      </c>
      <c r="F33" s="244">
        <v>14.838769646780465</v>
      </c>
      <c r="G33" s="244">
        <v>14.798110638297874</v>
      </c>
      <c r="H33" s="244">
        <v>14.826463498622592</v>
      </c>
      <c r="I33" s="244">
        <v>14.592916299559473</v>
      </c>
      <c r="J33" s="244">
        <v>14.411637542785082</v>
      </c>
      <c r="K33" s="244">
        <v>14.0958503798948</v>
      </c>
      <c r="L33" s="244">
        <v>13.780452586206897</v>
      </c>
      <c r="M33" s="244">
        <v>14.024613315400133</v>
      </c>
      <c r="N33" s="244">
        <v>14.277546468401484</v>
      </c>
    </row>
    <row r="34" spans="1:14" ht="16" customHeight="1">
      <c r="A34" s="119" t="s">
        <v>99</v>
      </c>
      <c r="B34" s="655">
        <v>11.629844969427767</v>
      </c>
      <c r="C34" s="244">
        <v>12.1223927765</v>
      </c>
      <c r="D34" s="244">
        <v>11.798511212299999</v>
      </c>
      <c r="E34" s="244">
        <v>12.122690000000002</v>
      </c>
      <c r="F34" s="244">
        <v>11.993807210526315</v>
      </c>
      <c r="G34" s="244">
        <v>12.522637362637361</v>
      </c>
      <c r="H34" s="244">
        <v>12.520123000000002</v>
      </c>
      <c r="I34" s="244">
        <v>12.331034482758621</v>
      </c>
      <c r="J34" s="244">
        <v>11.603515625</v>
      </c>
      <c r="K34" s="244">
        <v>10.894820717131473</v>
      </c>
      <c r="L34" s="244">
        <v>11.081497797356826</v>
      </c>
      <c r="M34" s="244">
        <v>10.08298755186722</v>
      </c>
      <c r="N34" s="244">
        <v>11.378985507246377</v>
      </c>
    </row>
    <row r="35" spans="1:14" ht="16" customHeight="1">
      <c r="A35" s="119" t="s">
        <v>45</v>
      </c>
      <c r="B35" s="655">
        <v>14.810184804928129</v>
      </c>
      <c r="C35" s="244">
        <v>13.633043478260872</v>
      </c>
      <c r="D35" s="244">
        <v>13.825906735751296</v>
      </c>
      <c r="E35" s="244">
        <v>14.37615894039735</v>
      </c>
      <c r="F35" s="244">
        <v>15.209302325581396</v>
      </c>
      <c r="G35" s="244">
        <v>16.265240641711234</v>
      </c>
      <c r="H35" s="244">
        <v>14.325133689839573</v>
      </c>
      <c r="I35" s="244">
        <v>15.05102040816327</v>
      </c>
      <c r="J35" s="244">
        <v>14.029411764705882</v>
      </c>
      <c r="K35" s="244">
        <v>15.250232558139537</v>
      </c>
      <c r="L35" s="244">
        <v>16.163404255319151</v>
      </c>
      <c r="M35" s="244">
        <v>13.882352941176475</v>
      </c>
      <c r="N35" s="244">
        <v>15.442145593869729</v>
      </c>
    </row>
    <row r="36" spans="1:14" ht="16" customHeight="1">
      <c r="A36" s="119" t="s">
        <v>46</v>
      </c>
      <c r="B36" s="655">
        <v>11.514703703703704</v>
      </c>
      <c r="C36" s="244">
        <v>13.097435897435897</v>
      </c>
      <c r="D36" s="244">
        <v>11.857142857142858</v>
      </c>
      <c r="E36" s="244">
        <v>11.736774193548387</v>
      </c>
      <c r="F36" s="244">
        <v>11.014084507042254</v>
      </c>
      <c r="G36" s="244">
        <v>12.001785714285715</v>
      </c>
      <c r="H36" s="244">
        <v>12.529411764705882</v>
      </c>
      <c r="I36" s="244">
        <v>13.255102040816325</v>
      </c>
      <c r="J36" s="244">
        <v>14.031746031746032</v>
      </c>
      <c r="K36" s="244">
        <v>14.374429223744293</v>
      </c>
      <c r="L36" s="244">
        <v>12.819672131147541</v>
      </c>
      <c r="M36" s="244">
        <v>13.003690036900368</v>
      </c>
      <c r="N36" s="244">
        <v>7.153473344103392</v>
      </c>
    </row>
    <row r="37" spans="1:14" ht="16" customHeight="1" thickBot="1">
      <c r="A37" s="145" t="s">
        <v>47</v>
      </c>
      <c r="B37" s="656">
        <v>17.686126373626372</v>
      </c>
      <c r="C37" s="245">
        <v>18.290909090909089</v>
      </c>
      <c r="D37" s="245">
        <v>17.76923076923077</v>
      </c>
      <c r="E37" s="245">
        <v>17.720338983050848</v>
      </c>
      <c r="F37" s="245">
        <v>17.018348623853207</v>
      </c>
      <c r="G37" s="245">
        <v>18.715596330275229</v>
      </c>
      <c r="H37" s="245">
        <v>18.145161290322584</v>
      </c>
      <c r="I37" s="245">
        <v>16.194029850746269</v>
      </c>
      <c r="J37" s="245">
        <v>18.350000000000001</v>
      </c>
      <c r="K37" s="245">
        <v>17.589285714285715</v>
      </c>
      <c r="L37" s="245">
        <v>17.764227642276424</v>
      </c>
      <c r="M37" s="245">
        <v>17.548192771084338</v>
      </c>
      <c r="N37" s="245">
        <v>17.564625850340139</v>
      </c>
    </row>
    <row r="38" spans="1:14" ht="9" customHeight="1">
      <c r="A38" s="449" t="s">
        <v>330</v>
      </c>
      <c r="B38" s="479"/>
      <c r="C38" s="479"/>
      <c r="D38" s="479"/>
      <c r="E38" s="479"/>
      <c r="F38" s="237"/>
      <c r="G38" s="126"/>
      <c r="H38" s="126"/>
      <c r="I38" s="126"/>
      <c r="J38" s="126"/>
      <c r="K38" s="126"/>
      <c r="L38" s="126"/>
      <c r="M38" s="126"/>
      <c r="N38" s="126"/>
    </row>
    <row r="39" spans="1:14" ht="9" customHeight="1">
      <c r="A39" s="449" t="s">
        <v>304</v>
      </c>
      <c r="B39" s="476"/>
      <c r="C39" s="476"/>
      <c r="D39" s="476"/>
      <c r="E39" s="476"/>
      <c r="F39" s="237"/>
      <c r="G39" s="126"/>
      <c r="H39" s="126"/>
      <c r="I39" s="126"/>
      <c r="J39" s="126"/>
      <c r="K39" s="126"/>
      <c r="L39" s="126"/>
      <c r="M39" s="126"/>
      <c r="N39" s="126"/>
    </row>
    <row r="40" spans="1:14" ht="9" customHeight="1">
      <c r="A40" s="451" t="s">
        <v>303</v>
      </c>
      <c r="B40" s="477"/>
      <c r="C40" s="477"/>
      <c r="D40" s="477"/>
      <c r="E40" s="476"/>
      <c r="F40" s="237"/>
      <c r="G40" s="126"/>
      <c r="H40" s="126"/>
      <c r="I40" s="126"/>
      <c r="J40" s="126"/>
      <c r="K40" s="126"/>
      <c r="L40" s="126"/>
      <c r="M40" s="126"/>
      <c r="N40" s="126"/>
    </row>
    <row r="41" spans="1:14" ht="13.25" customHeight="1">
      <c r="A41" s="11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</row>
    <row r="42" spans="1:14" ht="13.25" customHeight="1">
      <c r="A42" s="67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</row>
    <row r="43" spans="1:14" ht="13.25" customHeight="1">
      <c r="A43" s="67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</row>
    <row r="44" spans="1:14" ht="13.25" customHeight="1">
      <c r="A44" s="22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</row>
    <row r="45" spans="1:14" ht="13.25" customHeight="1">
      <c r="A45" s="30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</row>
    <row r="46" spans="1:14" ht="13.25" customHeight="1">
      <c r="A46" s="22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</row>
    <row r="47" spans="1:14" ht="13.25" customHeight="1">
      <c r="A47" s="67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</row>
    <row r="48" spans="1:14" ht="13.25" customHeight="1">
      <c r="A48" s="67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</row>
    <row r="49" spans="1:14" ht="13.25" customHeight="1">
      <c r="A49" s="67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</row>
    <row r="50" spans="1:14" ht="13.25" customHeight="1">
      <c r="A50" s="67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</row>
    <row r="51" spans="1:14" ht="13.25" customHeight="1">
      <c r="A51" s="67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</row>
    <row r="52" spans="1:14" ht="13.25" customHeight="1">
      <c r="A52" s="67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</row>
    <row r="53" spans="1:14" ht="13.25" customHeight="1">
      <c r="A53" s="67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</row>
    <row r="54" spans="1:14" ht="13.25" customHeight="1">
      <c r="A54" s="67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</row>
    <row r="55" spans="1:14" ht="13.25" customHeight="1"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</row>
    <row r="56" spans="1:14" ht="13.25" customHeight="1"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</row>
    <row r="57" spans="1:14" ht="13.25" customHeight="1"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</row>
    <row r="58" spans="1:14" ht="13.25" customHeight="1"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</row>
  </sheetData>
  <mergeCells count="1">
    <mergeCell ref="A6:N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Hoja57">
    <tabColor theme="9" tint="0.59999389629810485"/>
  </sheetPr>
  <dimension ref="A4:P54"/>
  <sheetViews>
    <sheetView showGridLines="0" topLeftCell="A2" zoomScaleNormal="100" workbookViewId="0">
      <selection activeCell="N32" sqref="N32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576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2" t="s">
        <v>216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16" ht="6" customHeight="1" thickBot="1"/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  <c r="O7" s="120"/>
    </row>
    <row r="8" spans="1:16" ht="18" customHeight="1">
      <c r="A8" s="647" t="s">
        <v>93</v>
      </c>
      <c r="B8" s="648">
        <f t="shared" ref="B8:B37" si="0">SUM(C8:N8)</f>
        <v>3990914.7793504368</v>
      </c>
      <c r="C8" s="648">
        <f t="shared" ref="C8:N8" si="1">(C9+C10+C11+C12+C13+C17+C18+C19+C20+C21+C22+C23+C24+C25+C26+C27+C28+C29+C32+C33+C34+C35+C36+C37)</f>
        <v>299512</v>
      </c>
      <c r="D8" s="648">
        <f t="shared" si="1"/>
        <v>302109</v>
      </c>
      <c r="E8" s="648">
        <f t="shared" si="1"/>
        <v>305761.75990884291</v>
      </c>
      <c r="F8" s="648">
        <f t="shared" si="1"/>
        <v>309416.0443290823</v>
      </c>
      <c r="G8" s="648">
        <f t="shared" si="1"/>
        <v>321053.59500654746</v>
      </c>
      <c r="H8" s="648">
        <f t="shared" si="1"/>
        <v>316773.11783568613</v>
      </c>
      <c r="I8" s="648">
        <f t="shared" si="1"/>
        <v>366117.26227027795</v>
      </c>
      <c r="J8" s="648">
        <f t="shared" si="1"/>
        <v>357798</v>
      </c>
      <c r="K8" s="648">
        <f t="shared" si="1"/>
        <v>341876</v>
      </c>
      <c r="L8" s="648">
        <f t="shared" si="1"/>
        <v>335995</v>
      </c>
      <c r="M8" s="648">
        <f t="shared" si="1"/>
        <v>345137</v>
      </c>
      <c r="N8" s="648">
        <f t="shared" si="1"/>
        <v>389366</v>
      </c>
      <c r="O8" s="149"/>
    </row>
    <row r="9" spans="1:16" ht="16" customHeight="1">
      <c r="A9" s="143" t="s">
        <v>19</v>
      </c>
      <c r="B9" s="642">
        <f t="shared" si="0"/>
        <v>5560</v>
      </c>
      <c r="C9" s="238">
        <v>497</v>
      </c>
      <c r="D9" s="238">
        <v>472</v>
      </c>
      <c r="E9" s="238">
        <v>463</v>
      </c>
      <c r="F9" s="238">
        <v>458</v>
      </c>
      <c r="G9" s="238">
        <v>449</v>
      </c>
      <c r="H9" s="238">
        <v>401</v>
      </c>
      <c r="I9" s="238">
        <v>494</v>
      </c>
      <c r="J9" s="238">
        <v>469</v>
      </c>
      <c r="K9" s="238">
        <v>452</v>
      </c>
      <c r="L9" s="238">
        <v>463</v>
      </c>
      <c r="M9" s="238">
        <v>462</v>
      </c>
      <c r="N9" s="238">
        <v>480</v>
      </c>
      <c r="O9" s="149"/>
    </row>
    <row r="10" spans="1:16" ht="16" customHeight="1">
      <c r="A10" s="143" t="s">
        <v>20</v>
      </c>
      <c r="B10" s="642">
        <f t="shared" si="0"/>
        <v>116024.731205947</v>
      </c>
      <c r="C10" s="238">
        <v>9697</v>
      </c>
      <c r="D10" s="238">
        <v>8034</v>
      </c>
      <c r="E10" s="238">
        <v>8273</v>
      </c>
      <c r="F10" s="238">
        <v>9819.8778208849999</v>
      </c>
      <c r="G10" s="238">
        <v>10713</v>
      </c>
      <c r="H10" s="238">
        <v>11406</v>
      </c>
      <c r="I10" s="238">
        <v>11783.853385061997</v>
      </c>
      <c r="J10" s="238">
        <v>9998</v>
      </c>
      <c r="K10" s="238">
        <v>8234</v>
      </c>
      <c r="L10" s="238">
        <v>8749</v>
      </c>
      <c r="M10" s="238">
        <v>8604</v>
      </c>
      <c r="N10" s="238">
        <v>10713</v>
      </c>
      <c r="O10" s="149"/>
    </row>
    <row r="11" spans="1:16" ht="16" customHeight="1">
      <c r="A11" s="143" t="s">
        <v>21</v>
      </c>
      <c r="B11" s="642">
        <f t="shared" si="0"/>
        <v>30744</v>
      </c>
      <c r="C11" s="238">
        <v>2974</v>
      </c>
      <c r="D11" s="238">
        <v>2597</v>
      </c>
      <c r="E11" s="238">
        <v>2388</v>
      </c>
      <c r="F11" s="238">
        <v>2419</v>
      </c>
      <c r="G11" s="238">
        <v>2494</v>
      </c>
      <c r="H11" s="238">
        <v>2394</v>
      </c>
      <c r="I11" s="238">
        <v>2492</v>
      </c>
      <c r="J11" s="238">
        <v>2473</v>
      </c>
      <c r="K11" s="238">
        <v>2019</v>
      </c>
      <c r="L11" s="238">
        <v>2144</v>
      </c>
      <c r="M11" s="238">
        <v>2183</v>
      </c>
      <c r="N11" s="238">
        <v>4167</v>
      </c>
      <c r="O11" s="149"/>
    </row>
    <row r="12" spans="1:16" ht="16" customHeight="1">
      <c r="A12" s="121" t="s">
        <v>22</v>
      </c>
      <c r="B12" s="642">
        <f t="shared" si="0"/>
        <v>386387</v>
      </c>
      <c r="C12" s="238">
        <v>32353</v>
      </c>
      <c r="D12" s="238">
        <v>31276</v>
      </c>
      <c r="E12" s="238">
        <v>31519</v>
      </c>
      <c r="F12" s="238">
        <v>32200</v>
      </c>
      <c r="G12" s="238">
        <v>33116</v>
      </c>
      <c r="H12" s="238">
        <v>33080</v>
      </c>
      <c r="I12" s="238">
        <v>33761</v>
      </c>
      <c r="J12" s="238">
        <v>33275</v>
      </c>
      <c r="K12" s="238">
        <v>32436</v>
      </c>
      <c r="L12" s="238">
        <v>32106</v>
      </c>
      <c r="M12" s="238">
        <v>30214</v>
      </c>
      <c r="N12" s="238">
        <v>31051</v>
      </c>
      <c r="O12" s="149"/>
    </row>
    <row r="13" spans="1:16" ht="16" customHeight="1">
      <c r="A13" s="121" t="s">
        <v>23</v>
      </c>
      <c r="B13" s="642">
        <f t="shared" si="0"/>
        <v>136492</v>
      </c>
      <c r="C13" s="238">
        <v>11398</v>
      </c>
      <c r="D13" s="238">
        <v>11653</v>
      </c>
      <c r="E13" s="238">
        <v>10913</v>
      </c>
      <c r="F13" s="238">
        <v>10459</v>
      </c>
      <c r="G13" s="238">
        <v>10787</v>
      </c>
      <c r="H13" s="238">
        <v>11355</v>
      </c>
      <c r="I13" s="238">
        <v>11603</v>
      </c>
      <c r="J13" s="238">
        <v>10950</v>
      </c>
      <c r="K13" s="238">
        <v>11038</v>
      </c>
      <c r="L13" s="238">
        <v>11166</v>
      </c>
      <c r="M13" s="238">
        <v>12184</v>
      </c>
      <c r="N13" s="238">
        <v>12986</v>
      </c>
      <c r="O13" s="149"/>
    </row>
    <row r="14" spans="1:16" ht="16" customHeight="1">
      <c r="A14" s="119" t="s">
        <v>94</v>
      </c>
      <c r="B14" s="642">
        <f t="shared" si="0"/>
        <v>53509</v>
      </c>
      <c r="C14" s="238">
        <v>4719</v>
      </c>
      <c r="D14" s="238">
        <v>4983</v>
      </c>
      <c r="E14" s="238">
        <v>4708</v>
      </c>
      <c r="F14" s="238">
        <v>4328</v>
      </c>
      <c r="G14" s="238">
        <v>4381</v>
      </c>
      <c r="H14" s="238">
        <v>4139</v>
      </c>
      <c r="I14" s="238">
        <v>4407</v>
      </c>
      <c r="J14" s="238">
        <v>4233</v>
      </c>
      <c r="K14" s="238">
        <v>4179</v>
      </c>
      <c r="L14" s="238">
        <v>4210</v>
      </c>
      <c r="M14" s="238">
        <v>4539</v>
      </c>
      <c r="N14" s="238">
        <v>4683</v>
      </c>
      <c r="O14" s="149"/>
    </row>
    <row r="15" spans="1:16" ht="16" customHeight="1">
      <c r="A15" s="119" t="s">
        <v>95</v>
      </c>
      <c r="B15" s="642">
        <f t="shared" si="0"/>
        <v>41779</v>
      </c>
      <c r="C15" s="238">
        <v>3507</v>
      </c>
      <c r="D15" s="238">
        <v>3597</v>
      </c>
      <c r="E15" s="238">
        <v>3208</v>
      </c>
      <c r="F15" s="238">
        <v>2564</v>
      </c>
      <c r="G15" s="238">
        <v>2607</v>
      </c>
      <c r="H15" s="238">
        <v>3429</v>
      </c>
      <c r="I15" s="238">
        <v>3482</v>
      </c>
      <c r="J15" s="238">
        <v>3468</v>
      </c>
      <c r="K15" s="238">
        <v>3512</v>
      </c>
      <c r="L15" s="238">
        <v>3547</v>
      </c>
      <c r="M15" s="238">
        <v>4269</v>
      </c>
      <c r="N15" s="238">
        <v>4589</v>
      </c>
      <c r="O15" s="149"/>
    </row>
    <row r="16" spans="1:16" ht="16" customHeight="1">
      <c r="A16" s="119" t="s">
        <v>96</v>
      </c>
      <c r="B16" s="642">
        <f t="shared" si="0"/>
        <v>41204</v>
      </c>
      <c r="C16" s="238">
        <v>3172</v>
      </c>
      <c r="D16" s="238">
        <v>3073</v>
      </c>
      <c r="E16" s="238">
        <v>2997</v>
      </c>
      <c r="F16" s="238">
        <v>3567</v>
      </c>
      <c r="G16" s="238">
        <v>3799</v>
      </c>
      <c r="H16" s="238">
        <v>3787</v>
      </c>
      <c r="I16" s="238">
        <v>3714</v>
      </c>
      <c r="J16" s="238">
        <v>3249</v>
      </c>
      <c r="K16" s="238">
        <v>3347</v>
      </c>
      <c r="L16" s="238">
        <v>3409</v>
      </c>
      <c r="M16" s="238">
        <v>3376</v>
      </c>
      <c r="N16" s="238">
        <v>3714</v>
      </c>
      <c r="O16" s="149"/>
    </row>
    <row r="17" spans="1:15" ht="16" customHeight="1">
      <c r="A17" s="143" t="s">
        <v>27</v>
      </c>
      <c r="B17" s="642">
        <f t="shared" si="0"/>
        <v>38532</v>
      </c>
      <c r="C17" s="238">
        <v>3148</v>
      </c>
      <c r="D17" s="238">
        <v>3210</v>
      </c>
      <c r="E17" s="238">
        <v>3100</v>
      </c>
      <c r="F17" s="238">
        <v>2838</v>
      </c>
      <c r="G17" s="238">
        <v>3008</v>
      </c>
      <c r="H17" s="238">
        <v>3051</v>
      </c>
      <c r="I17" s="238">
        <v>3163</v>
      </c>
      <c r="J17" s="238">
        <v>3209</v>
      </c>
      <c r="K17" s="238">
        <v>3181</v>
      </c>
      <c r="L17" s="238">
        <v>3214</v>
      </c>
      <c r="M17" s="238">
        <v>3424</v>
      </c>
      <c r="N17" s="238">
        <v>3986</v>
      </c>
      <c r="O17" s="149"/>
    </row>
    <row r="18" spans="1:15" ht="16" customHeight="1">
      <c r="A18" s="121" t="s">
        <v>28</v>
      </c>
      <c r="B18" s="642">
        <f t="shared" si="0"/>
        <v>61258.390889859758</v>
      </c>
      <c r="C18" s="238">
        <v>5018</v>
      </c>
      <c r="D18" s="238">
        <v>4702</v>
      </c>
      <c r="E18" s="238">
        <v>4875</v>
      </c>
      <c r="F18" s="238">
        <v>5306.9306324132749</v>
      </c>
      <c r="G18" s="238">
        <v>5296.0513722305241</v>
      </c>
      <c r="H18" s="238">
        <v>5272</v>
      </c>
      <c r="I18" s="238">
        <v>5525.4088852159657</v>
      </c>
      <c r="J18" s="238">
        <v>4805</v>
      </c>
      <c r="K18" s="238">
        <v>4912</v>
      </c>
      <c r="L18" s="238">
        <v>4612</v>
      </c>
      <c r="M18" s="238">
        <v>5056</v>
      </c>
      <c r="N18" s="238">
        <v>5878</v>
      </c>
      <c r="O18" s="149"/>
    </row>
    <row r="19" spans="1:15" ht="16" customHeight="1">
      <c r="A19" s="121" t="s">
        <v>29</v>
      </c>
      <c r="B19" s="642">
        <f t="shared" si="0"/>
        <v>1520451</v>
      </c>
      <c r="C19" s="238">
        <v>101223</v>
      </c>
      <c r="D19" s="238">
        <v>109688</v>
      </c>
      <c r="E19" s="238">
        <v>108271</v>
      </c>
      <c r="F19" s="238">
        <v>109548</v>
      </c>
      <c r="G19" s="238">
        <v>113254</v>
      </c>
      <c r="H19" s="238">
        <v>110174</v>
      </c>
      <c r="I19" s="238">
        <v>149318</v>
      </c>
      <c r="J19" s="238">
        <v>143843</v>
      </c>
      <c r="K19" s="238">
        <v>138907</v>
      </c>
      <c r="L19" s="238">
        <v>131752</v>
      </c>
      <c r="M19" s="238">
        <v>144126</v>
      </c>
      <c r="N19" s="238">
        <v>160347</v>
      </c>
      <c r="O19" s="149"/>
    </row>
    <row r="20" spans="1:15" ht="16" customHeight="1">
      <c r="A20" s="143" t="s">
        <v>30</v>
      </c>
      <c r="B20" s="642">
        <f t="shared" si="0"/>
        <v>405041</v>
      </c>
      <c r="C20" s="238">
        <v>35110</v>
      </c>
      <c r="D20" s="238">
        <v>33531</v>
      </c>
      <c r="E20" s="238">
        <v>33057</v>
      </c>
      <c r="F20" s="238">
        <v>31175</v>
      </c>
      <c r="G20" s="238">
        <v>32328</v>
      </c>
      <c r="H20" s="238">
        <v>30648</v>
      </c>
      <c r="I20" s="238">
        <v>34903</v>
      </c>
      <c r="J20" s="238">
        <v>34777</v>
      </c>
      <c r="K20" s="238">
        <v>33315</v>
      </c>
      <c r="L20" s="238">
        <v>34237</v>
      </c>
      <c r="M20" s="238">
        <v>32962</v>
      </c>
      <c r="N20" s="238">
        <v>38998</v>
      </c>
      <c r="O20" s="149"/>
    </row>
    <row r="21" spans="1:15" ht="16" customHeight="1">
      <c r="A21" s="143" t="s">
        <v>31</v>
      </c>
      <c r="B21" s="642">
        <f t="shared" si="0"/>
        <v>231783</v>
      </c>
      <c r="C21" s="238">
        <v>14205</v>
      </c>
      <c r="D21" s="238">
        <v>13715</v>
      </c>
      <c r="E21" s="238">
        <v>18187</v>
      </c>
      <c r="F21" s="238">
        <v>18261</v>
      </c>
      <c r="G21" s="238">
        <v>19898</v>
      </c>
      <c r="H21" s="238">
        <v>19270</v>
      </c>
      <c r="I21" s="238">
        <v>20080</v>
      </c>
      <c r="J21" s="238">
        <v>24177</v>
      </c>
      <c r="K21" s="238">
        <v>20098</v>
      </c>
      <c r="L21" s="238">
        <v>21000</v>
      </c>
      <c r="M21" s="238">
        <v>21024</v>
      </c>
      <c r="N21" s="238">
        <v>21868</v>
      </c>
      <c r="O21" s="149"/>
    </row>
    <row r="22" spans="1:15" ht="16" customHeight="1">
      <c r="A22" s="143" t="s">
        <v>32</v>
      </c>
      <c r="B22" s="642">
        <f t="shared" si="0"/>
        <v>39435.866316001069</v>
      </c>
      <c r="C22" s="238">
        <v>2420</v>
      </c>
      <c r="D22" s="238">
        <v>2252</v>
      </c>
      <c r="E22" s="238">
        <v>2939</v>
      </c>
      <c r="F22" s="238">
        <v>3505</v>
      </c>
      <c r="G22" s="238">
        <v>3561.8663160010688</v>
      </c>
      <c r="H22" s="238">
        <v>4292</v>
      </c>
      <c r="I22" s="238">
        <v>4427</v>
      </c>
      <c r="J22" s="238">
        <v>3916</v>
      </c>
      <c r="K22" s="238">
        <v>3498</v>
      </c>
      <c r="L22" s="238">
        <v>2731</v>
      </c>
      <c r="M22" s="238">
        <v>2582</v>
      </c>
      <c r="N22" s="238">
        <v>3312</v>
      </c>
      <c r="O22" s="149"/>
    </row>
    <row r="23" spans="1:15" ht="16" customHeight="1">
      <c r="A23" s="143" t="s">
        <v>33</v>
      </c>
      <c r="B23" s="642">
        <f t="shared" si="0"/>
        <v>128833</v>
      </c>
      <c r="C23" s="238">
        <v>11130</v>
      </c>
      <c r="D23" s="238">
        <v>10541</v>
      </c>
      <c r="E23" s="238">
        <v>10604</v>
      </c>
      <c r="F23" s="238">
        <v>9990</v>
      </c>
      <c r="G23" s="238">
        <v>10424</v>
      </c>
      <c r="H23" s="238">
        <v>10453</v>
      </c>
      <c r="I23" s="238">
        <v>10939</v>
      </c>
      <c r="J23" s="238">
        <v>10877</v>
      </c>
      <c r="K23" s="238">
        <v>10590</v>
      </c>
      <c r="L23" s="238">
        <v>10632</v>
      </c>
      <c r="M23" s="238">
        <v>10470</v>
      </c>
      <c r="N23" s="238">
        <v>12183</v>
      </c>
      <c r="O23" s="149"/>
    </row>
    <row r="24" spans="1:15" ht="16" customHeight="1">
      <c r="A24" s="143" t="s">
        <v>34</v>
      </c>
      <c r="B24" s="642">
        <f t="shared" si="0"/>
        <v>36574</v>
      </c>
      <c r="C24" s="238">
        <v>2994</v>
      </c>
      <c r="D24" s="238">
        <v>2883</v>
      </c>
      <c r="E24" s="238">
        <v>2699</v>
      </c>
      <c r="F24" s="238">
        <v>2807</v>
      </c>
      <c r="G24" s="238">
        <v>3087</v>
      </c>
      <c r="H24" s="238">
        <v>3118</v>
      </c>
      <c r="I24" s="238">
        <v>3096</v>
      </c>
      <c r="J24" s="238">
        <v>2977</v>
      </c>
      <c r="K24" s="238">
        <v>3047</v>
      </c>
      <c r="L24" s="238">
        <v>3149</v>
      </c>
      <c r="M24" s="238">
        <v>3207</v>
      </c>
      <c r="N24" s="238">
        <v>3510</v>
      </c>
      <c r="O24" s="149"/>
    </row>
    <row r="25" spans="1:15" ht="16" customHeight="1">
      <c r="A25" s="121" t="s">
        <v>35</v>
      </c>
      <c r="B25" s="642">
        <f t="shared" si="0"/>
        <v>237857</v>
      </c>
      <c r="C25" s="238">
        <v>18500</v>
      </c>
      <c r="D25" s="238">
        <v>18434</v>
      </c>
      <c r="E25" s="238">
        <v>18340</v>
      </c>
      <c r="F25" s="238">
        <v>18814</v>
      </c>
      <c r="G25" s="238">
        <v>19632</v>
      </c>
      <c r="H25" s="238">
        <v>19538</v>
      </c>
      <c r="I25" s="238">
        <v>21137</v>
      </c>
      <c r="J25" s="238">
        <v>20877</v>
      </c>
      <c r="K25" s="238">
        <v>20466</v>
      </c>
      <c r="L25" s="238">
        <v>20819</v>
      </c>
      <c r="M25" s="238">
        <v>20278</v>
      </c>
      <c r="N25" s="238">
        <v>21022</v>
      </c>
      <c r="O25" s="149"/>
    </row>
    <row r="26" spans="1:15" ht="16" customHeight="1">
      <c r="A26" s="143" t="s">
        <v>36</v>
      </c>
      <c r="B26" s="642">
        <f t="shared" si="0"/>
        <v>28765.546890250138</v>
      </c>
      <c r="C26" s="238">
        <v>2302</v>
      </c>
      <c r="D26" s="238">
        <v>2300</v>
      </c>
      <c r="E26" s="238">
        <v>2454.9876120321255</v>
      </c>
      <c r="F26" s="238">
        <v>2002</v>
      </c>
      <c r="G26" s="238">
        <v>2553.4414425319087</v>
      </c>
      <c r="H26" s="238">
        <v>2340.117835686106</v>
      </c>
      <c r="I26" s="238">
        <v>2612</v>
      </c>
      <c r="J26" s="238">
        <v>2479</v>
      </c>
      <c r="K26" s="238">
        <v>2172</v>
      </c>
      <c r="L26" s="238">
        <v>2210</v>
      </c>
      <c r="M26" s="238">
        <v>2362</v>
      </c>
      <c r="N26" s="238">
        <v>2978</v>
      </c>
      <c r="O26" s="149"/>
    </row>
    <row r="27" spans="1:15" ht="16" customHeight="1">
      <c r="A27" s="143" t="s">
        <v>37</v>
      </c>
      <c r="B27" s="642">
        <f t="shared" si="0"/>
        <v>71337</v>
      </c>
      <c r="C27" s="238">
        <v>5907</v>
      </c>
      <c r="D27" s="238">
        <v>5749</v>
      </c>
      <c r="E27" s="238">
        <v>5756</v>
      </c>
      <c r="F27" s="238">
        <v>5826</v>
      </c>
      <c r="G27" s="238">
        <v>5920</v>
      </c>
      <c r="H27" s="238">
        <v>5921</v>
      </c>
      <c r="I27" s="238">
        <v>5952</v>
      </c>
      <c r="J27" s="238">
        <v>5930</v>
      </c>
      <c r="K27" s="238">
        <v>5985</v>
      </c>
      <c r="L27" s="238">
        <v>5827</v>
      </c>
      <c r="M27" s="238">
        <v>6152</v>
      </c>
      <c r="N27" s="238">
        <v>6412</v>
      </c>
      <c r="O27" s="149"/>
    </row>
    <row r="28" spans="1:15" ht="16" customHeight="1">
      <c r="A28" s="143" t="s">
        <v>38</v>
      </c>
      <c r="B28" s="642">
        <f t="shared" si="0"/>
        <v>68090</v>
      </c>
      <c r="C28" s="238">
        <v>4981</v>
      </c>
      <c r="D28" s="238">
        <v>4905</v>
      </c>
      <c r="E28" s="238">
        <v>5883</v>
      </c>
      <c r="F28" s="238">
        <v>6307</v>
      </c>
      <c r="G28" s="238">
        <v>6217</v>
      </c>
      <c r="H28" s="238">
        <v>5699</v>
      </c>
      <c r="I28" s="238">
        <v>5774</v>
      </c>
      <c r="J28" s="238">
        <v>5691</v>
      </c>
      <c r="K28" s="238">
        <v>5288</v>
      </c>
      <c r="L28" s="238">
        <v>5067</v>
      </c>
      <c r="M28" s="238">
        <v>5308</v>
      </c>
      <c r="N28" s="238">
        <v>6970</v>
      </c>
      <c r="O28" s="149"/>
    </row>
    <row r="29" spans="1:15" ht="16" customHeight="1">
      <c r="A29" s="121" t="s">
        <v>39</v>
      </c>
      <c r="B29" s="642">
        <f t="shared" si="0"/>
        <v>54058</v>
      </c>
      <c r="C29" s="238">
        <v>5184</v>
      </c>
      <c r="D29" s="238">
        <v>4972</v>
      </c>
      <c r="E29" s="238">
        <v>4660</v>
      </c>
      <c r="F29" s="238">
        <v>4530</v>
      </c>
      <c r="G29" s="238">
        <v>4575</v>
      </c>
      <c r="H29" s="238">
        <v>4396</v>
      </c>
      <c r="I29" s="238">
        <v>4359</v>
      </c>
      <c r="J29" s="238">
        <v>4107</v>
      </c>
      <c r="K29" s="238">
        <v>4219</v>
      </c>
      <c r="L29" s="238">
        <v>4396</v>
      </c>
      <c r="M29" s="238">
        <v>4183</v>
      </c>
      <c r="N29" s="238">
        <v>4477</v>
      </c>
      <c r="O29" s="149"/>
    </row>
    <row r="30" spans="1:15" ht="16" customHeight="1">
      <c r="A30" s="119" t="s">
        <v>97</v>
      </c>
      <c r="B30" s="642">
        <f t="shared" si="0"/>
        <v>20888</v>
      </c>
      <c r="C30" s="238">
        <v>1997</v>
      </c>
      <c r="D30" s="238">
        <v>1873</v>
      </c>
      <c r="E30" s="238">
        <v>1769</v>
      </c>
      <c r="F30" s="238">
        <v>1739</v>
      </c>
      <c r="G30" s="238">
        <v>1769</v>
      </c>
      <c r="H30" s="238">
        <v>1708</v>
      </c>
      <c r="I30" s="238">
        <v>1722</v>
      </c>
      <c r="J30" s="238">
        <v>1688</v>
      </c>
      <c r="K30" s="238">
        <v>1612</v>
      </c>
      <c r="L30" s="238">
        <v>1697</v>
      </c>
      <c r="M30" s="238">
        <v>1617</v>
      </c>
      <c r="N30" s="238">
        <v>1697</v>
      </c>
      <c r="O30" s="149"/>
    </row>
    <row r="31" spans="1:15" ht="16" customHeight="1">
      <c r="A31" s="119" t="s">
        <v>98</v>
      </c>
      <c r="B31" s="642">
        <f t="shared" si="0"/>
        <v>33170</v>
      </c>
      <c r="C31" s="238">
        <v>3187</v>
      </c>
      <c r="D31" s="238">
        <v>3099</v>
      </c>
      <c r="E31" s="238">
        <v>2891</v>
      </c>
      <c r="F31" s="238">
        <v>2791</v>
      </c>
      <c r="G31" s="238">
        <v>2806</v>
      </c>
      <c r="H31" s="238">
        <v>2688</v>
      </c>
      <c r="I31" s="238">
        <v>2637</v>
      </c>
      <c r="J31" s="238">
        <v>2419</v>
      </c>
      <c r="K31" s="238">
        <v>2607</v>
      </c>
      <c r="L31" s="238">
        <v>2699</v>
      </c>
      <c r="M31" s="238">
        <v>2566</v>
      </c>
      <c r="N31" s="238">
        <v>2780</v>
      </c>
      <c r="O31" s="149"/>
    </row>
    <row r="32" spans="1:15" ht="16" customHeight="1">
      <c r="A32" s="143" t="s">
        <v>42</v>
      </c>
      <c r="B32" s="642">
        <f t="shared" si="0"/>
        <v>149255</v>
      </c>
      <c r="C32" s="238">
        <v>11658</v>
      </c>
      <c r="D32" s="238">
        <v>12009</v>
      </c>
      <c r="E32" s="238">
        <v>12347</v>
      </c>
      <c r="F32" s="238">
        <v>12859</v>
      </c>
      <c r="G32" s="238">
        <v>13089</v>
      </c>
      <c r="H32" s="238">
        <v>12978</v>
      </c>
      <c r="I32" s="238">
        <v>13405</v>
      </c>
      <c r="J32" s="238">
        <v>12428</v>
      </c>
      <c r="K32" s="238">
        <v>12047</v>
      </c>
      <c r="L32" s="238">
        <v>12807</v>
      </c>
      <c r="M32" s="238">
        <v>11149</v>
      </c>
      <c r="N32" s="238">
        <v>12479</v>
      </c>
      <c r="O32" s="149"/>
    </row>
    <row r="33" spans="1:15" ht="16" customHeight="1">
      <c r="A33" s="143" t="s">
        <v>43</v>
      </c>
      <c r="B33" s="642">
        <f t="shared" si="0"/>
        <v>76055</v>
      </c>
      <c r="C33" s="238">
        <v>4540</v>
      </c>
      <c r="D33" s="238">
        <v>5720</v>
      </c>
      <c r="E33" s="238">
        <v>5895</v>
      </c>
      <c r="F33" s="238">
        <v>7915</v>
      </c>
      <c r="G33" s="238">
        <v>7610</v>
      </c>
      <c r="H33" s="238">
        <v>7475</v>
      </c>
      <c r="I33" s="238">
        <v>7940</v>
      </c>
      <c r="J33" s="238">
        <v>7055</v>
      </c>
      <c r="K33" s="238">
        <v>6160</v>
      </c>
      <c r="L33" s="238">
        <v>5595</v>
      </c>
      <c r="M33" s="238">
        <v>5370</v>
      </c>
      <c r="N33" s="238">
        <v>4780</v>
      </c>
      <c r="O33" s="149"/>
    </row>
    <row r="34" spans="1:15" ht="16" customHeight="1">
      <c r="A34" s="121" t="s">
        <v>44</v>
      </c>
      <c r="B34" s="642">
        <f t="shared" si="0"/>
        <v>79658.244048378838</v>
      </c>
      <c r="C34" s="238">
        <v>6792</v>
      </c>
      <c r="D34" s="238">
        <v>6498</v>
      </c>
      <c r="E34" s="238">
        <v>5953.7722968108155</v>
      </c>
      <c r="F34" s="238">
        <v>6380.2358757840148</v>
      </c>
      <c r="G34" s="238">
        <v>6380.2358757840148</v>
      </c>
      <c r="H34" s="238">
        <v>6910</v>
      </c>
      <c r="I34" s="238">
        <v>6096</v>
      </c>
      <c r="J34" s="238">
        <v>6428</v>
      </c>
      <c r="K34" s="238">
        <v>6344</v>
      </c>
      <c r="L34" s="238">
        <v>5386</v>
      </c>
      <c r="M34" s="238">
        <v>6478</v>
      </c>
      <c r="N34" s="238">
        <v>10012</v>
      </c>
      <c r="O34" s="149"/>
    </row>
    <row r="35" spans="1:15" ht="16" customHeight="1">
      <c r="A35" s="121" t="s">
        <v>45</v>
      </c>
      <c r="B35" s="642">
        <f t="shared" si="0"/>
        <v>43129</v>
      </c>
      <c r="C35" s="238">
        <v>4274</v>
      </c>
      <c r="D35" s="238">
        <v>3877</v>
      </c>
      <c r="E35" s="238">
        <v>3824</v>
      </c>
      <c r="F35" s="238">
        <v>3353</v>
      </c>
      <c r="G35" s="238">
        <v>3276</v>
      </c>
      <c r="H35" s="238">
        <v>3312</v>
      </c>
      <c r="I35" s="238">
        <v>3275</v>
      </c>
      <c r="J35" s="238">
        <v>3246</v>
      </c>
      <c r="K35" s="238">
        <v>3344</v>
      </c>
      <c r="L35" s="238">
        <v>3726</v>
      </c>
      <c r="M35" s="238">
        <v>3515</v>
      </c>
      <c r="N35" s="238">
        <v>4107</v>
      </c>
      <c r="O35" s="149"/>
    </row>
    <row r="36" spans="1:15" ht="16" customHeight="1">
      <c r="A36" s="121" t="s">
        <v>46</v>
      </c>
      <c r="B36" s="642">
        <f t="shared" si="0"/>
        <v>24206</v>
      </c>
      <c r="C36" s="238">
        <v>1407</v>
      </c>
      <c r="D36" s="238">
        <v>1469</v>
      </c>
      <c r="E36" s="238">
        <v>1542</v>
      </c>
      <c r="F36" s="238">
        <v>1523</v>
      </c>
      <c r="G36" s="238">
        <v>1493</v>
      </c>
      <c r="H36" s="238">
        <v>1623</v>
      </c>
      <c r="I36" s="238">
        <v>1875</v>
      </c>
      <c r="J36" s="238">
        <v>2099</v>
      </c>
      <c r="K36" s="238">
        <v>2343</v>
      </c>
      <c r="L36" s="238">
        <v>2246</v>
      </c>
      <c r="M36" s="238">
        <v>2368</v>
      </c>
      <c r="N36" s="238">
        <v>4218</v>
      </c>
      <c r="O36" s="149"/>
    </row>
    <row r="37" spans="1:15" ht="16" customHeight="1" thickBot="1">
      <c r="A37" s="145" t="s">
        <v>47</v>
      </c>
      <c r="B37" s="643">
        <f t="shared" si="0"/>
        <v>21388</v>
      </c>
      <c r="C37" s="239">
        <v>1800</v>
      </c>
      <c r="D37" s="239">
        <v>1622</v>
      </c>
      <c r="E37" s="239">
        <v>1818</v>
      </c>
      <c r="F37" s="239">
        <v>1120</v>
      </c>
      <c r="G37" s="239">
        <v>1892</v>
      </c>
      <c r="H37" s="239">
        <v>1667</v>
      </c>
      <c r="I37" s="239">
        <v>2107</v>
      </c>
      <c r="J37" s="239">
        <v>1712</v>
      </c>
      <c r="K37" s="239">
        <v>1781</v>
      </c>
      <c r="L37" s="239">
        <v>1961</v>
      </c>
      <c r="M37" s="239">
        <v>1476</v>
      </c>
      <c r="N37" s="239">
        <v>2432</v>
      </c>
      <c r="O37" s="149"/>
    </row>
    <row r="38" spans="1:15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5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5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5" ht="13.25" customHeight="1">
      <c r="A41" s="11"/>
    </row>
    <row r="42" spans="1:15" ht="13.25" customHeight="1">
      <c r="A42" s="67"/>
    </row>
    <row r="43" spans="1:15" ht="13.25" customHeight="1">
      <c r="A43" s="67"/>
    </row>
    <row r="44" spans="1:15" ht="13.25" customHeight="1">
      <c r="A44" s="22"/>
    </row>
    <row r="45" spans="1:15" ht="13.25" customHeight="1">
      <c r="A45" s="30"/>
    </row>
    <row r="46" spans="1:15" ht="13.25" customHeight="1">
      <c r="A46" s="22"/>
    </row>
    <row r="47" spans="1:15" ht="13.25" customHeight="1">
      <c r="A47" s="67"/>
    </row>
    <row r="48" spans="1:15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Hoja58">
    <tabColor theme="9" tint="0.59999389629810485"/>
  </sheetPr>
  <dimension ref="A2:Z54"/>
  <sheetViews>
    <sheetView showGridLines="0" zoomScaleNormal="100" workbookViewId="0">
      <selection activeCell="O10" sqref="O10"/>
    </sheetView>
  </sheetViews>
  <sheetFormatPr baseColWidth="10" defaultColWidth="7" defaultRowHeight="13.25" customHeight="1"/>
  <cols>
    <col min="1" max="1" width="12" style="121" customWidth="1"/>
    <col min="2" max="2" width="12" style="126" customWidth="1"/>
    <col min="3" max="14" width="9.19921875" style="126" customWidth="1"/>
    <col min="15" max="21" width="8" style="121" customWidth="1"/>
    <col min="22" max="16384" width="7" style="121"/>
  </cols>
  <sheetData>
    <row r="2" spans="1:26" ht="13.25" customHeight="1"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4" spans="1:26" ht="13" customHeight="1">
      <c r="A4" s="229" t="s">
        <v>577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  <c r="Q4" s="120"/>
    </row>
    <row r="5" spans="1:26" ht="12" customHeight="1">
      <c r="A5" s="232" t="s">
        <v>210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  <c r="Q5" s="120"/>
    </row>
    <row r="6" spans="1:26" ht="6" customHeight="1" thickBot="1"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Q6" s="122"/>
    </row>
    <row r="7" spans="1:26" ht="18" customHeight="1">
      <c r="A7" s="738" t="s">
        <v>16</v>
      </c>
      <c r="B7" s="742" t="s">
        <v>103</v>
      </c>
      <c r="C7" s="743" t="s">
        <v>53</v>
      </c>
      <c r="D7" s="743" t="s">
        <v>54</v>
      </c>
      <c r="E7" s="743" t="s">
        <v>55</v>
      </c>
      <c r="F7" s="743" t="s">
        <v>56</v>
      </c>
      <c r="G7" s="743" t="s">
        <v>57</v>
      </c>
      <c r="H7" s="743" t="s">
        <v>58</v>
      </c>
      <c r="I7" s="743" t="s">
        <v>59</v>
      </c>
      <c r="J7" s="743" t="s">
        <v>60</v>
      </c>
      <c r="K7" s="743" t="s">
        <v>61</v>
      </c>
      <c r="L7" s="743" t="s">
        <v>62</v>
      </c>
      <c r="M7" s="743" t="s">
        <v>63</v>
      </c>
      <c r="N7" s="743" t="s">
        <v>64</v>
      </c>
      <c r="O7" s="120"/>
      <c r="Q7" s="120"/>
    </row>
    <row r="8" spans="1:26" ht="18" customHeight="1">
      <c r="A8" s="647" t="s">
        <v>93</v>
      </c>
      <c r="B8" s="650">
        <f t="shared" ref="B8:B37" si="0">SUM(C8:N8)</f>
        <v>209548.89517455013</v>
      </c>
      <c r="C8" s="650">
        <f t="shared" ref="C8:N8" si="1">(C9+C10+C11+C12+C13+C17+C18+C19+C20+C21+C22+C23+C24+C25+C26+C27+C28+C29+C32+C33+C34+C35+C36+C37)</f>
        <v>15833.868899118992</v>
      </c>
      <c r="D8" s="650">
        <f t="shared" si="1"/>
        <v>15718.680272215288</v>
      </c>
      <c r="E8" s="650">
        <f t="shared" si="1"/>
        <v>15855.042041666668</v>
      </c>
      <c r="F8" s="650">
        <f t="shared" si="1"/>
        <v>15770.746321551047</v>
      </c>
      <c r="G8" s="650">
        <f t="shared" si="1"/>
        <v>16419.965399897417</v>
      </c>
      <c r="H8" s="650">
        <f t="shared" si="1"/>
        <v>16370.814772738699</v>
      </c>
      <c r="I8" s="650">
        <f t="shared" si="1"/>
        <v>19557.346413003197</v>
      </c>
      <c r="J8" s="650">
        <f t="shared" si="1"/>
        <v>19135.775691484581</v>
      </c>
      <c r="K8" s="650">
        <f t="shared" si="1"/>
        <v>18202.813821956512</v>
      </c>
      <c r="L8" s="650">
        <f t="shared" si="1"/>
        <v>17862.035165417754</v>
      </c>
      <c r="M8" s="650">
        <f t="shared" si="1"/>
        <v>18150.731009749998</v>
      </c>
      <c r="N8" s="650">
        <f t="shared" si="1"/>
        <v>20671.075365749999</v>
      </c>
      <c r="O8" s="149"/>
      <c r="Q8" s="126"/>
    </row>
    <row r="9" spans="1:26" ht="16" customHeight="1">
      <c r="A9" s="143" t="s">
        <v>19</v>
      </c>
      <c r="B9" s="651">
        <f t="shared" si="0"/>
        <v>306.89044999999999</v>
      </c>
      <c r="C9" s="242">
        <v>26.725999999999999</v>
      </c>
      <c r="D9" s="242">
        <v>25.342700000000001</v>
      </c>
      <c r="E9" s="242">
        <v>26.698</v>
      </c>
      <c r="F9" s="242">
        <v>25.9</v>
      </c>
      <c r="G9" s="242">
        <v>26.306999999999999</v>
      </c>
      <c r="H9" s="242">
        <v>23.634399999999999</v>
      </c>
      <c r="I9" s="242">
        <v>25.34</v>
      </c>
      <c r="J9" s="242">
        <v>26.347000000000001</v>
      </c>
      <c r="K9" s="242">
        <v>25.850999999999999</v>
      </c>
      <c r="L9" s="242">
        <v>25.368749999999999</v>
      </c>
      <c r="M9" s="242">
        <v>23.970600000000001</v>
      </c>
      <c r="N9" s="242">
        <v>25.405000000000001</v>
      </c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 spans="1:26" ht="16" customHeight="1">
      <c r="A10" s="143" t="s">
        <v>20</v>
      </c>
      <c r="B10" s="651">
        <f t="shared" si="0"/>
        <v>6103.0035638552081</v>
      </c>
      <c r="C10" s="242">
        <v>502.34800000000001</v>
      </c>
      <c r="D10" s="242">
        <v>421.80838821528744</v>
      </c>
      <c r="E10" s="242">
        <v>458.08699999999999</v>
      </c>
      <c r="F10" s="242">
        <v>508.17867723079877</v>
      </c>
      <c r="G10" s="242">
        <v>546.34229330741994</v>
      </c>
      <c r="H10" s="242">
        <v>590.38900000000001</v>
      </c>
      <c r="I10" s="242">
        <v>592.13863259936545</v>
      </c>
      <c r="J10" s="242">
        <v>524.91710533457979</v>
      </c>
      <c r="K10" s="242">
        <v>440.60700000000003</v>
      </c>
      <c r="L10" s="242">
        <v>459.30246716775741</v>
      </c>
      <c r="M10" s="242">
        <v>456.30200000000002</v>
      </c>
      <c r="N10" s="242">
        <v>602.58299999999997</v>
      </c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 spans="1:26" ht="16" customHeight="1">
      <c r="A11" s="143" t="s">
        <v>21</v>
      </c>
      <c r="B11" s="651">
        <f t="shared" si="0"/>
        <v>1602.4635000000001</v>
      </c>
      <c r="C11" s="242">
        <v>159.458</v>
      </c>
      <c r="D11" s="242">
        <v>131.08500000000001</v>
      </c>
      <c r="E11" s="242">
        <v>125.608</v>
      </c>
      <c r="F11" s="242">
        <v>129.06899999999999</v>
      </c>
      <c r="G11" s="242">
        <v>134.08500000000001</v>
      </c>
      <c r="H11" s="242">
        <v>131.108</v>
      </c>
      <c r="I11" s="242">
        <v>127.0175</v>
      </c>
      <c r="J11" s="242">
        <v>125.34399999999999</v>
      </c>
      <c r="K11" s="242">
        <v>102.34699999999999</v>
      </c>
      <c r="L11" s="242">
        <v>108.337</v>
      </c>
      <c r="M11" s="242">
        <v>110.661</v>
      </c>
      <c r="N11" s="242">
        <v>218.34399999999999</v>
      </c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 spans="1:26" ht="16" customHeight="1">
      <c r="A12" s="121" t="s">
        <v>22</v>
      </c>
      <c r="B12" s="651">
        <f t="shared" si="0"/>
        <v>23386.349489999997</v>
      </c>
      <c r="C12" s="242">
        <v>2006.9109000000001</v>
      </c>
      <c r="D12" s="242">
        <v>1910.0605200000002</v>
      </c>
      <c r="E12" s="242">
        <v>1925.0720175000004</v>
      </c>
      <c r="F12" s="242">
        <v>1969.3286699999999</v>
      </c>
      <c r="G12" s="242">
        <v>1972.0394624999999</v>
      </c>
      <c r="H12" s="242">
        <v>2017.2532125</v>
      </c>
      <c r="I12" s="242">
        <v>2073.245355</v>
      </c>
      <c r="J12" s="242">
        <v>2065.4350424999998</v>
      </c>
      <c r="K12" s="242">
        <v>1942.0371299999999</v>
      </c>
      <c r="L12" s="242">
        <v>1876.3392974999999</v>
      </c>
      <c r="M12" s="242">
        <v>1786.5381525000003</v>
      </c>
      <c r="N12" s="242">
        <v>1842.0897299999999</v>
      </c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 spans="1:26" ht="16" customHeight="1">
      <c r="A13" s="121" t="s">
        <v>23</v>
      </c>
      <c r="B13" s="651">
        <f t="shared" si="0"/>
        <v>5710.1828999999998</v>
      </c>
      <c r="C13" s="242">
        <v>475.101</v>
      </c>
      <c r="D13" s="242">
        <v>474.23799999999994</v>
      </c>
      <c r="E13" s="242">
        <v>447.11699999999996</v>
      </c>
      <c r="F13" s="242">
        <v>427.47</v>
      </c>
      <c r="G13" s="242">
        <v>452.62389999999999</v>
      </c>
      <c r="H13" s="242">
        <v>483.024</v>
      </c>
      <c r="I13" s="242">
        <v>486.56200000000001</v>
      </c>
      <c r="J13" s="242">
        <v>467.62299999999993</v>
      </c>
      <c r="K13" s="242">
        <v>473.21800000000007</v>
      </c>
      <c r="L13" s="242">
        <v>467.98599999999999</v>
      </c>
      <c r="M13" s="242">
        <v>515.94100000000003</v>
      </c>
      <c r="N13" s="242">
        <v>539.279</v>
      </c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 spans="1:26" ht="16" customHeight="1">
      <c r="A14" s="119" t="s">
        <v>94</v>
      </c>
      <c r="B14" s="651">
        <f t="shared" si="0"/>
        <v>1993.4079000000002</v>
      </c>
      <c r="C14" s="242">
        <v>168.43600000000001</v>
      </c>
      <c r="D14" s="242">
        <v>171.648</v>
      </c>
      <c r="E14" s="242">
        <v>171.30799999999999</v>
      </c>
      <c r="F14" s="242">
        <v>155.47300000000001</v>
      </c>
      <c r="G14" s="242">
        <v>156.0369</v>
      </c>
      <c r="H14" s="242">
        <v>152.30699999999999</v>
      </c>
      <c r="I14" s="242">
        <v>168.941</v>
      </c>
      <c r="J14" s="242">
        <v>167.983</v>
      </c>
      <c r="K14" s="242">
        <v>167.392</v>
      </c>
      <c r="L14" s="242">
        <v>168.042</v>
      </c>
      <c r="M14" s="242">
        <v>169.68700000000001</v>
      </c>
      <c r="N14" s="242">
        <v>176.154</v>
      </c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 spans="1:26" ht="16" customHeight="1">
      <c r="A15" s="119" t="s">
        <v>95</v>
      </c>
      <c r="B15" s="651">
        <f t="shared" si="0"/>
        <v>1819.2090000000001</v>
      </c>
      <c r="C15" s="242">
        <v>155.804</v>
      </c>
      <c r="D15" s="242">
        <v>156.892</v>
      </c>
      <c r="E15" s="242">
        <v>135.428</v>
      </c>
      <c r="F15" s="242">
        <v>106.41</v>
      </c>
      <c r="G15" s="242">
        <v>109.34</v>
      </c>
      <c r="H15" s="242">
        <v>145.33000000000001</v>
      </c>
      <c r="I15" s="242">
        <v>149.31700000000001</v>
      </c>
      <c r="J15" s="242">
        <v>149.00899999999999</v>
      </c>
      <c r="K15" s="242">
        <v>150.21700000000001</v>
      </c>
      <c r="L15" s="242">
        <v>151.33699999999999</v>
      </c>
      <c r="M15" s="242">
        <v>199.64699999999999</v>
      </c>
      <c r="N15" s="242">
        <v>210.47800000000001</v>
      </c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spans="1:26" ht="16" customHeight="1">
      <c r="A16" s="119" t="s">
        <v>96</v>
      </c>
      <c r="B16" s="651">
        <f t="shared" si="0"/>
        <v>1897.5659999999998</v>
      </c>
      <c r="C16" s="242">
        <v>150.86099999999999</v>
      </c>
      <c r="D16" s="242">
        <v>145.69800000000001</v>
      </c>
      <c r="E16" s="242">
        <v>140.381</v>
      </c>
      <c r="F16" s="242">
        <v>165.58699999999999</v>
      </c>
      <c r="G16" s="242">
        <v>187.24700000000001</v>
      </c>
      <c r="H16" s="242">
        <v>185.387</v>
      </c>
      <c r="I16" s="242">
        <v>168.304</v>
      </c>
      <c r="J16" s="242">
        <v>150.631</v>
      </c>
      <c r="K16" s="242">
        <v>155.60900000000001</v>
      </c>
      <c r="L16" s="242">
        <v>148.607</v>
      </c>
      <c r="M16" s="242">
        <v>146.607</v>
      </c>
      <c r="N16" s="242">
        <v>152.64699999999999</v>
      </c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spans="1:26" ht="16" customHeight="1">
      <c r="A17" s="143" t="s">
        <v>27</v>
      </c>
      <c r="B17" s="651">
        <f t="shared" si="0"/>
        <v>2026.0926104999999</v>
      </c>
      <c r="C17" s="242">
        <v>169.18151250000005</v>
      </c>
      <c r="D17" s="242">
        <v>171.22671749999998</v>
      </c>
      <c r="E17" s="242">
        <v>163.57206749999997</v>
      </c>
      <c r="F17" s="242">
        <v>148.51377600000004</v>
      </c>
      <c r="G17" s="242">
        <v>157.75173150000003</v>
      </c>
      <c r="H17" s="242">
        <v>160.6194855</v>
      </c>
      <c r="I17" s="242">
        <v>165.73390499999999</v>
      </c>
      <c r="J17" s="242">
        <v>168.18046125000006</v>
      </c>
      <c r="K17" s="242">
        <v>168.74498850000001</v>
      </c>
      <c r="L17" s="242">
        <v>167.88246824999996</v>
      </c>
      <c r="M17" s="242">
        <v>177.93299624999995</v>
      </c>
      <c r="N17" s="242">
        <v>206.75250074999997</v>
      </c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spans="1:26" ht="16" customHeight="1">
      <c r="A18" s="121" t="s">
        <v>28</v>
      </c>
      <c r="B18" s="651">
        <f t="shared" si="0"/>
        <v>1983.5294420027799</v>
      </c>
      <c r="C18" s="242">
        <v>162.78966560999999</v>
      </c>
      <c r="D18" s="242">
        <v>147.71375318</v>
      </c>
      <c r="E18" s="242">
        <v>157.12799999999999</v>
      </c>
      <c r="F18" s="242">
        <v>171.58454212025001</v>
      </c>
      <c r="G18" s="242">
        <v>170.12462925</v>
      </c>
      <c r="H18" s="242">
        <v>167.82479173869999</v>
      </c>
      <c r="I18" s="242">
        <v>181.41702410382999</v>
      </c>
      <c r="J18" s="242">
        <v>148.8246</v>
      </c>
      <c r="K18" s="242">
        <v>168.98820000000001</v>
      </c>
      <c r="L18" s="242">
        <v>156.9462</v>
      </c>
      <c r="M18" s="242">
        <v>159.063436</v>
      </c>
      <c r="N18" s="242">
        <v>191.12459999999999</v>
      </c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spans="1:26" ht="16" customHeight="1">
      <c r="A19" s="121" t="s">
        <v>29</v>
      </c>
      <c r="B19" s="651">
        <f t="shared" si="0"/>
        <v>95076.896674999996</v>
      </c>
      <c r="C19" s="242">
        <v>6543.6353499999996</v>
      </c>
      <c r="D19" s="242">
        <v>6750.1511499999997</v>
      </c>
      <c r="E19" s="242">
        <v>6595.0998250000002</v>
      </c>
      <c r="F19" s="242">
        <v>6601.0036250000003</v>
      </c>
      <c r="G19" s="242">
        <v>6902.3767250000001</v>
      </c>
      <c r="H19" s="242">
        <v>6829.2645249999996</v>
      </c>
      <c r="I19" s="242">
        <v>9364.6380000000026</v>
      </c>
      <c r="J19" s="242">
        <v>9164.3256999999994</v>
      </c>
      <c r="K19" s="242">
        <v>8859.4189999999999</v>
      </c>
      <c r="L19" s="242">
        <v>8480.7819749999999</v>
      </c>
      <c r="M19" s="242">
        <v>8998.8428000000004</v>
      </c>
      <c r="N19" s="242">
        <v>9987.3580000000002</v>
      </c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 spans="1:26" ht="16" customHeight="1">
      <c r="A20" s="143" t="s">
        <v>30</v>
      </c>
      <c r="B20" s="651">
        <f t="shared" si="0"/>
        <v>17055.628225</v>
      </c>
      <c r="C20" s="242">
        <v>1448.564875</v>
      </c>
      <c r="D20" s="242">
        <v>1402.3036500000001</v>
      </c>
      <c r="E20" s="242">
        <v>1442.25965</v>
      </c>
      <c r="F20" s="242">
        <v>1263.5533250000001</v>
      </c>
      <c r="G20" s="242">
        <v>1350.4188750000001</v>
      </c>
      <c r="H20" s="242">
        <v>1235.095775</v>
      </c>
      <c r="I20" s="242">
        <v>1536.1863249999999</v>
      </c>
      <c r="J20" s="242">
        <v>1497.131725</v>
      </c>
      <c r="K20" s="242">
        <v>1369.3244999999999</v>
      </c>
      <c r="L20" s="242">
        <v>1398.631175</v>
      </c>
      <c r="M20" s="242">
        <v>1357.4812750000001</v>
      </c>
      <c r="N20" s="242">
        <v>1754.6770750000001</v>
      </c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spans="1:26" ht="16" customHeight="1">
      <c r="A21" s="143" t="s">
        <v>31</v>
      </c>
      <c r="B21" s="651">
        <f t="shared" si="0"/>
        <v>8287.9129924999997</v>
      </c>
      <c r="C21" s="242">
        <v>538.82287499999995</v>
      </c>
      <c r="D21" s="242">
        <v>512.89827000000002</v>
      </c>
      <c r="E21" s="242">
        <v>651.56526749999989</v>
      </c>
      <c r="F21" s="242">
        <v>606.55026999999995</v>
      </c>
      <c r="G21" s="242">
        <v>616.41926999999998</v>
      </c>
      <c r="H21" s="242">
        <v>656.46275000000003</v>
      </c>
      <c r="I21" s="242">
        <v>778.08224999999982</v>
      </c>
      <c r="J21" s="242">
        <v>893.18499999999995</v>
      </c>
      <c r="K21" s="242">
        <v>724.77224999999999</v>
      </c>
      <c r="L21" s="242">
        <v>764.41527000000031</v>
      </c>
      <c r="M21" s="242">
        <v>702.85077000000001</v>
      </c>
      <c r="N21" s="242">
        <v>841.88874999999996</v>
      </c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 spans="1:26" ht="16" customHeight="1">
      <c r="A22" s="143" t="s">
        <v>32</v>
      </c>
      <c r="B22" s="651">
        <f t="shared" si="0"/>
        <v>1452.6193993654967</v>
      </c>
      <c r="C22" s="242">
        <v>77.433149208992603</v>
      </c>
      <c r="D22" s="242">
        <v>79.325250000000011</v>
      </c>
      <c r="E22" s="242">
        <v>103.46178</v>
      </c>
      <c r="F22" s="242">
        <v>130.5538895</v>
      </c>
      <c r="G22" s="242">
        <v>141.342321</v>
      </c>
      <c r="H22" s="242">
        <v>156.69807</v>
      </c>
      <c r="I22" s="242">
        <v>163.68572999999998</v>
      </c>
      <c r="J22" s="242">
        <v>142.71431239999998</v>
      </c>
      <c r="K22" s="242">
        <v>133.80906225650432</v>
      </c>
      <c r="L22" s="242">
        <v>106.06285499999998</v>
      </c>
      <c r="M22" s="242">
        <v>93.420479999999998</v>
      </c>
      <c r="N22" s="242">
        <v>124.1125</v>
      </c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spans="1:26" ht="16" customHeight="1">
      <c r="A23" s="143" t="s">
        <v>33</v>
      </c>
      <c r="B23" s="651">
        <f t="shared" si="0"/>
        <v>6074.7367499999991</v>
      </c>
      <c r="C23" s="242">
        <v>521.62574999999981</v>
      </c>
      <c r="D23" s="242">
        <v>492.00225000000023</v>
      </c>
      <c r="E23" s="242">
        <v>496.47075000000001</v>
      </c>
      <c r="F23" s="242">
        <v>468.82424999999989</v>
      </c>
      <c r="G23" s="242">
        <v>493.06124999999997</v>
      </c>
      <c r="H23" s="242">
        <v>490.48800000000006</v>
      </c>
      <c r="I23" s="242">
        <v>511.70100000000014</v>
      </c>
      <c r="J23" s="242">
        <v>505.28700000000009</v>
      </c>
      <c r="K23" s="242">
        <v>495.52875000000017</v>
      </c>
      <c r="L23" s="242">
        <v>505.01999999999987</v>
      </c>
      <c r="M23" s="242">
        <v>499.07475000000011</v>
      </c>
      <c r="N23" s="242">
        <v>595.65299999999957</v>
      </c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spans="1:26" ht="16" customHeight="1">
      <c r="A24" s="143" t="s">
        <v>34</v>
      </c>
      <c r="B24" s="651">
        <f t="shared" si="0"/>
        <v>1367.586</v>
      </c>
      <c r="C24" s="242">
        <v>119.048</v>
      </c>
      <c r="D24" s="242">
        <v>115.04900000000001</v>
      </c>
      <c r="E24" s="242">
        <v>106.682</v>
      </c>
      <c r="F24" s="242">
        <v>111.628</v>
      </c>
      <c r="G24" s="242">
        <v>119.318</v>
      </c>
      <c r="H24" s="242">
        <v>120.41200000000001</v>
      </c>
      <c r="I24" s="242">
        <v>109.631</v>
      </c>
      <c r="J24" s="242">
        <v>101.337</v>
      </c>
      <c r="K24" s="242">
        <v>106.337</v>
      </c>
      <c r="L24" s="242">
        <v>112.337</v>
      </c>
      <c r="M24" s="242">
        <v>115.337</v>
      </c>
      <c r="N24" s="242">
        <v>130.47</v>
      </c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spans="1:26" ht="16" customHeight="1">
      <c r="A25" s="121" t="s">
        <v>35</v>
      </c>
      <c r="B25" s="651">
        <f t="shared" si="0"/>
        <v>13346.929</v>
      </c>
      <c r="C25" s="242">
        <v>1039.328</v>
      </c>
      <c r="D25" s="242">
        <v>1034.242</v>
      </c>
      <c r="E25" s="242">
        <v>1028.703</v>
      </c>
      <c r="F25" s="242">
        <v>1056.472</v>
      </c>
      <c r="G25" s="242">
        <v>1102.51</v>
      </c>
      <c r="H25" s="242">
        <v>1096.6170000000002</v>
      </c>
      <c r="I25" s="242">
        <v>1186.4470000000001</v>
      </c>
      <c r="J25" s="242">
        <v>1170.7629999999999</v>
      </c>
      <c r="K25" s="242">
        <v>1148.366</v>
      </c>
      <c r="L25" s="242">
        <v>1167.6859999999999</v>
      </c>
      <c r="M25" s="242">
        <v>1137.075</v>
      </c>
      <c r="N25" s="242">
        <v>1178.72</v>
      </c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spans="1:26" ht="16" customHeight="1">
      <c r="A26" s="143" t="s">
        <v>36</v>
      </c>
      <c r="B26" s="651">
        <f t="shared" si="0"/>
        <v>1345.2559421600001</v>
      </c>
      <c r="C26" s="242">
        <v>110.5498668</v>
      </c>
      <c r="D26" s="242">
        <v>110.294476</v>
      </c>
      <c r="E26" s="242">
        <v>118.11239999999999</v>
      </c>
      <c r="F26" s="242">
        <v>97.301564359999986</v>
      </c>
      <c r="G26" s="242">
        <v>120.304</v>
      </c>
      <c r="H26" s="242">
        <v>109.698025</v>
      </c>
      <c r="I26" s="242">
        <v>119.11431</v>
      </c>
      <c r="J26" s="242">
        <v>105.047</v>
      </c>
      <c r="K26" s="242">
        <v>90.412850000000006</v>
      </c>
      <c r="L26" s="242">
        <v>103.08645</v>
      </c>
      <c r="M26" s="242">
        <v>115.988</v>
      </c>
      <c r="N26" s="242">
        <v>145.34700000000001</v>
      </c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spans="1:26" ht="16" customHeight="1">
      <c r="A27" s="143" t="s">
        <v>37</v>
      </c>
      <c r="B27" s="651">
        <f t="shared" si="0"/>
        <v>3143.3304166666671</v>
      </c>
      <c r="C27" s="242">
        <v>263.64</v>
      </c>
      <c r="D27" s="242">
        <v>245.35500000000002</v>
      </c>
      <c r="E27" s="242">
        <v>247.04666666666699</v>
      </c>
      <c r="F27" s="242">
        <v>252.31950000000001</v>
      </c>
      <c r="G27" s="242">
        <v>260.8725</v>
      </c>
      <c r="H27" s="242">
        <v>260.85750000000002</v>
      </c>
      <c r="I27" s="242">
        <v>265.69500000000005</v>
      </c>
      <c r="J27" s="242">
        <v>268.13774999999998</v>
      </c>
      <c r="K27" s="242">
        <v>261.58499999999998</v>
      </c>
      <c r="L27" s="242">
        <v>258.46499999999992</v>
      </c>
      <c r="M27" s="242">
        <v>261.24400000000003</v>
      </c>
      <c r="N27" s="242">
        <v>298.11250000000001</v>
      </c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spans="1:26" ht="16" customHeight="1">
      <c r="A28" s="143" t="s">
        <v>38</v>
      </c>
      <c r="B28" s="651">
        <f t="shared" si="0"/>
        <v>3098.9567999999999</v>
      </c>
      <c r="C28" s="242">
        <v>223.06399999999999</v>
      </c>
      <c r="D28" s="242">
        <v>222.06399999999999</v>
      </c>
      <c r="E28" s="242">
        <v>275.04700000000003</v>
      </c>
      <c r="F28" s="242">
        <v>290.34699999999998</v>
      </c>
      <c r="G28" s="242">
        <v>289.30799999999999</v>
      </c>
      <c r="H28" s="242">
        <v>278.42180000000002</v>
      </c>
      <c r="I28" s="242">
        <v>285.61799999999999</v>
      </c>
      <c r="J28" s="242">
        <v>255.04400000000001</v>
      </c>
      <c r="K28" s="242">
        <v>228.14699999999999</v>
      </c>
      <c r="L28" s="242">
        <v>216.34800000000001</v>
      </c>
      <c r="M28" s="242">
        <v>230.10499999999999</v>
      </c>
      <c r="N28" s="242">
        <v>305.44299999999998</v>
      </c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spans="1:26" ht="16" customHeight="1">
      <c r="A29" s="121" t="s">
        <v>39</v>
      </c>
      <c r="B29" s="651">
        <f t="shared" si="0"/>
        <v>2312.2257000000004</v>
      </c>
      <c r="C29" s="242">
        <v>210.78399999999999</v>
      </c>
      <c r="D29" s="242">
        <v>207.161</v>
      </c>
      <c r="E29" s="242">
        <v>199.99700000000001</v>
      </c>
      <c r="F29" s="242">
        <v>195.113</v>
      </c>
      <c r="G29" s="242">
        <v>198.52269999999999</v>
      </c>
      <c r="H29" s="242">
        <v>191.476</v>
      </c>
      <c r="I29" s="242">
        <v>191.29499999999999</v>
      </c>
      <c r="J29" s="242">
        <v>181.411</v>
      </c>
      <c r="K29" s="242">
        <v>180.92399999999998</v>
      </c>
      <c r="L29" s="242">
        <v>186.13499999999999</v>
      </c>
      <c r="M29" s="242">
        <v>181.72300000000001</v>
      </c>
      <c r="N29" s="242">
        <v>187.68400000000003</v>
      </c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spans="1:26" ht="16" customHeight="1">
      <c r="A30" s="119" t="s">
        <v>97</v>
      </c>
      <c r="B30" s="651">
        <f t="shared" si="0"/>
        <v>837.32600000000002</v>
      </c>
      <c r="C30" s="242">
        <v>76.313999999999993</v>
      </c>
      <c r="D30" s="242">
        <v>73.691000000000003</v>
      </c>
      <c r="E30" s="242">
        <v>70.569000000000003</v>
      </c>
      <c r="F30" s="242">
        <v>70.066000000000003</v>
      </c>
      <c r="G30" s="242">
        <v>72.358000000000004</v>
      </c>
      <c r="H30" s="242">
        <v>70.046999999999997</v>
      </c>
      <c r="I30" s="242">
        <v>70.346999999999994</v>
      </c>
      <c r="J30" s="242">
        <v>66.046999999999997</v>
      </c>
      <c r="K30" s="242">
        <v>65.316999999999993</v>
      </c>
      <c r="L30" s="242">
        <v>67.504000000000005</v>
      </c>
      <c r="M30" s="242">
        <v>66.418999999999997</v>
      </c>
      <c r="N30" s="242">
        <v>68.647000000000006</v>
      </c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spans="1:26" ht="16" customHeight="1">
      <c r="A31" s="119" t="s">
        <v>98</v>
      </c>
      <c r="B31" s="651">
        <f t="shared" si="0"/>
        <v>1474.8997000000002</v>
      </c>
      <c r="C31" s="242">
        <v>134.47</v>
      </c>
      <c r="D31" s="242">
        <v>133.47</v>
      </c>
      <c r="E31" s="242">
        <v>129.428</v>
      </c>
      <c r="F31" s="242">
        <v>125.047</v>
      </c>
      <c r="G31" s="242">
        <v>126.1647</v>
      </c>
      <c r="H31" s="242">
        <v>121.429</v>
      </c>
      <c r="I31" s="242">
        <v>120.94799999999999</v>
      </c>
      <c r="J31" s="242">
        <v>115.364</v>
      </c>
      <c r="K31" s="242">
        <v>115.607</v>
      </c>
      <c r="L31" s="242">
        <v>118.631</v>
      </c>
      <c r="M31" s="242">
        <v>115.304</v>
      </c>
      <c r="N31" s="242">
        <v>119.03700000000001</v>
      </c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spans="1:26" ht="16" customHeight="1">
      <c r="A32" s="143" t="s">
        <v>42</v>
      </c>
      <c r="B32" s="651">
        <f t="shared" si="0"/>
        <v>5978.9029999999993</v>
      </c>
      <c r="C32" s="242">
        <v>456.28</v>
      </c>
      <c r="D32" s="242">
        <v>484.072</v>
      </c>
      <c r="E32" s="242">
        <v>498.17200000000003</v>
      </c>
      <c r="F32" s="242">
        <v>517.30799999999999</v>
      </c>
      <c r="G32" s="242">
        <v>523.30799999999999</v>
      </c>
      <c r="H32" s="242">
        <v>522.31799999999998</v>
      </c>
      <c r="I32" s="242">
        <v>530.476</v>
      </c>
      <c r="J32" s="242">
        <v>490.04199999999997</v>
      </c>
      <c r="K32" s="242">
        <v>482.64699999999999</v>
      </c>
      <c r="L32" s="242">
        <v>518.60699999999997</v>
      </c>
      <c r="M32" s="242">
        <v>460.33699999999999</v>
      </c>
      <c r="N32" s="242">
        <v>495.33600000000001</v>
      </c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spans="1:26" ht="16" customHeight="1">
      <c r="A33" s="143" t="s">
        <v>43</v>
      </c>
      <c r="B33" s="651">
        <f t="shared" si="0"/>
        <v>2637.7010000000005</v>
      </c>
      <c r="C33" s="242">
        <v>152.465</v>
      </c>
      <c r="D33" s="242">
        <v>196.07499999999999</v>
      </c>
      <c r="E33" s="242">
        <v>202.87500000000003</v>
      </c>
      <c r="F33" s="242">
        <v>277.245</v>
      </c>
      <c r="G33" s="242">
        <v>270.18</v>
      </c>
      <c r="H33" s="242">
        <v>267.64</v>
      </c>
      <c r="I33" s="242">
        <v>279.38</v>
      </c>
      <c r="J33" s="242">
        <v>243.55499999999998</v>
      </c>
      <c r="K33" s="242">
        <v>211.36</v>
      </c>
      <c r="L33" s="242">
        <v>188.05</v>
      </c>
      <c r="M33" s="242">
        <v>184.44500000000002</v>
      </c>
      <c r="N33" s="242">
        <v>164.43100000000004</v>
      </c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spans="1:26" ht="16" customHeight="1">
      <c r="A34" s="121" t="s">
        <v>44</v>
      </c>
      <c r="B34" s="651">
        <f t="shared" si="0"/>
        <v>3100.6275700000001</v>
      </c>
      <c r="C34" s="242">
        <v>277.10246000000001</v>
      </c>
      <c r="D34" s="242">
        <v>256.87464732000001</v>
      </c>
      <c r="E34" s="242">
        <v>235.4246</v>
      </c>
      <c r="F34" s="242">
        <v>245.56124234000001</v>
      </c>
      <c r="G34" s="242">
        <v>245.56124234000001</v>
      </c>
      <c r="H34" s="242">
        <v>259.04069800000002</v>
      </c>
      <c r="I34" s="242">
        <v>222.42962880000002</v>
      </c>
      <c r="J34" s="242">
        <v>254.29875000000001</v>
      </c>
      <c r="K34" s="242">
        <v>240.73908119999999</v>
      </c>
      <c r="L34" s="242">
        <v>213.24600000000001</v>
      </c>
      <c r="M34" s="242">
        <v>252.24799999999999</v>
      </c>
      <c r="N34" s="242">
        <v>398.10122000000001</v>
      </c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spans="1:26" ht="16" customHeight="1">
      <c r="A35" s="121" t="s">
        <v>45</v>
      </c>
      <c r="B35" s="651">
        <f t="shared" si="0"/>
        <v>1847.98875</v>
      </c>
      <c r="C35" s="242">
        <v>173.30549999999997</v>
      </c>
      <c r="D35" s="242">
        <v>162.64350000000002</v>
      </c>
      <c r="E35" s="242">
        <v>160.68299999999999</v>
      </c>
      <c r="F35" s="242">
        <v>138.75075000000004</v>
      </c>
      <c r="G35" s="242">
        <v>141.48374999999999</v>
      </c>
      <c r="H35" s="242">
        <v>149.24175000000002</v>
      </c>
      <c r="I35" s="242">
        <v>146.20275000000001</v>
      </c>
      <c r="J35" s="242">
        <v>142.37025</v>
      </c>
      <c r="K35" s="242">
        <v>143.91900000000001</v>
      </c>
      <c r="L35" s="242">
        <v>166.42125000000004</v>
      </c>
      <c r="M35" s="242">
        <v>150.39750000000001</v>
      </c>
      <c r="N35" s="242">
        <v>172.56975</v>
      </c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spans="1:26" ht="16" customHeight="1">
      <c r="A36" s="121" t="s">
        <v>46</v>
      </c>
      <c r="B36" s="651">
        <f t="shared" si="0"/>
        <v>987.55175000000008</v>
      </c>
      <c r="C36" s="242">
        <v>63.814999999999998</v>
      </c>
      <c r="D36" s="242">
        <v>66.614000000000004</v>
      </c>
      <c r="E36" s="242">
        <v>76.89</v>
      </c>
      <c r="F36" s="242">
        <v>70.54025</v>
      </c>
      <c r="G36" s="242">
        <v>70.135000000000005</v>
      </c>
      <c r="H36" s="242">
        <v>73.034999999999997</v>
      </c>
      <c r="I36" s="242">
        <v>80.875</v>
      </c>
      <c r="J36" s="242">
        <v>85.954999999999998</v>
      </c>
      <c r="K36" s="242">
        <v>95.935000000000002</v>
      </c>
      <c r="L36" s="242">
        <v>92.48</v>
      </c>
      <c r="M36" s="242">
        <v>90.92</v>
      </c>
      <c r="N36" s="242">
        <v>120.3575</v>
      </c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spans="1:26" ht="16" customHeight="1" thickBot="1">
      <c r="A37" s="145" t="s">
        <v>47</v>
      </c>
      <c r="B37" s="652">
        <f t="shared" si="0"/>
        <v>1315.5332474999998</v>
      </c>
      <c r="C37" s="243">
        <v>111.889995</v>
      </c>
      <c r="D37" s="243">
        <v>100.08</v>
      </c>
      <c r="E37" s="243">
        <v>113.27001749999999</v>
      </c>
      <c r="F37" s="243">
        <v>67.629989999999992</v>
      </c>
      <c r="G37" s="243">
        <v>115.56975</v>
      </c>
      <c r="H37" s="243">
        <v>100.19498999999999</v>
      </c>
      <c r="I37" s="243">
        <v>134.43500249999997</v>
      </c>
      <c r="J37" s="243">
        <v>108.49999500000001</v>
      </c>
      <c r="K37" s="243">
        <v>107.79500999999999</v>
      </c>
      <c r="L37" s="243">
        <v>122.10000750000003</v>
      </c>
      <c r="M37" s="243">
        <v>88.832250000000002</v>
      </c>
      <c r="N37" s="243">
        <v>145.23623999999998</v>
      </c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spans="1:26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26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26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26" ht="13.25" customHeight="1">
      <c r="A41" s="11"/>
    </row>
    <row r="42" spans="1:26" ht="13.25" customHeight="1">
      <c r="A42" s="67"/>
    </row>
    <row r="43" spans="1:26" ht="13.25" customHeight="1">
      <c r="A43" s="67"/>
    </row>
    <row r="44" spans="1:26" ht="13.25" customHeight="1">
      <c r="A44" s="22"/>
    </row>
    <row r="45" spans="1:26" ht="13.25" customHeight="1">
      <c r="A45" s="30"/>
    </row>
    <row r="46" spans="1:26" ht="13.25" customHeight="1">
      <c r="A46" s="22"/>
    </row>
    <row r="47" spans="1:26" ht="13.25" customHeight="1">
      <c r="A47" s="67"/>
    </row>
    <row r="48" spans="1:26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Hoja59">
    <tabColor theme="9" tint="0.59999389629810485"/>
  </sheetPr>
  <dimension ref="A4:Q54"/>
  <sheetViews>
    <sheetView showGridLines="0" zoomScaleNormal="100" workbookViewId="0">
      <selection activeCell="E28" sqref="E28"/>
    </sheetView>
  </sheetViews>
  <sheetFormatPr baseColWidth="10" defaultColWidth="7" defaultRowHeight="13.25" customHeight="1"/>
  <cols>
    <col min="1" max="1" width="12" style="121" customWidth="1"/>
    <col min="2" max="2" width="12" style="126" customWidth="1"/>
    <col min="3" max="14" width="9.19921875" style="126" customWidth="1"/>
    <col min="15" max="21" width="8" style="121" customWidth="1"/>
    <col min="22" max="16384" width="7" style="121"/>
  </cols>
  <sheetData>
    <row r="4" spans="1:17" ht="13" customHeight="1">
      <c r="A4" s="229" t="s">
        <v>578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  <c r="Q4" s="120"/>
    </row>
    <row r="5" spans="1:17" ht="12" customHeight="1">
      <c r="A5" s="232" t="s">
        <v>382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  <c r="Q5" s="120"/>
    </row>
    <row r="6" spans="1:17" ht="6" customHeight="1" thickBot="1"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Q6" s="122"/>
    </row>
    <row r="7" spans="1:17" ht="18" customHeight="1">
      <c r="A7" s="738" t="s">
        <v>16</v>
      </c>
      <c r="B7" s="742" t="s">
        <v>103</v>
      </c>
      <c r="C7" s="743" t="s">
        <v>53</v>
      </c>
      <c r="D7" s="743" t="s">
        <v>54</v>
      </c>
      <c r="E7" s="743" t="s">
        <v>55</v>
      </c>
      <c r="F7" s="743" t="s">
        <v>56</v>
      </c>
      <c r="G7" s="743" t="s">
        <v>57</v>
      </c>
      <c r="H7" s="743" t="s">
        <v>58</v>
      </c>
      <c r="I7" s="743" t="s">
        <v>59</v>
      </c>
      <c r="J7" s="743" t="s">
        <v>60</v>
      </c>
      <c r="K7" s="743" t="s">
        <v>61</v>
      </c>
      <c r="L7" s="743" t="s">
        <v>62</v>
      </c>
      <c r="M7" s="743" t="s">
        <v>63</v>
      </c>
      <c r="N7" s="743" t="s">
        <v>64</v>
      </c>
      <c r="O7" s="120"/>
      <c r="Q7" s="120"/>
    </row>
    <row r="8" spans="1:17" ht="18" customHeight="1">
      <c r="A8" s="647" t="s">
        <v>93</v>
      </c>
      <c r="B8" s="654">
        <v>52.506482037347936</v>
      </c>
      <c r="C8" s="654">
        <v>52.865557637486951</v>
      </c>
      <c r="D8" s="654">
        <v>52.029831194089837</v>
      </c>
      <c r="E8" s="654">
        <v>51.854234638084073</v>
      </c>
      <c r="F8" s="654">
        <v>50.969387692054916</v>
      </c>
      <c r="G8" s="654">
        <v>51.144001049303171</v>
      </c>
      <c r="H8" s="654">
        <v>51.679936999043043</v>
      </c>
      <c r="I8" s="654">
        <v>53.418258105965563</v>
      </c>
      <c r="J8" s="654">
        <v>53.482064437153319</v>
      </c>
      <c r="K8" s="654">
        <v>53.24390662683696</v>
      </c>
      <c r="L8" s="654">
        <v>53.161610040083197</v>
      </c>
      <c r="M8" s="654">
        <v>52.589930983203764</v>
      </c>
      <c r="N8" s="654">
        <v>53.089061103820057</v>
      </c>
      <c r="O8" s="149"/>
      <c r="Q8" s="126"/>
    </row>
    <row r="9" spans="1:17" ht="16" customHeight="1">
      <c r="A9" s="143" t="s">
        <v>19</v>
      </c>
      <c r="B9" s="655">
        <v>55.196124100719423</v>
      </c>
      <c r="C9" s="244">
        <v>53.774647887323944</v>
      </c>
      <c r="D9" s="244">
        <v>53.69216101694915</v>
      </c>
      <c r="E9" s="244">
        <v>57.663066954643625</v>
      </c>
      <c r="F9" s="244">
        <v>56.550218340611352</v>
      </c>
      <c r="G9" s="244">
        <v>58.590200445434299</v>
      </c>
      <c r="H9" s="244">
        <v>58.938653366583544</v>
      </c>
      <c r="I9" s="244">
        <v>51.295546558704459</v>
      </c>
      <c r="J9" s="244">
        <v>56.176972281449899</v>
      </c>
      <c r="K9" s="244">
        <v>57.192477876106196</v>
      </c>
      <c r="L9" s="244">
        <v>54.792116630669547</v>
      </c>
      <c r="M9" s="244">
        <v>51.884415584415592</v>
      </c>
      <c r="N9" s="244">
        <v>52.927083333333336</v>
      </c>
      <c r="O9" s="149"/>
      <c r="Q9" s="126"/>
    </row>
    <row r="10" spans="1:17" ht="16" customHeight="1">
      <c r="A10" s="143" t="s">
        <v>20</v>
      </c>
      <c r="B10" s="655">
        <v>52.600885176990531</v>
      </c>
      <c r="C10" s="244">
        <v>51.804475611013714</v>
      </c>
      <c r="D10" s="244">
        <v>52.502911154504282</v>
      </c>
      <c r="E10" s="244">
        <v>55.371328417744465</v>
      </c>
      <c r="F10" s="244">
        <v>51.750000000000007</v>
      </c>
      <c r="G10" s="244">
        <v>50.998067143416407</v>
      </c>
      <c r="H10" s="244">
        <v>51.761266000350695</v>
      </c>
      <c r="I10" s="244">
        <v>50.250000000000007</v>
      </c>
      <c r="J10" s="244">
        <v>52.502210975653107</v>
      </c>
      <c r="K10" s="244">
        <v>53.510687393733306</v>
      </c>
      <c r="L10" s="244">
        <v>52.497710271774764</v>
      </c>
      <c r="M10" s="244">
        <v>53.033705253370528</v>
      </c>
      <c r="N10" s="244">
        <v>56.247829739568743</v>
      </c>
      <c r="O10" s="149"/>
      <c r="Q10" s="126"/>
    </row>
    <row r="11" spans="1:17" ht="16" customHeight="1">
      <c r="A11" s="143" t="s">
        <v>21</v>
      </c>
      <c r="B11" s="655">
        <v>52.122804449648719</v>
      </c>
      <c r="C11" s="244">
        <v>53.617350369872227</v>
      </c>
      <c r="D11" s="244">
        <v>50.475548710050063</v>
      </c>
      <c r="E11" s="244">
        <v>52.599664991624792</v>
      </c>
      <c r="F11" s="244">
        <v>53.356345597354277</v>
      </c>
      <c r="G11" s="244">
        <v>53.763031275060143</v>
      </c>
      <c r="H11" s="244">
        <v>54.765246449456974</v>
      </c>
      <c r="I11" s="244">
        <v>50.970104333868377</v>
      </c>
      <c r="J11" s="244">
        <v>50.684997978164169</v>
      </c>
      <c r="K11" s="244">
        <v>50.691926696384343</v>
      </c>
      <c r="L11" s="244">
        <v>50.53031716417911</v>
      </c>
      <c r="M11" s="244">
        <v>50.692166743014205</v>
      </c>
      <c r="N11" s="244">
        <v>52.398368130549557</v>
      </c>
      <c r="O11" s="149"/>
      <c r="Q11" s="126"/>
    </row>
    <row r="12" spans="1:17" ht="16" customHeight="1">
      <c r="A12" s="121" t="s">
        <v>22</v>
      </c>
      <c r="B12" s="655">
        <v>60.525715124991251</v>
      </c>
      <c r="C12" s="244">
        <v>62.031678669675145</v>
      </c>
      <c r="D12" s="244">
        <v>61.07112546361428</v>
      </c>
      <c r="E12" s="244">
        <v>61.076557552587339</v>
      </c>
      <c r="F12" s="244">
        <v>61.159275465838505</v>
      </c>
      <c r="G12" s="244">
        <v>59.549446264645482</v>
      </c>
      <c r="H12" s="244">
        <v>60.98105237303507</v>
      </c>
      <c r="I12" s="244">
        <v>61.409477059328808</v>
      </c>
      <c r="J12" s="244">
        <v>62.071676709241167</v>
      </c>
      <c r="K12" s="244">
        <v>59.87289215686274</v>
      </c>
      <c r="L12" s="244">
        <v>58.442013875911037</v>
      </c>
      <c r="M12" s="244">
        <v>59.129481448997161</v>
      </c>
      <c r="N12" s="244">
        <v>59.324650735886124</v>
      </c>
      <c r="O12" s="149"/>
      <c r="Q12" s="126"/>
    </row>
    <row r="13" spans="1:17" ht="16" customHeight="1">
      <c r="A13" s="121" t="s">
        <v>23</v>
      </c>
      <c r="B13" s="655">
        <v>41.835293643583512</v>
      </c>
      <c r="C13" s="244">
        <v>41.682839094578</v>
      </c>
      <c r="D13" s="244">
        <v>40.69664464086501</v>
      </c>
      <c r="E13" s="244">
        <v>40.971043709337486</v>
      </c>
      <c r="F13" s="244">
        <v>40.871020174012813</v>
      </c>
      <c r="G13" s="244">
        <v>41.960127931769726</v>
      </c>
      <c r="H13" s="244">
        <v>42.538441215323644</v>
      </c>
      <c r="I13" s="244">
        <v>41.934154959924157</v>
      </c>
      <c r="J13" s="244">
        <v>42.705296803652963</v>
      </c>
      <c r="K13" s="244">
        <v>42.871715890559891</v>
      </c>
      <c r="L13" s="244">
        <v>41.911696220669889</v>
      </c>
      <c r="M13" s="244">
        <v>42.345781352593562</v>
      </c>
      <c r="N13" s="244">
        <v>41.527722162328658</v>
      </c>
      <c r="O13" s="149"/>
      <c r="Q13" s="126"/>
    </row>
    <row r="14" spans="1:17" ht="16" customHeight="1">
      <c r="A14" s="119" t="s">
        <v>94</v>
      </c>
      <c r="B14" s="655">
        <v>37.253693771141307</v>
      </c>
      <c r="C14" s="244">
        <v>35.693155329518966</v>
      </c>
      <c r="D14" s="244">
        <v>34.446718844069835</v>
      </c>
      <c r="E14" s="244">
        <v>36.386576040781648</v>
      </c>
      <c r="F14" s="244">
        <v>35.922597042513871</v>
      </c>
      <c r="G14" s="244">
        <v>35.616731339876743</v>
      </c>
      <c r="H14" s="244">
        <v>36.798018845131672</v>
      </c>
      <c r="I14" s="244">
        <v>38.334694803721355</v>
      </c>
      <c r="J14" s="244">
        <v>39.684148358138437</v>
      </c>
      <c r="K14" s="244">
        <v>40.055515673606124</v>
      </c>
      <c r="L14" s="244">
        <v>39.914964370546322</v>
      </c>
      <c r="M14" s="244">
        <v>37.384225600352501</v>
      </c>
      <c r="N14" s="244">
        <v>37.615631005765536</v>
      </c>
      <c r="O14" s="149"/>
      <c r="Q14" s="126"/>
    </row>
    <row r="15" spans="1:17" ht="16" customHeight="1">
      <c r="A15" s="119" t="s">
        <v>95</v>
      </c>
      <c r="B15" s="655">
        <v>43.543622394025704</v>
      </c>
      <c r="C15" s="244">
        <v>44.426575420587398</v>
      </c>
      <c r="D15" s="244">
        <v>43.61745899360578</v>
      </c>
      <c r="E15" s="244">
        <v>42.215710723192018</v>
      </c>
      <c r="F15" s="244">
        <v>41.50156006240249</v>
      </c>
      <c r="G15" s="244">
        <v>41.940928270042193</v>
      </c>
      <c r="H15" s="244">
        <v>42.382618839311753</v>
      </c>
      <c r="I15" s="244">
        <v>42.88253877082137</v>
      </c>
      <c r="J15" s="244">
        <v>42.96683967704729</v>
      </c>
      <c r="K15" s="244">
        <v>42.772494305239185</v>
      </c>
      <c r="L15" s="244">
        <v>42.666196786016343</v>
      </c>
      <c r="M15" s="244">
        <v>46.766690091356288</v>
      </c>
      <c r="N15" s="244">
        <v>45.865765962083245</v>
      </c>
      <c r="O15" s="149"/>
      <c r="Q15" s="126"/>
    </row>
    <row r="16" spans="1:17" ht="16" customHeight="1">
      <c r="A16" s="119" t="s">
        <v>96</v>
      </c>
      <c r="B16" s="655">
        <v>46.052956023687017</v>
      </c>
      <c r="C16" s="244">
        <v>47.560214375788142</v>
      </c>
      <c r="D16" s="244">
        <v>47.412300683371299</v>
      </c>
      <c r="E16" s="244">
        <v>46.840507173840507</v>
      </c>
      <c r="F16" s="244">
        <v>46.42192318474909</v>
      </c>
      <c r="G16" s="244">
        <v>49.288496972887607</v>
      </c>
      <c r="H16" s="244">
        <v>48.95352521785054</v>
      </c>
      <c r="I16" s="244">
        <v>45.316101238556811</v>
      </c>
      <c r="J16" s="244">
        <v>46.362265312403821</v>
      </c>
      <c r="K16" s="244">
        <v>46.492082461906186</v>
      </c>
      <c r="L16" s="244">
        <v>43.59254913464359</v>
      </c>
      <c r="M16" s="244">
        <v>43.426244075829381</v>
      </c>
      <c r="N16" s="244">
        <v>41.100430802369409</v>
      </c>
      <c r="O16" s="149"/>
      <c r="Q16" s="126"/>
    </row>
    <row r="17" spans="1:17" ht="16" customHeight="1">
      <c r="A17" s="143" t="s">
        <v>27</v>
      </c>
      <c r="B17" s="655">
        <v>52.582077507007156</v>
      </c>
      <c r="C17" s="244">
        <v>53.742538913595951</v>
      </c>
      <c r="D17" s="244">
        <v>53.341656542056064</v>
      </c>
      <c r="E17" s="244">
        <v>52.765183064516123</v>
      </c>
      <c r="F17" s="244">
        <v>52.330435517970415</v>
      </c>
      <c r="G17" s="244">
        <v>52.444059674202137</v>
      </c>
      <c r="H17" s="244">
        <v>52.644865781710912</v>
      </c>
      <c r="I17" s="244">
        <v>52.397693645273478</v>
      </c>
      <c r="J17" s="244">
        <v>52.408993845434736</v>
      </c>
      <c r="K17" s="244">
        <v>53.047780100597294</v>
      </c>
      <c r="L17" s="244">
        <v>52.234744321717471</v>
      </c>
      <c r="M17" s="244">
        <v>51.966412456191577</v>
      </c>
      <c r="N17" s="244">
        <v>51.869669029101843</v>
      </c>
      <c r="O17" s="149"/>
      <c r="Q17" s="126"/>
    </row>
    <row r="18" spans="1:17" ht="16" customHeight="1">
      <c r="A18" s="121" t="s">
        <v>28</v>
      </c>
      <c r="B18" s="655">
        <v>32.379718324124603</v>
      </c>
      <c r="C18" s="244">
        <v>32.441144999999999</v>
      </c>
      <c r="D18" s="244">
        <v>31.415089999999999</v>
      </c>
      <c r="E18" s="244">
        <v>32.231384615384613</v>
      </c>
      <c r="F18" s="244">
        <v>32.332162224291899</v>
      </c>
      <c r="G18" s="244">
        <v>32.12291900000001</v>
      </c>
      <c r="H18" s="244">
        <v>31.833230602940056</v>
      </c>
      <c r="I18" s="244">
        <v>32.833230602940098</v>
      </c>
      <c r="J18" s="244">
        <v>30.9728616024974</v>
      </c>
      <c r="K18" s="244">
        <v>34.403135179153097</v>
      </c>
      <c r="L18" s="244">
        <v>34.029965307892454</v>
      </c>
      <c r="M18" s="244">
        <v>31.460331487341772</v>
      </c>
      <c r="N18" s="244">
        <v>32.515243280027214</v>
      </c>
      <c r="O18" s="149"/>
      <c r="Q18" s="126"/>
    </row>
    <row r="19" spans="1:17" ht="16" customHeight="1">
      <c r="A19" s="121" t="s">
        <v>29</v>
      </c>
      <c r="B19" s="655">
        <v>62.532036004448678</v>
      </c>
      <c r="C19" s="244">
        <v>64.645736146923127</v>
      </c>
      <c r="D19" s="244">
        <v>61.539559021953174</v>
      </c>
      <c r="E19" s="244">
        <v>60.912892879903211</v>
      </c>
      <c r="F19" s="244">
        <v>60.256724221345898</v>
      </c>
      <c r="G19" s="244">
        <v>60.945986234481779</v>
      </c>
      <c r="H19" s="244">
        <v>61.98617210049558</v>
      </c>
      <c r="I19" s="244">
        <v>62.716069060662505</v>
      </c>
      <c r="J19" s="244">
        <v>63.710612959963292</v>
      </c>
      <c r="K19" s="244">
        <v>63.779499953206098</v>
      </c>
      <c r="L19" s="244">
        <v>64.3692845269901</v>
      </c>
      <c r="M19" s="244">
        <v>62.437331224067833</v>
      </c>
      <c r="N19" s="244">
        <v>62.285904943653449</v>
      </c>
      <c r="O19" s="149"/>
      <c r="Q19" s="126"/>
    </row>
    <row r="20" spans="1:17" ht="16" customHeight="1">
      <c r="A20" s="143" t="s">
        <v>30</v>
      </c>
      <c r="B20" s="655">
        <v>42.108399458326446</v>
      </c>
      <c r="C20" s="244">
        <v>41.257900170891482</v>
      </c>
      <c r="D20" s="244">
        <v>41.821110315827141</v>
      </c>
      <c r="E20" s="244">
        <v>43.629477871555189</v>
      </c>
      <c r="F20" s="244">
        <v>40.530980753809139</v>
      </c>
      <c r="G20" s="244">
        <v>41.772422512991831</v>
      </c>
      <c r="H20" s="244">
        <v>40.29939229313495</v>
      </c>
      <c r="I20" s="244">
        <v>44.013016789387734</v>
      </c>
      <c r="J20" s="244">
        <v>43.049478822210077</v>
      </c>
      <c r="K20" s="244">
        <v>41.102341287708242</v>
      </c>
      <c r="L20" s="244">
        <v>40.851452376084353</v>
      </c>
      <c r="M20" s="244">
        <v>41.183219313148477</v>
      </c>
      <c r="N20" s="244">
        <v>44.994027257808092</v>
      </c>
      <c r="O20" s="149"/>
      <c r="Q20" s="126"/>
    </row>
    <row r="21" spans="1:17" ht="16" customHeight="1">
      <c r="A21" s="143" t="s">
        <v>31</v>
      </c>
      <c r="B21" s="655">
        <v>35.757208218462956</v>
      </c>
      <c r="C21" s="244">
        <v>37.93191657866948</v>
      </c>
      <c r="D21" s="244">
        <v>37.396884433102443</v>
      </c>
      <c r="E21" s="244">
        <v>35.825879336888981</v>
      </c>
      <c r="F21" s="244">
        <v>33.215610864684294</v>
      </c>
      <c r="G21" s="244">
        <v>30.978956176500148</v>
      </c>
      <c r="H21" s="244">
        <v>34.066567202906072</v>
      </c>
      <c r="I21" s="244">
        <v>38.749116035856566</v>
      </c>
      <c r="J21" s="244">
        <v>36.943582743930179</v>
      </c>
      <c r="K21" s="244">
        <v>36.061909145188572</v>
      </c>
      <c r="L21" s="244">
        <v>36.400727142857157</v>
      </c>
      <c r="M21" s="244">
        <v>33.430877568493152</v>
      </c>
      <c r="N21" s="244">
        <v>38.498662429120174</v>
      </c>
      <c r="O21" s="149"/>
      <c r="Q21" s="126"/>
    </row>
    <row r="22" spans="1:17" ht="16" customHeight="1">
      <c r="A22" s="143" t="s">
        <v>32</v>
      </c>
      <c r="B22" s="655">
        <v>36.834981327038776</v>
      </c>
      <c r="C22" s="244">
        <v>31.997169094625043</v>
      </c>
      <c r="D22" s="244">
        <v>35.224356127886324</v>
      </c>
      <c r="E22" s="244">
        <v>35.203055461041174</v>
      </c>
      <c r="F22" s="244">
        <v>37.247900000000001</v>
      </c>
      <c r="G22" s="244">
        <v>39.68209597453</v>
      </c>
      <c r="H22" s="244">
        <v>36.509335973904939</v>
      </c>
      <c r="I22" s="244">
        <v>36.974413824260211</v>
      </c>
      <c r="J22" s="244">
        <v>36.443899999999992</v>
      </c>
      <c r="K22" s="244">
        <v>38.253019513008667</v>
      </c>
      <c r="L22" s="244">
        <v>38.836636763090439</v>
      </c>
      <c r="M22" s="244">
        <v>36.181440743609606</v>
      </c>
      <c r="N22" s="244">
        <v>37.473580917874393</v>
      </c>
      <c r="O22" s="149"/>
      <c r="Q22" s="126"/>
    </row>
    <row r="23" spans="1:17" ht="16" customHeight="1">
      <c r="A23" s="143" t="s">
        <v>33</v>
      </c>
      <c r="B23" s="655">
        <v>47.152024326065522</v>
      </c>
      <c r="C23" s="244">
        <v>46.866644204851731</v>
      </c>
      <c r="D23" s="244">
        <v>46.675101982734105</v>
      </c>
      <c r="E23" s="244">
        <v>46.819195586571105</v>
      </c>
      <c r="F23" s="244">
        <v>46.929354354354345</v>
      </c>
      <c r="G23" s="244">
        <v>47.300580391404445</v>
      </c>
      <c r="H23" s="244">
        <v>46.923179948340191</v>
      </c>
      <c r="I23" s="244">
        <v>46.777676204406269</v>
      </c>
      <c r="J23" s="244">
        <v>46.454629033740929</v>
      </c>
      <c r="K23" s="244">
        <v>46.792138810198317</v>
      </c>
      <c r="L23" s="244">
        <v>47.499999999999986</v>
      </c>
      <c r="M23" s="244">
        <v>47.667120343839557</v>
      </c>
      <c r="N23" s="244">
        <v>48.892144791923137</v>
      </c>
      <c r="O23" s="149"/>
      <c r="Q23" s="126"/>
    </row>
    <row r="24" spans="1:17" ht="16" customHeight="1">
      <c r="A24" s="143" t="s">
        <v>34</v>
      </c>
      <c r="B24" s="655">
        <v>37.392300541368179</v>
      </c>
      <c r="C24" s="244">
        <v>39.762191048764194</v>
      </c>
      <c r="D24" s="244">
        <v>39.906000693721822</v>
      </c>
      <c r="E24" s="244">
        <v>39.526491293071508</v>
      </c>
      <c r="F24" s="244">
        <v>39.767723548272173</v>
      </c>
      <c r="G24" s="244">
        <v>38.651765468092002</v>
      </c>
      <c r="H24" s="244">
        <v>38.618345093008344</v>
      </c>
      <c r="I24" s="244">
        <v>35.410529715762273</v>
      </c>
      <c r="J24" s="244">
        <v>34.039973127309374</v>
      </c>
      <c r="K24" s="244">
        <v>34.898916967509024</v>
      </c>
      <c r="L24" s="244">
        <v>35.673864718958399</v>
      </c>
      <c r="M24" s="244">
        <v>35.964140941690054</v>
      </c>
      <c r="N24" s="244">
        <v>37.17094017094017</v>
      </c>
      <c r="O24" s="149"/>
      <c r="Q24" s="126"/>
    </row>
    <row r="25" spans="1:17" ht="16" customHeight="1">
      <c r="A25" s="121" t="s">
        <v>35</v>
      </c>
      <c r="B25" s="655">
        <v>56.1132487166659</v>
      </c>
      <c r="C25" s="244">
        <v>56.179891891891891</v>
      </c>
      <c r="D25" s="244">
        <v>56.10513182163394</v>
      </c>
      <c r="E25" s="244">
        <v>56.090676117775352</v>
      </c>
      <c r="F25" s="244">
        <v>56.153502710747318</v>
      </c>
      <c r="G25" s="244">
        <v>56.158822330888341</v>
      </c>
      <c r="H25" s="244">
        <v>56.127392773057643</v>
      </c>
      <c r="I25" s="244">
        <v>56.13128636987274</v>
      </c>
      <c r="J25" s="244">
        <v>56.079082243617371</v>
      </c>
      <c r="K25" s="244">
        <v>56.110915665005372</v>
      </c>
      <c r="L25" s="244">
        <v>56.087516211153272</v>
      </c>
      <c r="M25" s="244">
        <v>56.074316993786368</v>
      </c>
      <c r="N25" s="244">
        <v>56.070782989249359</v>
      </c>
      <c r="O25" s="149"/>
      <c r="Q25" s="126"/>
    </row>
    <row r="26" spans="1:17" ht="16" customHeight="1">
      <c r="A26" s="143" t="s">
        <v>36</v>
      </c>
      <c r="B26" s="655">
        <v>46.766221664152141</v>
      </c>
      <c r="C26" s="244">
        <v>48.023400000000002</v>
      </c>
      <c r="D26" s="244">
        <v>47.954120000000003</v>
      </c>
      <c r="E26" s="244">
        <v>48.111199999999997</v>
      </c>
      <c r="F26" s="244">
        <v>48.602179999999997</v>
      </c>
      <c r="G26" s="244">
        <v>47.114454240513346</v>
      </c>
      <c r="H26" s="244">
        <v>46.877137265114392</v>
      </c>
      <c r="I26" s="244">
        <v>45.602722052067385</v>
      </c>
      <c r="J26" s="244">
        <v>42.374747882210563</v>
      </c>
      <c r="K26" s="244">
        <v>41.62654235727441</v>
      </c>
      <c r="L26" s="244">
        <v>46.645452488687781</v>
      </c>
      <c r="M26" s="244">
        <v>49.105842506350548</v>
      </c>
      <c r="N26" s="244">
        <v>48.806917394224314</v>
      </c>
      <c r="O26" s="149"/>
      <c r="Q26" s="126"/>
    </row>
    <row r="27" spans="1:17" ht="16" customHeight="1">
      <c r="A27" s="143" t="s">
        <v>37</v>
      </c>
      <c r="B27" s="655">
        <v>44.063114746438274</v>
      </c>
      <c r="C27" s="244">
        <v>44.631792788217368</v>
      </c>
      <c r="D27" s="244">
        <v>42.677857018611938</v>
      </c>
      <c r="E27" s="244">
        <v>42.91985174889976</v>
      </c>
      <c r="F27" s="244">
        <v>43.309217301750778</v>
      </c>
      <c r="G27" s="244">
        <v>44.066300675675677</v>
      </c>
      <c r="H27" s="244">
        <v>44.056324945110624</v>
      </c>
      <c r="I27" s="244">
        <v>44.639616935483879</v>
      </c>
      <c r="J27" s="244">
        <v>45.217158516020234</v>
      </c>
      <c r="K27" s="244">
        <v>43.70676691729323</v>
      </c>
      <c r="L27" s="244">
        <v>44.356444139351282</v>
      </c>
      <c r="M27" s="244">
        <v>42.464889466840056</v>
      </c>
      <c r="N27" s="244">
        <v>46.492903930131007</v>
      </c>
      <c r="O27" s="149"/>
      <c r="Q27" s="126"/>
    </row>
    <row r="28" spans="1:17" ht="16" customHeight="1">
      <c r="A28" s="143" t="s">
        <v>38</v>
      </c>
      <c r="B28" s="655">
        <v>45.512656777794092</v>
      </c>
      <c r="C28" s="244">
        <v>44.782975306163415</v>
      </c>
      <c r="D28" s="244">
        <v>45.272986748216098</v>
      </c>
      <c r="E28" s="244">
        <v>46.752847186809454</v>
      </c>
      <c r="F28" s="244">
        <v>46.035674647217377</v>
      </c>
      <c r="G28" s="244">
        <v>46.534984719317997</v>
      </c>
      <c r="H28" s="244">
        <v>48.854500789612217</v>
      </c>
      <c r="I28" s="244">
        <v>49.466227918254248</v>
      </c>
      <c r="J28" s="244">
        <v>44.815322438938672</v>
      </c>
      <c r="K28" s="244">
        <v>43.144288956127077</v>
      </c>
      <c r="L28" s="244">
        <v>42.697454114860868</v>
      </c>
      <c r="M28" s="244">
        <v>43.350602863602106</v>
      </c>
      <c r="N28" s="244">
        <v>43.822525107604015</v>
      </c>
      <c r="O28" s="149"/>
      <c r="Q28" s="126"/>
    </row>
    <row r="29" spans="1:17" ht="16" customHeight="1">
      <c r="A29" s="121" t="s">
        <v>39</v>
      </c>
      <c r="B29" s="655">
        <v>42.773053017129754</v>
      </c>
      <c r="C29" s="244">
        <v>40.660493827160494</v>
      </c>
      <c r="D29" s="244">
        <v>41.665526950925184</v>
      </c>
      <c r="E29" s="244">
        <v>42.917811158798287</v>
      </c>
      <c r="F29" s="244">
        <v>43.071302428256068</v>
      </c>
      <c r="G29" s="244">
        <v>43.39293989071038</v>
      </c>
      <c r="H29" s="244">
        <v>43.556869881710647</v>
      </c>
      <c r="I29" s="244">
        <v>43.885065381968339</v>
      </c>
      <c r="J29" s="244">
        <v>44.171171171171167</v>
      </c>
      <c r="K29" s="244">
        <v>42.883147665323527</v>
      </c>
      <c r="L29" s="244">
        <v>42.341901728844405</v>
      </c>
      <c r="M29" s="244">
        <v>43.443222567535265</v>
      </c>
      <c r="N29" s="244">
        <v>41.921822649095382</v>
      </c>
      <c r="O29" s="149"/>
      <c r="Q29" s="126"/>
    </row>
    <row r="30" spans="1:17" ht="16" customHeight="1">
      <c r="A30" s="119" t="s">
        <v>97</v>
      </c>
      <c r="B30" s="655">
        <v>40.086461126005361</v>
      </c>
      <c r="C30" s="244">
        <v>38.214321482223333</v>
      </c>
      <c r="D30" s="244">
        <v>39.34383342231714</v>
      </c>
      <c r="E30" s="244">
        <v>39.892029395138501</v>
      </c>
      <c r="F30" s="244">
        <v>40.290971822886718</v>
      </c>
      <c r="G30" s="244">
        <v>40.903335217637085</v>
      </c>
      <c r="H30" s="244">
        <v>41.011124121779858</v>
      </c>
      <c r="I30" s="244">
        <v>40.851916376306619</v>
      </c>
      <c r="J30" s="244">
        <v>39.127369668246445</v>
      </c>
      <c r="K30" s="244">
        <v>40.519230769230766</v>
      </c>
      <c r="L30" s="244">
        <v>39.778432527990574</v>
      </c>
      <c r="M30" s="244">
        <v>41.075448361162643</v>
      </c>
      <c r="N30" s="244">
        <v>40.451974071891577</v>
      </c>
      <c r="O30" s="149"/>
      <c r="Q30" s="126"/>
    </row>
    <row r="31" spans="1:17" ht="16" customHeight="1">
      <c r="A31" s="119" t="s">
        <v>98</v>
      </c>
      <c r="B31" s="655">
        <v>44.464868857401271</v>
      </c>
      <c r="C31" s="244">
        <v>42.19328522121117</v>
      </c>
      <c r="D31" s="244">
        <v>43.068731848983539</v>
      </c>
      <c r="E31" s="244">
        <v>44.769283984780351</v>
      </c>
      <c r="F31" s="244">
        <v>44.803654604084556</v>
      </c>
      <c r="G31" s="244">
        <v>44.962473271560938</v>
      </c>
      <c r="H31" s="244">
        <v>45.174479166666671</v>
      </c>
      <c r="I31" s="244">
        <v>45.865756541524455</v>
      </c>
      <c r="J31" s="244">
        <v>47.690781314592812</v>
      </c>
      <c r="K31" s="244">
        <v>44.344840813195241</v>
      </c>
      <c r="L31" s="244">
        <v>43.95368655057429</v>
      </c>
      <c r="M31" s="244">
        <v>44.93530787217459</v>
      </c>
      <c r="N31" s="244">
        <v>42.819064748201441</v>
      </c>
      <c r="O31" s="149"/>
      <c r="Q31" s="126"/>
    </row>
    <row r="32" spans="1:17" ht="16" customHeight="1">
      <c r="A32" s="143" t="s">
        <v>42</v>
      </c>
      <c r="B32" s="655">
        <v>40.058309604368361</v>
      </c>
      <c r="C32" s="244">
        <v>39.138788814547951</v>
      </c>
      <c r="D32" s="244">
        <v>40.309101507202932</v>
      </c>
      <c r="E32" s="244">
        <v>40.347614805215841</v>
      </c>
      <c r="F32" s="244">
        <v>40.229255774165949</v>
      </c>
      <c r="G32" s="244">
        <v>39.980747192298878</v>
      </c>
      <c r="H32" s="244">
        <v>40.246417013407303</v>
      </c>
      <c r="I32" s="244">
        <v>39.57299515106304</v>
      </c>
      <c r="J32" s="244">
        <v>39.43047956227872</v>
      </c>
      <c r="K32" s="244">
        <v>40.063667303062999</v>
      </c>
      <c r="L32" s="244">
        <v>40.494026704146165</v>
      </c>
      <c r="M32" s="244">
        <v>41.289532693515113</v>
      </c>
      <c r="N32" s="244">
        <v>39.693565189518395</v>
      </c>
      <c r="O32" s="149"/>
      <c r="Q32" s="126"/>
    </row>
    <row r="33" spans="1:17" ht="16" customHeight="1">
      <c r="A33" s="143" t="s">
        <v>43</v>
      </c>
      <c r="B33" s="655">
        <v>34.681493655906912</v>
      </c>
      <c r="C33" s="244">
        <v>33.582599118942738</v>
      </c>
      <c r="D33" s="244">
        <v>34.278846153846153</v>
      </c>
      <c r="E33" s="244">
        <v>34.414758269720103</v>
      </c>
      <c r="F33" s="244">
        <v>35.027795325331653</v>
      </c>
      <c r="G33" s="244">
        <v>35.503285151116955</v>
      </c>
      <c r="H33" s="244">
        <v>35.80468227424749</v>
      </c>
      <c r="I33" s="244">
        <v>35.186397984886653</v>
      </c>
      <c r="J33" s="244">
        <v>34.522324592487593</v>
      </c>
      <c r="K33" s="244">
        <v>34.311688311688314</v>
      </c>
      <c r="L33" s="244">
        <v>33.61036639857015</v>
      </c>
      <c r="M33" s="244">
        <v>34.347299813780261</v>
      </c>
      <c r="N33" s="244">
        <v>34.39979079497909</v>
      </c>
      <c r="O33" s="149"/>
      <c r="Q33" s="126"/>
    </row>
    <row r="34" spans="1:17" ht="16" customHeight="1">
      <c r="A34" s="121" t="s">
        <v>44</v>
      </c>
      <c r="B34" s="655">
        <v>38.924126523764393</v>
      </c>
      <c r="C34" s="244">
        <v>40.798359835100122</v>
      </c>
      <c r="D34" s="244">
        <v>39.53134</v>
      </c>
      <c r="E34" s="244">
        <v>39.542090000000002</v>
      </c>
      <c r="F34" s="244">
        <v>38.4878</v>
      </c>
      <c r="G34" s="244">
        <v>38.4878</v>
      </c>
      <c r="H34" s="244">
        <v>37.4878</v>
      </c>
      <c r="I34" s="244">
        <v>36.4878</v>
      </c>
      <c r="J34" s="244">
        <v>39.561099875544492</v>
      </c>
      <c r="K34" s="244">
        <v>37.947522257250945</v>
      </c>
      <c r="L34" s="244">
        <v>39.592647604901593</v>
      </c>
      <c r="M34" s="244">
        <v>38.939178758876196</v>
      </c>
      <c r="N34" s="244">
        <v>39.762407111466239</v>
      </c>
      <c r="O34" s="149"/>
      <c r="Q34" s="126"/>
    </row>
    <row r="35" spans="1:17" ht="16" customHeight="1">
      <c r="A35" s="121" t="s">
        <v>45</v>
      </c>
      <c r="B35" s="655">
        <v>42.847938741913794</v>
      </c>
      <c r="C35" s="244">
        <v>40.54878334113242</v>
      </c>
      <c r="D35" s="244">
        <v>41.950864070157344</v>
      </c>
      <c r="E35" s="244">
        <v>42.019612970711293</v>
      </c>
      <c r="F35" s="244">
        <v>41.381076647778116</v>
      </c>
      <c r="G35" s="244">
        <v>43.187957875457869</v>
      </c>
      <c r="H35" s="244">
        <v>45.060914855072468</v>
      </c>
      <c r="I35" s="244">
        <v>44.64206106870229</v>
      </c>
      <c r="J35" s="244">
        <v>43.860212569316083</v>
      </c>
      <c r="K35" s="244">
        <v>43.037978468899524</v>
      </c>
      <c r="L35" s="244">
        <v>44.66485507246378</v>
      </c>
      <c r="M35" s="244">
        <v>42.787339971550502</v>
      </c>
      <c r="N35" s="244">
        <v>42.018444119795475</v>
      </c>
      <c r="O35" s="149"/>
      <c r="Q35" s="126"/>
    </row>
    <row r="36" spans="1:17" ht="16" customHeight="1">
      <c r="A36" s="121" t="s">
        <v>46</v>
      </c>
      <c r="B36" s="655">
        <v>40.797808394612908</v>
      </c>
      <c r="C36" s="244">
        <v>45.355366027007811</v>
      </c>
      <c r="D36" s="244">
        <v>45.346494213750852</v>
      </c>
      <c r="E36" s="244">
        <v>49.863813229571988</v>
      </c>
      <c r="F36" s="244">
        <v>46.316644780039397</v>
      </c>
      <c r="G36" s="244">
        <v>46.975887474882789</v>
      </c>
      <c r="H36" s="244">
        <v>45</v>
      </c>
      <c r="I36" s="244">
        <v>43.133333333333333</v>
      </c>
      <c r="J36" s="244">
        <v>40.950452596474513</v>
      </c>
      <c r="K36" s="244">
        <v>40.945369184805806</v>
      </c>
      <c r="L36" s="244">
        <v>41.175422974176314</v>
      </c>
      <c r="M36" s="244">
        <v>38.395270270270274</v>
      </c>
      <c r="N36" s="244">
        <v>28.534257942152678</v>
      </c>
      <c r="O36" s="149"/>
      <c r="Q36" s="126"/>
    </row>
    <row r="37" spans="1:17" ht="16" customHeight="1" thickBot="1">
      <c r="A37" s="145" t="s">
        <v>47</v>
      </c>
      <c r="B37" s="656">
        <v>61.508006709369731</v>
      </c>
      <c r="C37" s="245">
        <v>62.161108333333331</v>
      </c>
      <c r="D37" s="245">
        <v>61.701602959309497</v>
      </c>
      <c r="E37" s="245">
        <v>62.304740099009898</v>
      </c>
      <c r="F37" s="245">
        <v>60.383919642857137</v>
      </c>
      <c r="G37" s="245">
        <v>61.083377378435522</v>
      </c>
      <c r="H37" s="245">
        <v>60.104973005398918</v>
      </c>
      <c r="I37" s="245">
        <v>63.803987897484568</v>
      </c>
      <c r="J37" s="245">
        <v>63.376165303738325</v>
      </c>
      <c r="K37" s="245">
        <v>60.524991577765292</v>
      </c>
      <c r="L37" s="245">
        <v>62.26415476797554</v>
      </c>
      <c r="M37" s="245">
        <v>60.184451219512191</v>
      </c>
      <c r="N37" s="245">
        <v>59.718848684210521</v>
      </c>
      <c r="O37" s="149"/>
      <c r="Q37" s="126"/>
    </row>
    <row r="38" spans="1:17" ht="9" customHeight="1">
      <c r="A38" s="449" t="s">
        <v>330</v>
      </c>
      <c r="B38" s="476"/>
      <c r="C38" s="476"/>
      <c r="D38" s="478"/>
      <c r="E38" s="478"/>
      <c r="F38" s="237"/>
    </row>
    <row r="39" spans="1:17" ht="9" customHeight="1">
      <c r="A39" s="449" t="s">
        <v>304</v>
      </c>
      <c r="B39" s="476"/>
      <c r="C39" s="476"/>
      <c r="D39" s="478"/>
      <c r="E39" s="478"/>
      <c r="F39" s="237"/>
    </row>
    <row r="40" spans="1:17" ht="9" customHeight="1">
      <c r="A40" s="451" t="s">
        <v>303</v>
      </c>
      <c r="B40" s="478"/>
      <c r="C40" s="478"/>
      <c r="D40" s="478"/>
      <c r="E40" s="478"/>
      <c r="F40" s="237"/>
    </row>
    <row r="41" spans="1:17" ht="13.25" customHeight="1">
      <c r="A41" s="11"/>
    </row>
    <row r="42" spans="1:17" ht="13.25" customHeight="1">
      <c r="A42" s="67"/>
    </row>
    <row r="43" spans="1:17" ht="13.25" customHeight="1">
      <c r="A43" s="67"/>
    </row>
    <row r="44" spans="1:17" ht="13.25" customHeight="1">
      <c r="A44" s="22"/>
    </row>
    <row r="45" spans="1:17" ht="13.25" customHeight="1">
      <c r="A45" s="30"/>
    </row>
    <row r="46" spans="1:17" ht="13.25" customHeight="1">
      <c r="A46" s="22"/>
    </row>
    <row r="47" spans="1:17" ht="13.25" customHeight="1">
      <c r="A47" s="67"/>
    </row>
    <row r="48" spans="1:17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Hoja60">
    <tabColor theme="9" tint="0.59999389629810485"/>
  </sheetPr>
  <dimension ref="A4:P54"/>
  <sheetViews>
    <sheetView showGridLines="0" zoomScaleNormal="100" workbookViewId="0">
      <selection activeCell="I14" sqref="I14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579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4" t="s">
        <v>211</v>
      </c>
      <c r="B5" s="227"/>
      <c r="C5" s="845"/>
      <c r="D5" s="845"/>
      <c r="E5" s="845"/>
      <c r="F5" s="845"/>
      <c r="G5" s="845"/>
      <c r="H5" s="845"/>
      <c r="I5" s="845"/>
      <c r="J5" s="845"/>
      <c r="K5" s="845"/>
      <c r="L5" s="845"/>
      <c r="M5" s="845"/>
      <c r="N5" s="845"/>
      <c r="O5" s="842"/>
      <c r="P5" s="842"/>
    </row>
    <row r="6" spans="1:16" ht="6" customHeight="1" thickBot="1"/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  <c r="O7" s="122"/>
    </row>
    <row r="8" spans="1:16" ht="18" customHeight="1">
      <c r="A8" s="647" t="s">
        <v>87</v>
      </c>
      <c r="B8" s="648">
        <f t="shared" ref="B8:B37" si="0">SUM(C8:N8)</f>
        <v>1380599.4568342739</v>
      </c>
      <c r="C8" s="648">
        <f t="shared" ref="C8:N8" si="1">SUM(C9:C13,C17:C29,C32:C37)</f>
        <v>106511</v>
      </c>
      <c r="D8" s="648">
        <f t="shared" si="1"/>
        <v>110151</v>
      </c>
      <c r="E8" s="648">
        <f t="shared" si="1"/>
        <v>110755.83079687419</v>
      </c>
      <c r="F8" s="648">
        <f t="shared" si="1"/>
        <v>118038</v>
      </c>
      <c r="G8" s="648">
        <f t="shared" si="1"/>
        <v>120496.20702453096</v>
      </c>
      <c r="H8" s="648">
        <f t="shared" si="1"/>
        <v>119641.00901286866</v>
      </c>
      <c r="I8" s="648">
        <f t="shared" si="1"/>
        <v>120975</v>
      </c>
      <c r="J8" s="648">
        <f t="shared" si="1"/>
        <v>118367</v>
      </c>
      <c r="K8" s="648">
        <f t="shared" si="1"/>
        <v>116917.41</v>
      </c>
      <c r="L8" s="648">
        <f t="shared" si="1"/>
        <v>110482</v>
      </c>
      <c r="M8" s="648">
        <f t="shared" si="1"/>
        <v>112103</v>
      </c>
      <c r="N8" s="648">
        <f t="shared" si="1"/>
        <v>116162</v>
      </c>
      <c r="O8" s="122"/>
    </row>
    <row r="9" spans="1:16" ht="16" customHeight="1">
      <c r="A9" s="143" t="s">
        <v>19</v>
      </c>
      <c r="B9" s="642">
        <f t="shared" si="0"/>
        <v>3641</v>
      </c>
      <c r="C9" s="238">
        <v>294</v>
      </c>
      <c r="D9" s="238">
        <v>272</v>
      </c>
      <c r="E9" s="238">
        <v>300</v>
      </c>
      <c r="F9" s="238">
        <v>309</v>
      </c>
      <c r="G9" s="238">
        <v>298</v>
      </c>
      <c r="H9" s="238">
        <v>278</v>
      </c>
      <c r="I9" s="238">
        <v>306</v>
      </c>
      <c r="J9" s="238">
        <v>335</v>
      </c>
      <c r="K9" s="238">
        <v>319</v>
      </c>
      <c r="L9" s="238">
        <v>320</v>
      </c>
      <c r="M9" s="238">
        <v>305</v>
      </c>
      <c r="N9" s="238">
        <v>305</v>
      </c>
      <c r="O9" s="149"/>
    </row>
    <row r="10" spans="1:16" ht="16" customHeight="1">
      <c r="A10" s="143" t="s">
        <v>20</v>
      </c>
      <c r="B10" s="642">
        <f t="shared" si="0"/>
        <v>50691</v>
      </c>
      <c r="C10" s="238">
        <v>3697</v>
      </c>
      <c r="D10" s="238">
        <v>4160</v>
      </c>
      <c r="E10" s="238">
        <v>4218</v>
      </c>
      <c r="F10" s="238">
        <v>4220</v>
      </c>
      <c r="G10" s="238">
        <v>4323</v>
      </c>
      <c r="H10" s="238">
        <v>3894</v>
      </c>
      <c r="I10" s="238">
        <v>4129</v>
      </c>
      <c r="J10" s="238">
        <v>4657</v>
      </c>
      <c r="K10" s="238">
        <v>4627</v>
      </c>
      <c r="L10" s="238">
        <v>4188</v>
      </c>
      <c r="M10" s="238">
        <v>4629</v>
      </c>
      <c r="N10" s="238">
        <v>3949</v>
      </c>
      <c r="O10" s="122"/>
    </row>
    <row r="11" spans="1:16" ht="16" customHeight="1">
      <c r="A11" s="143" t="s">
        <v>21</v>
      </c>
      <c r="B11" s="642">
        <f t="shared" si="0"/>
        <v>20276</v>
      </c>
      <c r="C11" s="238">
        <v>1899</v>
      </c>
      <c r="D11" s="238">
        <v>2103</v>
      </c>
      <c r="E11" s="238">
        <v>1819</v>
      </c>
      <c r="F11" s="238">
        <v>1806</v>
      </c>
      <c r="G11" s="238">
        <v>1837</v>
      </c>
      <c r="H11" s="238">
        <v>1807</v>
      </c>
      <c r="I11" s="238">
        <v>1402</v>
      </c>
      <c r="J11" s="238">
        <v>1556</v>
      </c>
      <c r="K11" s="238">
        <v>1530</v>
      </c>
      <c r="L11" s="238">
        <v>1506</v>
      </c>
      <c r="M11" s="238">
        <v>1407</v>
      </c>
      <c r="N11" s="238">
        <v>1604</v>
      </c>
      <c r="O11" s="122"/>
    </row>
    <row r="12" spans="1:16" ht="16" customHeight="1">
      <c r="A12" s="121" t="s">
        <v>22</v>
      </c>
      <c r="B12" s="642">
        <f t="shared" si="0"/>
        <v>64178</v>
      </c>
      <c r="C12" s="238">
        <v>5145</v>
      </c>
      <c r="D12" s="238">
        <v>5145</v>
      </c>
      <c r="E12" s="238">
        <v>5183</v>
      </c>
      <c r="F12" s="238">
        <v>5228</v>
      </c>
      <c r="G12" s="238">
        <v>5188</v>
      </c>
      <c r="H12" s="238">
        <v>5279</v>
      </c>
      <c r="I12" s="238">
        <v>5670</v>
      </c>
      <c r="J12" s="238">
        <v>5862</v>
      </c>
      <c r="K12" s="238">
        <v>5468</v>
      </c>
      <c r="L12" s="238">
        <v>5504</v>
      </c>
      <c r="M12" s="238">
        <v>5290</v>
      </c>
      <c r="N12" s="238">
        <v>5216</v>
      </c>
      <c r="O12" s="122"/>
    </row>
    <row r="13" spans="1:16" ht="16" customHeight="1">
      <c r="A13" s="143" t="s">
        <v>23</v>
      </c>
      <c r="B13" s="642">
        <f t="shared" si="0"/>
        <v>167972</v>
      </c>
      <c r="C13" s="238">
        <v>13968</v>
      </c>
      <c r="D13" s="238">
        <v>14112</v>
      </c>
      <c r="E13" s="238">
        <v>13242</v>
      </c>
      <c r="F13" s="238">
        <v>13714</v>
      </c>
      <c r="G13" s="238">
        <v>14330</v>
      </c>
      <c r="H13" s="238">
        <v>14338</v>
      </c>
      <c r="I13" s="238">
        <v>14131</v>
      </c>
      <c r="J13" s="238">
        <v>14026</v>
      </c>
      <c r="K13" s="238">
        <v>14107</v>
      </c>
      <c r="L13" s="238">
        <v>13667</v>
      </c>
      <c r="M13" s="238">
        <v>14323</v>
      </c>
      <c r="N13" s="238">
        <v>14014</v>
      </c>
      <c r="O13" s="122"/>
    </row>
    <row r="14" spans="1:16" ht="16" customHeight="1">
      <c r="A14" s="119" t="s">
        <v>94</v>
      </c>
      <c r="B14" s="642">
        <f t="shared" si="0"/>
        <v>88293</v>
      </c>
      <c r="C14" s="238">
        <v>7223</v>
      </c>
      <c r="D14" s="238">
        <v>7416</v>
      </c>
      <c r="E14" s="238">
        <v>7116</v>
      </c>
      <c r="F14" s="238">
        <v>7028</v>
      </c>
      <c r="G14" s="238">
        <v>6989</v>
      </c>
      <c r="H14" s="238">
        <v>7083</v>
      </c>
      <c r="I14" s="238">
        <v>7483</v>
      </c>
      <c r="J14" s="238">
        <v>7509</v>
      </c>
      <c r="K14" s="238">
        <v>7586</v>
      </c>
      <c r="L14" s="238">
        <v>7608</v>
      </c>
      <c r="M14" s="238">
        <v>7688</v>
      </c>
      <c r="N14" s="238">
        <v>7564</v>
      </c>
      <c r="O14" s="122"/>
    </row>
    <row r="15" spans="1:16" ht="16" customHeight="1">
      <c r="A15" s="119" t="s">
        <v>95</v>
      </c>
      <c r="B15" s="642">
        <f t="shared" si="0"/>
        <v>50224</v>
      </c>
      <c r="C15" s="238">
        <v>4529</v>
      </c>
      <c r="D15" s="238">
        <v>4507</v>
      </c>
      <c r="E15" s="238">
        <v>4109</v>
      </c>
      <c r="F15" s="238">
        <v>4008</v>
      </c>
      <c r="G15" s="238">
        <v>4094</v>
      </c>
      <c r="H15" s="238">
        <v>4008</v>
      </c>
      <c r="I15" s="238">
        <v>4054</v>
      </c>
      <c r="J15" s="238">
        <v>4260</v>
      </c>
      <c r="K15" s="238">
        <v>4193</v>
      </c>
      <c r="L15" s="238">
        <v>3776</v>
      </c>
      <c r="M15" s="238">
        <v>4517</v>
      </c>
      <c r="N15" s="238">
        <v>4169</v>
      </c>
      <c r="O15" s="122"/>
    </row>
    <row r="16" spans="1:16" ht="16" customHeight="1">
      <c r="A16" s="119" t="s">
        <v>96</v>
      </c>
      <c r="B16" s="642">
        <f t="shared" si="0"/>
        <v>29455</v>
      </c>
      <c r="C16" s="238">
        <v>2216</v>
      </c>
      <c r="D16" s="238">
        <v>2189</v>
      </c>
      <c r="E16" s="238">
        <v>2017</v>
      </c>
      <c r="F16" s="238">
        <v>2678</v>
      </c>
      <c r="G16" s="238">
        <v>3247</v>
      </c>
      <c r="H16" s="238">
        <v>3247</v>
      </c>
      <c r="I16" s="238">
        <v>2594</v>
      </c>
      <c r="J16" s="238">
        <v>2257</v>
      </c>
      <c r="K16" s="238">
        <v>2328</v>
      </c>
      <c r="L16" s="238">
        <v>2283</v>
      </c>
      <c r="M16" s="238">
        <v>2118</v>
      </c>
      <c r="N16" s="238">
        <v>2281</v>
      </c>
      <c r="O16" s="122"/>
    </row>
    <row r="17" spans="1:15" ht="16" customHeight="1">
      <c r="A17" s="143" t="s">
        <v>27</v>
      </c>
      <c r="B17" s="642">
        <f t="shared" si="0"/>
        <v>67815</v>
      </c>
      <c r="C17" s="238">
        <v>5703</v>
      </c>
      <c r="D17" s="238">
        <v>5599</v>
      </c>
      <c r="E17" s="238">
        <v>5373</v>
      </c>
      <c r="F17" s="238">
        <v>5068</v>
      </c>
      <c r="G17" s="238">
        <v>5247</v>
      </c>
      <c r="H17" s="238">
        <v>5334</v>
      </c>
      <c r="I17" s="238">
        <v>5575</v>
      </c>
      <c r="J17" s="238">
        <v>5566</v>
      </c>
      <c r="K17" s="238">
        <v>5659</v>
      </c>
      <c r="L17" s="238">
        <v>5893</v>
      </c>
      <c r="M17" s="238">
        <v>6198</v>
      </c>
      <c r="N17" s="238">
        <v>6600</v>
      </c>
      <c r="O17" s="122"/>
    </row>
    <row r="18" spans="1:15" ht="16" customHeight="1">
      <c r="A18" s="121" t="s">
        <v>28</v>
      </c>
      <c r="B18" s="642">
        <f t="shared" si="0"/>
        <v>60565.646514011831</v>
      </c>
      <c r="C18" s="238">
        <v>5850</v>
      </c>
      <c r="D18" s="238">
        <v>6030</v>
      </c>
      <c r="E18" s="238">
        <v>5225</v>
      </c>
      <c r="F18" s="238">
        <v>5769</v>
      </c>
      <c r="G18" s="238">
        <v>5565.6465140118298</v>
      </c>
      <c r="H18" s="238">
        <v>5340</v>
      </c>
      <c r="I18" s="238">
        <v>4367</v>
      </c>
      <c r="J18" s="238">
        <v>4645</v>
      </c>
      <c r="K18" s="238">
        <v>4612</v>
      </c>
      <c r="L18" s="238">
        <v>4296</v>
      </c>
      <c r="M18" s="238">
        <v>4376</v>
      </c>
      <c r="N18" s="238">
        <v>4490</v>
      </c>
      <c r="O18" s="122"/>
    </row>
    <row r="19" spans="1:15" ht="16" customHeight="1">
      <c r="A19" s="121" t="s">
        <v>29</v>
      </c>
      <c r="B19" s="642">
        <f t="shared" si="0"/>
        <v>123024.41</v>
      </c>
      <c r="C19" s="238">
        <v>9281</v>
      </c>
      <c r="D19" s="238">
        <v>9236</v>
      </c>
      <c r="E19" s="238">
        <v>9340</v>
      </c>
      <c r="F19" s="238">
        <v>9308</v>
      </c>
      <c r="G19" s="238">
        <v>9821</v>
      </c>
      <c r="H19" s="238">
        <v>10032</v>
      </c>
      <c r="I19" s="238">
        <v>10836</v>
      </c>
      <c r="J19" s="238">
        <v>10705</v>
      </c>
      <c r="K19" s="238">
        <v>12174.41</v>
      </c>
      <c r="L19" s="238">
        <v>10069</v>
      </c>
      <c r="M19" s="238">
        <v>10585</v>
      </c>
      <c r="N19" s="238">
        <v>11637</v>
      </c>
      <c r="O19" s="122"/>
    </row>
    <row r="20" spans="1:15" ht="16" customHeight="1">
      <c r="A20" s="143" t="s">
        <v>30</v>
      </c>
      <c r="B20" s="642">
        <f t="shared" si="0"/>
        <v>40371</v>
      </c>
      <c r="C20" s="238">
        <v>3351</v>
      </c>
      <c r="D20" s="238">
        <v>2953</v>
      </c>
      <c r="E20" s="238">
        <v>3173</v>
      </c>
      <c r="F20" s="238">
        <v>3037</v>
      </c>
      <c r="G20" s="238">
        <v>3139</v>
      </c>
      <c r="H20" s="238">
        <v>3184</v>
      </c>
      <c r="I20" s="238">
        <v>3276</v>
      </c>
      <c r="J20" s="238">
        <v>3559</v>
      </c>
      <c r="K20" s="238">
        <v>3455</v>
      </c>
      <c r="L20" s="238">
        <v>3747</v>
      </c>
      <c r="M20" s="238">
        <v>3748</v>
      </c>
      <c r="N20" s="238">
        <v>3749</v>
      </c>
      <c r="O20" s="122"/>
    </row>
    <row r="21" spans="1:15" ht="16" customHeight="1">
      <c r="A21" s="143" t="s">
        <v>31</v>
      </c>
      <c r="B21" s="642">
        <f t="shared" si="0"/>
        <v>173113</v>
      </c>
      <c r="C21" s="238">
        <v>12737</v>
      </c>
      <c r="D21" s="238">
        <v>14050</v>
      </c>
      <c r="E21" s="238">
        <v>13817</v>
      </c>
      <c r="F21" s="238">
        <v>15426</v>
      </c>
      <c r="G21" s="238">
        <v>15252</v>
      </c>
      <c r="H21" s="238">
        <v>14113</v>
      </c>
      <c r="I21" s="238">
        <v>15050</v>
      </c>
      <c r="J21" s="238">
        <v>14050</v>
      </c>
      <c r="K21" s="238">
        <v>14837</v>
      </c>
      <c r="L21" s="238">
        <v>14056</v>
      </c>
      <c r="M21" s="238">
        <v>14561</v>
      </c>
      <c r="N21" s="238">
        <v>15164</v>
      </c>
      <c r="O21" s="122"/>
    </row>
    <row r="22" spans="1:15" ht="16" customHeight="1">
      <c r="A22" s="143" t="s">
        <v>32</v>
      </c>
      <c r="B22" s="642">
        <f t="shared" si="0"/>
        <v>24126</v>
      </c>
      <c r="C22" s="238">
        <v>1375</v>
      </c>
      <c r="D22" s="238">
        <v>1374</v>
      </c>
      <c r="E22" s="238">
        <v>1744</v>
      </c>
      <c r="F22" s="238">
        <v>2094</v>
      </c>
      <c r="G22" s="238">
        <v>2234</v>
      </c>
      <c r="H22" s="238">
        <v>2563</v>
      </c>
      <c r="I22" s="238">
        <v>2881</v>
      </c>
      <c r="J22" s="238">
        <v>2314</v>
      </c>
      <c r="K22" s="238">
        <v>1497</v>
      </c>
      <c r="L22" s="238">
        <v>1464</v>
      </c>
      <c r="M22" s="238">
        <v>1925</v>
      </c>
      <c r="N22" s="238">
        <v>2661</v>
      </c>
      <c r="O22" s="122"/>
    </row>
    <row r="23" spans="1:15" ht="16" customHeight="1">
      <c r="A23" s="143" t="s">
        <v>33</v>
      </c>
      <c r="B23" s="642">
        <f t="shared" si="0"/>
        <v>59597</v>
      </c>
      <c r="C23" s="238">
        <v>5100</v>
      </c>
      <c r="D23" s="238">
        <v>4805</v>
      </c>
      <c r="E23" s="238">
        <v>4952</v>
      </c>
      <c r="F23" s="238">
        <v>4761</v>
      </c>
      <c r="G23" s="238">
        <v>4851</v>
      </c>
      <c r="H23" s="238">
        <v>4832</v>
      </c>
      <c r="I23" s="238">
        <v>5136</v>
      </c>
      <c r="J23" s="238">
        <v>5109</v>
      </c>
      <c r="K23" s="238">
        <v>4918</v>
      </c>
      <c r="L23" s="238">
        <v>5021</v>
      </c>
      <c r="M23" s="238">
        <v>4845</v>
      </c>
      <c r="N23" s="238">
        <v>5267</v>
      </c>
      <c r="O23" s="122"/>
    </row>
    <row r="24" spans="1:15" ht="16" customHeight="1">
      <c r="A24" s="143" t="s">
        <v>34</v>
      </c>
      <c r="B24" s="642">
        <f t="shared" si="0"/>
        <v>22400</v>
      </c>
      <c r="C24" s="238">
        <v>1804</v>
      </c>
      <c r="D24" s="238">
        <v>1873</v>
      </c>
      <c r="E24" s="238">
        <v>1799</v>
      </c>
      <c r="F24" s="238">
        <v>1781</v>
      </c>
      <c r="G24" s="238">
        <v>2007</v>
      </c>
      <c r="H24" s="238">
        <v>1883</v>
      </c>
      <c r="I24" s="238">
        <v>1990</v>
      </c>
      <c r="J24" s="238">
        <v>1809</v>
      </c>
      <c r="K24" s="238">
        <v>1769</v>
      </c>
      <c r="L24" s="238">
        <v>1873</v>
      </c>
      <c r="M24" s="238">
        <v>1795</v>
      </c>
      <c r="N24" s="238">
        <v>2017</v>
      </c>
      <c r="O24" s="122"/>
    </row>
    <row r="25" spans="1:15" ht="16" customHeight="1">
      <c r="A25" s="121" t="s">
        <v>35</v>
      </c>
      <c r="B25" s="642">
        <f t="shared" si="0"/>
        <v>31523</v>
      </c>
      <c r="C25" s="238">
        <v>2766</v>
      </c>
      <c r="D25" s="238">
        <v>2726</v>
      </c>
      <c r="E25" s="238">
        <v>2578</v>
      </c>
      <c r="F25" s="238">
        <v>2551</v>
      </c>
      <c r="G25" s="238">
        <v>2622</v>
      </c>
      <c r="H25" s="238">
        <v>2563</v>
      </c>
      <c r="I25" s="238">
        <v>2647</v>
      </c>
      <c r="J25" s="238">
        <v>2558</v>
      </c>
      <c r="K25" s="238">
        <v>2564</v>
      </c>
      <c r="L25" s="238">
        <v>2601</v>
      </c>
      <c r="M25" s="238">
        <v>2522</v>
      </c>
      <c r="N25" s="238">
        <v>2825</v>
      </c>
      <c r="O25" s="122"/>
    </row>
    <row r="26" spans="1:15" ht="16" customHeight="1">
      <c r="A26" s="143" t="s">
        <v>36</v>
      </c>
      <c r="B26" s="642">
        <f t="shared" si="0"/>
        <v>3936.4856583772989</v>
      </c>
      <c r="C26" s="238">
        <v>326</v>
      </c>
      <c r="D26" s="238">
        <v>295</v>
      </c>
      <c r="E26" s="238">
        <v>312.47664550864368</v>
      </c>
      <c r="F26" s="238">
        <v>255</v>
      </c>
      <c r="G26" s="238">
        <v>265</v>
      </c>
      <c r="H26" s="238">
        <v>311.00901286865513</v>
      </c>
      <c r="I26" s="238">
        <v>316</v>
      </c>
      <c r="J26" s="238">
        <v>305</v>
      </c>
      <c r="K26" s="238">
        <v>360</v>
      </c>
      <c r="L26" s="238">
        <v>385</v>
      </c>
      <c r="M26" s="238">
        <v>392</v>
      </c>
      <c r="N26" s="238">
        <v>414</v>
      </c>
      <c r="O26" s="122"/>
    </row>
    <row r="27" spans="1:15" ht="16" customHeight="1">
      <c r="A27" s="143" t="s">
        <v>37</v>
      </c>
      <c r="B27" s="642">
        <f t="shared" si="0"/>
        <v>5500</v>
      </c>
      <c r="C27" s="238">
        <v>385</v>
      </c>
      <c r="D27" s="238">
        <v>428</v>
      </c>
      <c r="E27" s="238">
        <v>435</v>
      </c>
      <c r="F27" s="238">
        <v>450</v>
      </c>
      <c r="G27" s="238">
        <v>449</v>
      </c>
      <c r="H27" s="238">
        <v>461</v>
      </c>
      <c r="I27" s="238">
        <v>478</v>
      </c>
      <c r="J27" s="238">
        <v>470</v>
      </c>
      <c r="K27" s="238">
        <v>471</v>
      </c>
      <c r="L27" s="238">
        <v>461</v>
      </c>
      <c r="M27" s="238">
        <v>502</v>
      </c>
      <c r="N27" s="238">
        <v>510</v>
      </c>
      <c r="O27" s="122"/>
    </row>
    <row r="28" spans="1:15" ht="16" customHeight="1">
      <c r="A28" s="143" t="s">
        <v>38</v>
      </c>
      <c r="B28" s="642">
        <f t="shared" si="0"/>
        <v>97622</v>
      </c>
      <c r="C28" s="238">
        <v>7409</v>
      </c>
      <c r="D28" s="238">
        <v>7199</v>
      </c>
      <c r="E28" s="238">
        <v>8522</v>
      </c>
      <c r="F28" s="238">
        <v>8991</v>
      </c>
      <c r="G28" s="238">
        <v>8714</v>
      </c>
      <c r="H28" s="238">
        <v>8207</v>
      </c>
      <c r="I28" s="238">
        <v>9437</v>
      </c>
      <c r="J28" s="238">
        <v>8764</v>
      </c>
      <c r="K28" s="238">
        <v>7372</v>
      </c>
      <c r="L28" s="238">
        <v>6924</v>
      </c>
      <c r="M28" s="238">
        <v>7113</v>
      </c>
      <c r="N28" s="238">
        <v>8970</v>
      </c>
      <c r="O28" s="122"/>
    </row>
    <row r="29" spans="1:15" ht="16" customHeight="1">
      <c r="A29" s="143" t="s">
        <v>39</v>
      </c>
      <c r="B29" s="642">
        <f t="shared" si="0"/>
        <v>34254</v>
      </c>
      <c r="C29" s="238">
        <v>3189</v>
      </c>
      <c r="D29" s="238">
        <v>3026</v>
      </c>
      <c r="E29" s="238">
        <v>3043</v>
      </c>
      <c r="F29" s="238">
        <v>2982</v>
      </c>
      <c r="G29" s="238">
        <v>2931</v>
      </c>
      <c r="H29" s="238">
        <v>2907</v>
      </c>
      <c r="I29" s="238">
        <v>2921</v>
      </c>
      <c r="J29" s="238">
        <v>2782</v>
      </c>
      <c r="K29" s="238">
        <v>2685</v>
      </c>
      <c r="L29" s="238">
        <v>2622</v>
      </c>
      <c r="M29" s="238">
        <v>2562</v>
      </c>
      <c r="N29" s="238">
        <v>2604</v>
      </c>
      <c r="O29" s="122"/>
    </row>
    <row r="30" spans="1:15" ht="16" customHeight="1">
      <c r="A30" s="119" t="s">
        <v>97</v>
      </c>
      <c r="B30" s="642">
        <f t="shared" si="0"/>
        <v>16965</v>
      </c>
      <c r="C30" s="238">
        <v>1583</v>
      </c>
      <c r="D30" s="238">
        <v>1529</v>
      </c>
      <c r="E30" s="238">
        <v>1506</v>
      </c>
      <c r="F30" s="238">
        <v>1481</v>
      </c>
      <c r="G30" s="238">
        <v>1392</v>
      </c>
      <c r="H30" s="238">
        <v>1408</v>
      </c>
      <c r="I30" s="238">
        <v>1439</v>
      </c>
      <c r="J30" s="238">
        <v>1394</v>
      </c>
      <c r="K30" s="238">
        <v>1347</v>
      </c>
      <c r="L30" s="238">
        <v>1302</v>
      </c>
      <c r="M30" s="238">
        <v>1274</v>
      </c>
      <c r="N30" s="238">
        <v>1310</v>
      </c>
      <c r="O30" s="122"/>
    </row>
    <row r="31" spans="1:15" ht="16" customHeight="1">
      <c r="A31" s="119" t="s">
        <v>98</v>
      </c>
      <c r="B31" s="642">
        <f t="shared" si="0"/>
        <v>17289</v>
      </c>
      <c r="C31" s="238">
        <v>1606</v>
      </c>
      <c r="D31" s="238">
        <v>1497</v>
      </c>
      <c r="E31" s="238">
        <v>1537</v>
      </c>
      <c r="F31" s="238">
        <v>1501</v>
      </c>
      <c r="G31" s="238">
        <v>1539</v>
      </c>
      <c r="H31" s="238">
        <v>1499</v>
      </c>
      <c r="I31" s="238">
        <v>1482</v>
      </c>
      <c r="J31" s="238">
        <v>1388</v>
      </c>
      <c r="K31" s="238">
        <v>1338</v>
      </c>
      <c r="L31" s="238">
        <v>1320</v>
      </c>
      <c r="M31" s="238">
        <v>1288</v>
      </c>
      <c r="N31" s="238">
        <v>1294</v>
      </c>
      <c r="O31" s="122"/>
    </row>
    <row r="32" spans="1:15" ht="16" customHeight="1">
      <c r="A32" s="143" t="s">
        <v>42</v>
      </c>
      <c r="B32" s="642">
        <f t="shared" si="0"/>
        <v>77528</v>
      </c>
      <c r="C32" s="238">
        <v>5247</v>
      </c>
      <c r="D32" s="238">
        <v>6076</v>
      </c>
      <c r="E32" s="238">
        <v>6391</v>
      </c>
      <c r="F32" s="238">
        <v>6983</v>
      </c>
      <c r="G32" s="238">
        <v>7531</v>
      </c>
      <c r="H32" s="238">
        <v>7988</v>
      </c>
      <c r="I32" s="238">
        <v>7816</v>
      </c>
      <c r="J32" s="238">
        <v>7094</v>
      </c>
      <c r="K32" s="238">
        <v>6470</v>
      </c>
      <c r="L32" s="238">
        <v>5876</v>
      </c>
      <c r="M32" s="238">
        <v>5187</v>
      </c>
      <c r="N32" s="238">
        <v>4869</v>
      </c>
      <c r="O32" s="122"/>
    </row>
    <row r="33" spans="1:15" ht="16" customHeight="1">
      <c r="A33" s="143" t="s">
        <v>43</v>
      </c>
      <c r="B33" s="642">
        <f t="shared" si="0"/>
        <v>155930</v>
      </c>
      <c r="C33" s="238">
        <v>9220</v>
      </c>
      <c r="D33" s="238">
        <v>10910</v>
      </c>
      <c r="E33" s="238">
        <v>11470</v>
      </c>
      <c r="F33" s="238">
        <v>15555</v>
      </c>
      <c r="G33" s="238">
        <v>16630</v>
      </c>
      <c r="H33" s="238">
        <v>16835</v>
      </c>
      <c r="I33" s="238">
        <v>14950</v>
      </c>
      <c r="J33" s="238">
        <v>14100</v>
      </c>
      <c r="K33" s="238">
        <v>13180</v>
      </c>
      <c r="L33" s="238">
        <v>11530</v>
      </c>
      <c r="M33" s="238">
        <v>11300</v>
      </c>
      <c r="N33" s="238">
        <v>10250</v>
      </c>
      <c r="O33" s="122"/>
    </row>
    <row r="34" spans="1:15" ht="16" customHeight="1">
      <c r="A34" s="121" t="s">
        <v>44</v>
      </c>
      <c r="B34" s="642">
        <f t="shared" si="0"/>
        <v>49925.91466188465</v>
      </c>
      <c r="C34" s="238">
        <v>4280</v>
      </c>
      <c r="D34" s="238">
        <v>4350</v>
      </c>
      <c r="E34" s="238">
        <v>4149.3541513655337</v>
      </c>
      <c r="F34" s="238">
        <v>4248</v>
      </c>
      <c r="G34" s="238">
        <v>3668.5605105191171</v>
      </c>
      <c r="H34" s="238">
        <v>4078</v>
      </c>
      <c r="I34" s="238">
        <v>3907</v>
      </c>
      <c r="J34" s="238">
        <v>3907</v>
      </c>
      <c r="K34" s="238">
        <v>4300</v>
      </c>
      <c r="L34" s="238">
        <v>3996</v>
      </c>
      <c r="M34" s="238">
        <v>4512</v>
      </c>
      <c r="N34" s="238">
        <v>4530</v>
      </c>
      <c r="O34" s="122"/>
    </row>
    <row r="35" spans="1:15" ht="16" customHeight="1">
      <c r="A35" s="121" t="s">
        <v>45</v>
      </c>
      <c r="B35" s="642">
        <f t="shared" si="0"/>
        <v>10706</v>
      </c>
      <c r="C35" s="238">
        <v>939</v>
      </c>
      <c r="D35" s="238">
        <v>828</v>
      </c>
      <c r="E35" s="238">
        <v>837</v>
      </c>
      <c r="F35" s="238">
        <v>810</v>
      </c>
      <c r="G35" s="238">
        <v>868</v>
      </c>
      <c r="H35" s="238">
        <v>834</v>
      </c>
      <c r="I35" s="238">
        <v>900</v>
      </c>
      <c r="J35" s="238">
        <v>916</v>
      </c>
      <c r="K35" s="238">
        <v>873</v>
      </c>
      <c r="L35" s="238">
        <v>946</v>
      </c>
      <c r="M35" s="238">
        <v>971</v>
      </c>
      <c r="N35" s="238">
        <v>984</v>
      </c>
      <c r="O35" s="122"/>
    </row>
    <row r="36" spans="1:15" ht="16" customHeight="1">
      <c r="A36" s="121" t="s">
        <v>46</v>
      </c>
      <c r="B36" s="642">
        <f t="shared" si="0"/>
        <v>21848</v>
      </c>
      <c r="C36" s="238">
        <v>1485</v>
      </c>
      <c r="D36" s="238">
        <v>1529</v>
      </c>
      <c r="E36" s="238">
        <v>1728</v>
      </c>
      <c r="F36" s="238">
        <v>1669</v>
      </c>
      <c r="G36" s="238">
        <v>1577</v>
      </c>
      <c r="H36" s="238">
        <v>1456</v>
      </c>
      <c r="I36" s="238">
        <v>1608</v>
      </c>
      <c r="J36" s="238">
        <v>1948</v>
      </c>
      <c r="K36" s="238">
        <v>2258</v>
      </c>
      <c r="L36" s="238">
        <v>2089</v>
      </c>
      <c r="M36" s="238">
        <v>2052</v>
      </c>
      <c r="N36" s="238">
        <v>2449</v>
      </c>
      <c r="O36" s="122"/>
    </row>
    <row r="37" spans="1:15" ht="16" customHeight="1" thickBot="1">
      <c r="A37" s="145" t="s">
        <v>47</v>
      </c>
      <c r="B37" s="643">
        <f t="shared" si="0"/>
        <v>14056</v>
      </c>
      <c r="C37" s="239">
        <v>1061</v>
      </c>
      <c r="D37" s="239">
        <v>1072</v>
      </c>
      <c r="E37" s="239">
        <v>1105</v>
      </c>
      <c r="F37" s="239">
        <v>1023</v>
      </c>
      <c r="G37" s="239">
        <v>1148</v>
      </c>
      <c r="H37" s="239">
        <v>1124</v>
      </c>
      <c r="I37" s="239">
        <v>1246</v>
      </c>
      <c r="J37" s="239">
        <v>1330</v>
      </c>
      <c r="K37" s="239">
        <v>1412</v>
      </c>
      <c r="L37" s="239">
        <v>1448</v>
      </c>
      <c r="M37" s="239">
        <v>1003</v>
      </c>
      <c r="N37" s="239">
        <v>1084</v>
      </c>
      <c r="O37" s="122"/>
    </row>
    <row r="38" spans="1:15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5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5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5" ht="13.25" customHeight="1">
      <c r="A41" s="11"/>
    </row>
    <row r="42" spans="1:15" ht="13.25" customHeight="1">
      <c r="A42" s="67"/>
    </row>
    <row r="43" spans="1:15" ht="13.25" customHeight="1">
      <c r="A43" s="67"/>
    </row>
    <row r="44" spans="1:15" ht="13.25" customHeight="1">
      <c r="A44" s="22"/>
    </row>
    <row r="45" spans="1:15" ht="13.25" customHeight="1">
      <c r="A45" s="30"/>
    </row>
    <row r="46" spans="1:15" ht="13.25" customHeight="1">
      <c r="A46" s="22"/>
    </row>
    <row r="47" spans="1:15" ht="13.25" customHeight="1">
      <c r="A47" s="67"/>
    </row>
    <row r="48" spans="1:15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Hoja61">
    <tabColor theme="9" tint="0.59999389629810485"/>
  </sheetPr>
  <dimension ref="A4:Z54"/>
  <sheetViews>
    <sheetView showGridLines="0" zoomScaleNormal="100" workbookViewId="0">
      <selection activeCell="C11" sqref="C11"/>
    </sheetView>
  </sheetViews>
  <sheetFormatPr baseColWidth="10" defaultColWidth="7" defaultRowHeight="13.25" customHeight="1"/>
  <cols>
    <col min="1" max="1" width="12" style="121" customWidth="1"/>
    <col min="2" max="2" width="12" style="126" customWidth="1"/>
    <col min="3" max="14" width="9.19921875" style="126" customWidth="1"/>
    <col min="15" max="21" width="8" style="121" customWidth="1"/>
    <col min="22" max="16384" width="7" style="121"/>
  </cols>
  <sheetData>
    <row r="4" spans="1:26" ht="13" customHeight="1">
      <c r="A4" s="229" t="s">
        <v>580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26" ht="12" customHeight="1">
      <c r="A5" s="234" t="s">
        <v>210</v>
      </c>
      <c r="B5" s="227"/>
      <c r="C5" s="845"/>
      <c r="D5" s="845"/>
      <c r="E5" s="845"/>
      <c r="F5" s="845"/>
      <c r="G5" s="845"/>
      <c r="H5" s="845"/>
      <c r="I5" s="845"/>
      <c r="J5" s="845"/>
      <c r="K5" s="845"/>
      <c r="L5" s="845"/>
      <c r="M5" s="845"/>
      <c r="N5" s="845"/>
      <c r="O5" s="842"/>
      <c r="P5" s="842"/>
    </row>
    <row r="6" spans="1:26" ht="6" customHeight="1" thickBot="1"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26" ht="18" customHeight="1">
      <c r="A7" s="738" t="s">
        <v>16</v>
      </c>
      <c r="B7" s="742" t="s">
        <v>103</v>
      </c>
      <c r="C7" s="743" t="s">
        <v>53</v>
      </c>
      <c r="D7" s="743" t="s">
        <v>54</v>
      </c>
      <c r="E7" s="743" t="s">
        <v>55</v>
      </c>
      <c r="F7" s="743" t="s">
        <v>56</v>
      </c>
      <c r="G7" s="743" t="s">
        <v>57</v>
      </c>
      <c r="H7" s="743" t="s">
        <v>58</v>
      </c>
      <c r="I7" s="743" t="s">
        <v>59</v>
      </c>
      <c r="J7" s="743" t="s">
        <v>60</v>
      </c>
      <c r="K7" s="743" t="s">
        <v>61</v>
      </c>
      <c r="L7" s="743" t="s">
        <v>62</v>
      </c>
      <c r="M7" s="743" t="s">
        <v>63</v>
      </c>
      <c r="N7" s="743" t="s">
        <v>64</v>
      </c>
      <c r="O7" s="122"/>
      <c r="P7" s="122"/>
      <c r="Q7" s="122"/>
      <c r="R7" s="120"/>
      <c r="S7" s="122"/>
    </row>
    <row r="8" spans="1:26" ht="18" customHeight="1">
      <c r="A8" s="647" t="s">
        <v>87</v>
      </c>
      <c r="B8" s="648">
        <f t="shared" ref="B8:B37" si="0">SUM(C8:N8)</f>
        <v>203990.58498943603</v>
      </c>
      <c r="C8" s="648">
        <f t="shared" ref="C8:N8" si="1">SUM(C9:C13,C17:C29,C32:C37)</f>
        <v>15737.672869916236</v>
      </c>
      <c r="D8" s="648">
        <f t="shared" si="1"/>
        <v>16190.589701399998</v>
      </c>
      <c r="E8" s="648">
        <f t="shared" si="1"/>
        <v>16431.510506500003</v>
      </c>
      <c r="F8" s="648">
        <f t="shared" si="1"/>
        <v>17309.869231732559</v>
      </c>
      <c r="G8" s="648">
        <f t="shared" si="1"/>
        <v>17798.301723572025</v>
      </c>
      <c r="H8" s="648">
        <f t="shared" si="1"/>
        <v>17784.018169030758</v>
      </c>
      <c r="I8" s="648">
        <f t="shared" si="1"/>
        <v>17931.81302539782</v>
      </c>
      <c r="J8" s="648">
        <f t="shared" si="1"/>
        <v>17540.970899845921</v>
      </c>
      <c r="K8" s="648">
        <f t="shared" si="1"/>
        <v>17094.198691219997</v>
      </c>
      <c r="L8" s="648">
        <f t="shared" si="1"/>
        <v>16285.688734405838</v>
      </c>
      <c r="M8" s="648">
        <f t="shared" si="1"/>
        <v>16679.165915167578</v>
      </c>
      <c r="N8" s="648">
        <f t="shared" si="1"/>
        <v>17206.785521247308</v>
      </c>
      <c r="O8" s="122"/>
      <c r="P8" s="122"/>
      <c r="Q8" s="122"/>
      <c r="R8" s="120"/>
      <c r="S8" s="122"/>
    </row>
    <row r="9" spans="1:26" ht="16" customHeight="1">
      <c r="A9" s="143" t="s">
        <v>19</v>
      </c>
      <c r="B9" s="642">
        <f t="shared" si="0"/>
        <v>509.09321999999992</v>
      </c>
      <c r="C9" s="238">
        <v>39.3108</v>
      </c>
      <c r="D9" s="238">
        <v>40.65822</v>
      </c>
      <c r="E9" s="238">
        <v>37.882800000000003</v>
      </c>
      <c r="F9" s="238">
        <v>42.819599999999994</v>
      </c>
      <c r="G9" s="238">
        <v>43.584599999999995</v>
      </c>
      <c r="H9" s="238">
        <v>41.830199999999998</v>
      </c>
      <c r="I9" s="238">
        <v>38.775300000000001</v>
      </c>
      <c r="J9" s="238">
        <v>43.074599999999997</v>
      </c>
      <c r="K9" s="238">
        <v>47.858400000000003</v>
      </c>
      <c r="L9" s="238">
        <v>45.206400000000002</v>
      </c>
      <c r="M9" s="238">
        <v>45.2166</v>
      </c>
      <c r="N9" s="238">
        <v>42.875699999999995</v>
      </c>
      <c r="O9" s="149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spans="1:26" ht="16" customHeight="1">
      <c r="A10" s="143" t="s">
        <v>20</v>
      </c>
      <c r="B10" s="642">
        <f t="shared" si="0"/>
        <v>7470.1779329620822</v>
      </c>
      <c r="C10" s="238">
        <v>540.38699999999994</v>
      </c>
      <c r="D10" s="238">
        <v>603.572</v>
      </c>
      <c r="E10" s="238">
        <v>618.40899999999999</v>
      </c>
      <c r="F10" s="238">
        <v>630.41715615755356</v>
      </c>
      <c r="G10" s="238">
        <v>645.38806675288731</v>
      </c>
      <c r="H10" s="238">
        <v>579.06899999999996</v>
      </c>
      <c r="I10" s="238">
        <v>600.80684408987997</v>
      </c>
      <c r="J10" s="238">
        <v>687.20510848592221</v>
      </c>
      <c r="K10" s="238">
        <v>665.64800000000002</v>
      </c>
      <c r="L10" s="238">
        <v>625.90375747583903</v>
      </c>
      <c r="M10" s="238">
        <v>689.42700000000002</v>
      </c>
      <c r="N10" s="238">
        <v>583.94500000000005</v>
      </c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spans="1:26" ht="16" customHeight="1">
      <c r="A11" s="143" t="s">
        <v>21</v>
      </c>
      <c r="B11" s="642">
        <f t="shared" si="0"/>
        <v>2885.0078000000008</v>
      </c>
      <c r="C11" s="238">
        <v>267.64699999999999</v>
      </c>
      <c r="D11" s="238">
        <v>293.36099999999999</v>
      </c>
      <c r="E11" s="238">
        <v>255.36699999999999</v>
      </c>
      <c r="F11" s="238">
        <v>253.209</v>
      </c>
      <c r="G11" s="238">
        <v>258.80599999999998</v>
      </c>
      <c r="H11" s="238">
        <v>255.441</v>
      </c>
      <c r="I11" s="238">
        <v>201.4871</v>
      </c>
      <c r="J11" s="238">
        <v>225.46899999999999</v>
      </c>
      <c r="K11" s="238">
        <v>222.16069999999999</v>
      </c>
      <c r="L11" s="238">
        <v>220.304</v>
      </c>
      <c r="M11" s="238">
        <v>202.40899999999999</v>
      </c>
      <c r="N11" s="238">
        <v>229.34700000000001</v>
      </c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spans="1:26" ht="16" customHeight="1">
      <c r="A12" s="121" t="s">
        <v>22</v>
      </c>
      <c r="B12" s="642">
        <f t="shared" si="0"/>
        <v>9279.8281802999991</v>
      </c>
      <c r="C12" s="238">
        <v>756.72403109999993</v>
      </c>
      <c r="D12" s="238">
        <v>747.42505320000021</v>
      </c>
      <c r="E12" s="238">
        <v>748.8725862</v>
      </c>
      <c r="F12" s="238">
        <v>752.85694079999996</v>
      </c>
      <c r="G12" s="238">
        <v>733.02024090000009</v>
      </c>
      <c r="H12" s="238">
        <v>749.68373610000015</v>
      </c>
      <c r="I12" s="238">
        <v>818.4441240000001</v>
      </c>
      <c r="J12" s="238">
        <v>844.75890000000004</v>
      </c>
      <c r="K12" s="238">
        <v>779.89981320000004</v>
      </c>
      <c r="L12" s="238">
        <v>807.9814791</v>
      </c>
      <c r="M12" s="238">
        <v>769.76847450000002</v>
      </c>
      <c r="N12" s="238">
        <v>770.39280120000012</v>
      </c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1:26" ht="16" customHeight="1">
      <c r="A13" s="143" t="s">
        <v>23</v>
      </c>
      <c r="B13" s="642">
        <f t="shared" si="0"/>
        <v>22242.532000000003</v>
      </c>
      <c r="C13" s="238">
        <v>1793.105</v>
      </c>
      <c r="D13" s="238">
        <v>1816.894</v>
      </c>
      <c r="E13" s="238">
        <v>1692.289</v>
      </c>
      <c r="F13" s="238">
        <v>1798.8419999999999</v>
      </c>
      <c r="G13" s="238">
        <v>1891.1589999999999</v>
      </c>
      <c r="H13" s="238">
        <v>1922.94</v>
      </c>
      <c r="I13" s="238">
        <v>1873.6989999999998</v>
      </c>
      <c r="J13" s="238">
        <v>1885.7370000000001</v>
      </c>
      <c r="K13" s="238">
        <v>1897.06</v>
      </c>
      <c r="L13" s="238">
        <v>1849.5509999999999</v>
      </c>
      <c r="M13" s="238">
        <v>1944.374</v>
      </c>
      <c r="N13" s="238">
        <v>1876.8820000000001</v>
      </c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6" customHeight="1">
      <c r="A14" s="119" t="s">
        <v>94</v>
      </c>
      <c r="B14" s="642">
        <f t="shared" si="0"/>
        <v>11077.328</v>
      </c>
      <c r="C14" s="238">
        <v>868.36400000000003</v>
      </c>
      <c r="D14" s="238">
        <v>897.14499999999998</v>
      </c>
      <c r="E14" s="238">
        <v>860.32899999999995</v>
      </c>
      <c r="F14" s="238">
        <v>871.02499999999998</v>
      </c>
      <c r="G14" s="238">
        <v>870.46500000000003</v>
      </c>
      <c r="H14" s="238">
        <v>894.10900000000004</v>
      </c>
      <c r="I14" s="238">
        <v>945.04399999999998</v>
      </c>
      <c r="J14" s="238">
        <v>970.31899999999996</v>
      </c>
      <c r="K14" s="238">
        <v>972.53399999999999</v>
      </c>
      <c r="L14" s="238">
        <v>980.33699999999999</v>
      </c>
      <c r="M14" s="238">
        <v>987.31600000000003</v>
      </c>
      <c r="N14" s="238">
        <v>960.34100000000001</v>
      </c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16" customHeight="1">
      <c r="A15" s="119" t="s">
        <v>95</v>
      </c>
      <c r="B15" s="642">
        <f t="shared" si="0"/>
        <v>6620.5409999999993</v>
      </c>
      <c r="C15" s="238">
        <v>582.34699999999998</v>
      </c>
      <c r="D15" s="238">
        <v>582.06899999999996</v>
      </c>
      <c r="E15" s="238">
        <v>521.67999999999995</v>
      </c>
      <c r="F15" s="238">
        <v>512.34699999999998</v>
      </c>
      <c r="G15" s="238">
        <v>522.34500000000003</v>
      </c>
      <c r="H15" s="238">
        <v>521.41700000000003</v>
      </c>
      <c r="I15" s="238">
        <v>524.31700000000001</v>
      </c>
      <c r="J15" s="238">
        <v>570.34400000000005</v>
      </c>
      <c r="K15" s="238">
        <v>569.33399999999995</v>
      </c>
      <c r="L15" s="238">
        <v>513.60699999999997</v>
      </c>
      <c r="M15" s="238">
        <v>630.38699999999994</v>
      </c>
      <c r="N15" s="238">
        <v>570.34699999999998</v>
      </c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16" customHeight="1">
      <c r="A16" s="119" t="s">
        <v>96</v>
      </c>
      <c r="B16" s="642">
        <f t="shared" si="0"/>
        <v>4544.6630000000005</v>
      </c>
      <c r="C16" s="238">
        <v>342.39400000000001</v>
      </c>
      <c r="D16" s="238">
        <v>337.68</v>
      </c>
      <c r="E16" s="238">
        <v>310.27999999999997</v>
      </c>
      <c r="F16" s="238">
        <v>415.47</v>
      </c>
      <c r="G16" s="238">
        <v>498.34899999999999</v>
      </c>
      <c r="H16" s="238">
        <v>507.41399999999999</v>
      </c>
      <c r="I16" s="238">
        <v>404.33800000000002</v>
      </c>
      <c r="J16" s="238">
        <v>345.07400000000001</v>
      </c>
      <c r="K16" s="238">
        <v>355.19200000000001</v>
      </c>
      <c r="L16" s="238">
        <v>355.60700000000003</v>
      </c>
      <c r="M16" s="238">
        <v>326.67099999999999</v>
      </c>
      <c r="N16" s="238">
        <v>346.19400000000002</v>
      </c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 ht="16" customHeight="1">
      <c r="A17" s="143" t="s">
        <v>27</v>
      </c>
      <c r="B17" s="642">
        <f t="shared" si="0"/>
        <v>9911.2898731200003</v>
      </c>
      <c r="C17" s="238">
        <v>844.94938499999978</v>
      </c>
      <c r="D17" s="238">
        <v>839.39646420000008</v>
      </c>
      <c r="E17" s="238">
        <v>791.50393500000052</v>
      </c>
      <c r="F17" s="238">
        <v>741.93030605999968</v>
      </c>
      <c r="G17" s="238">
        <v>776.2242202499998</v>
      </c>
      <c r="H17" s="238">
        <v>785.42462025000009</v>
      </c>
      <c r="I17" s="238">
        <v>808.88382311999942</v>
      </c>
      <c r="J17" s="238">
        <v>805.38522516</v>
      </c>
      <c r="K17" s="238">
        <v>818.14006302000007</v>
      </c>
      <c r="L17" s="238">
        <v>851.7096456300003</v>
      </c>
      <c r="M17" s="238">
        <v>892.58243436000043</v>
      </c>
      <c r="N17" s="238">
        <v>955.15975106999997</v>
      </c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1:26" ht="16" customHeight="1">
      <c r="A18" s="121" t="s">
        <v>28</v>
      </c>
      <c r="B18" s="642">
        <f t="shared" si="0"/>
        <v>8473.2292698528909</v>
      </c>
      <c r="C18" s="238">
        <v>818.87065488189</v>
      </c>
      <c r="D18" s="238">
        <v>869.39816399999995</v>
      </c>
      <c r="E18" s="238">
        <v>743.82500000000005</v>
      </c>
      <c r="F18" s="238">
        <v>810.11234100000001</v>
      </c>
      <c r="G18" s="238">
        <v>781.78911234099996</v>
      </c>
      <c r="H18" s="238">
        <v>731.02212383000006</v>
      </c>
      <c r="I18" s="238">
        <v>602.18299999999999</v>
      </c>
      <c r="J18" s="238">
        <v>645.83993299999997</v>
      </c>
      <c r="K18" s="238">
        <v>651.24329999999998</v>
      </c>
      <c r="L18" s="238">
        <v>608.74040000000002</v>
      </c>
      <c r="M18" s="238">
        <v>602.94920000000002</v>
      </c>
      <c r="N18" s="238">
        <v>607.25604080000005</v>
      </c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16" customHeight="1">
      <c r="A19" s="121" t="s">
        <v>29</v>
      </c>
      <c r="B19" s="642">
        <f t="shared" si="0"/>
        <v>23835.6579471</v>
      </c>
      <c r="C19" s="238">
        <v>1843.937946</v>
      </c>
      <c r="D19" s="238">
        <v>1899.116325</v>
      </c>
      <c r="E19" s="238">
        <v>1829.5382490000002</v>
      </c>
      <c r="F19" s="238">
        <v>1845.0211859999999</v>
      </c>
      <c r="G19" s="238">
        <v>1958.3656260000002</v>
      </c>
      <c r="H19" s="238">
        <v>1971.6141</v>
      </c>
      <c r="I19" s="238">
        <v>2091.3080399999999</v>
      </c>
      <c r="J19" s="238">
        <v>2083.0738860000001</v>
      </c>
      <c r="K19" s="238">
        <v>2062.8038391</v>
      </c>
      <c r="L19" s="238">
        <v>1922.4985499999998</v>
      </c>
      <c r="M19" s="238">
        <v>2069.2092299999999</v>
      </c>
      <c r="N19" s="238">
        <v>2259.1709700000001</v>
      </c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1:26" ht="16" customHeight="1">
      <c r="A20" s="143" t="s">
        <v>30</v>
      </c>
      <c r="B20" s="642">
        <f t="shared" si="0"/>
        <v>5289.4903303848805</v>
      </c>
      <c r="C20" s="238">
        <v>478.16641199999998</v>
      </c>
      <c r="D20" s="238">
        <v>369.381168</v>
      </c>
      <c r="E20" s="238">
        <v>418.11676800000015</v>
      </c>
      <c r="F20" s="238">
        <v>387.52900799999998</v>
      </c>
      <c r="G20" s="238">
        <v>403.81310400000012</v>
      </c>
      <c r="H20" s="238">
        <v>402.86358599999994</v>
      </c>
      <c r="I20" s="238">
        <v>414.30502799999999</v>
      </c>
      <c r="J20" s="238">
        <v>466.62592800000004</v>
      </c>
      <c r="K20" s="238">
        <v>446.0428379999999</v>
      </c>
      <c r="L20" s="238">
        <v>500.33947800000004</v>
      </c>
      <c r="M20" s="238">
        <v>500.84430830757793</v>
      </c>
      <c r="N20" s="238">
        <v>501.4627040773031</v>
      </c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 ht="16" customHeight="1">
      <c r="A21" s="143" t="s">
        <v>31</v>
      </c>
      <c r="B21" s="642">
        <f t="shared" si="0"/>
        <v>28592.894945400003</v>
      </c>
      <c r="C21" s="238">
        <v>2177.2369899999999</v>
      </c>
      <c r="D21" s="238">
        <v>2298.6709799999999</v>
      </c>
      <c r="E21" s="238">
        <v>2348.1083400000007</v>
      </c>
      <c r="F21" s="238">
        <v>2495.4351152999998</v>
      </c>
      <c r="G21" s="238">
        <v>2453.2133952999998</v>
      </c>
      <c r="H21" s="238">
        <v>2312.8263200000001</v>
      </c>
      <c r="I21" s="238">
        <v>2508.8631153000001</v>
      </c>
      <c r="J21" s="238">
        <v>2298.8631153000001</v>
      </c>
      <c r="K21" s="238">
        <v>2445.8207836000001</v>
      </c>
      <c r="L21" s="238">
        <v>2281.3677852999999</v>
      </c>
      <c r="M21" s="238">
        <v>2432.3637053000002</v>
      </c>
      <c r="N21" s="238">
        <v>2540.1253000000002</v>
      </c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 ht="16" customHeight="1">
      <c r="A22" s="143" t="s">
        <v>32</v>
      </c>
      <c r="B22" s="642">
        <f t="shared" si="0"/>
        <v>3880.3428140624897</v>
      </c>
      <c r="C22" s="238">
        <v>212.89809303434799</v>
      </c>
      <c r="D22" s="238">
        <v>218.97133400000001</v>
      </c>
      <c r="E22" s="238">
        <v>294.87521190000001</v>
      </c>
      <c r="F22" s="238">
        <v>335.10500400000001</v>
      </c>
      <c r="G22" s="238">
        <v>377.79846842814197</v>
      </c>
      <c r="H22" s="238">
        <v>418.26098450000001</v>
      </c>
      <c r="I22" s="238">
        <v>462.4320348</v>
      </c>
      <c r="J22" s="238">
        <v>372.48365440000003</v>
      </c>
      <c r="K22" s="238">
        <v>238.22225539999999</v>
      </c>
      <c r="L22" s="238">
        <v>233.7447233</v>
      </c>
      <c r="M22" s="238">
        <v>306.21120000000002</v>
      </c>
      <c r="N22" s="238">
        <v>409.33985030000002</v>
      </c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ht="16" customHeight="1">
      <c r="A23" s="143" t="s">
        <v>33</v>
      </c>
      <c r="B23" s="642">
        <f t="shared" si="0"/>
        <v>7703.6593400000002</v>
      </c>
      <c r="C23" s="238">
        <v>670.66632000000016</v>
      </c>
      <c r="D23" s="238">
        <v>634.45581000000016</v>
      </c>
      <c r="E23" s="238">
        <v>672.32331000000022</v>
      </c>
      <c r="F23" s="238">
        <v>505.86079999999987</v>
      </c>
      <c r="G23" s="238">
        <v>532.91760000000011</v>
      </c>
      <c r="H23" s="238">
        <v>635.24631000000034</v>
      </c>
      <c r="I23" s="238">
        <v>675.37974000000031</v>
      </c>
      <c r="J23" s="238">
        <v>675.42717000000027</v>
      </c>
      <c r="K23" s="238">
        <v>653.82765000000006</v>
      </c>
      <c r="L23" s="238">
        <v>676.53590999999983</v>
      </c>
      <c r="M23" s="238">
        <v>656.89733999999987</v>
      </c>
      <c r="N23" s="238">
        <v>714.12138000000004</v>
      </c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16" customHeight="1">
      <c r="A24" s="143" t="s">
        <v>34</v>
      </c>
      <c r="B24" s="642">
        <f t="shared" si="0"/>
        <v>2773.3397999999997</v>
      </c>
      <c r="C24" s="238">
        <v>229.34700000000001</v>
      </c>
      <c r="D24" s="238">
        <v>240.65799999999999</v>
      </c>
      <c r="E24" s="238">
        <v>214.09800000000001</v>
      </c>
      <c r="F24" s="238">
        <v>220.28</v>
      </c>
      <c r="G24" s="238">
        <v>241.3458</v>
      </c>
      <c r="H24" s="238">
        <v>240.30500000000001</v>
      </c>
      <c r="I24" s="238">
        <v>241.637</v>
      </c>
      <c r="J24" s="238">
        <v>220.04300000000001</v>
      </c>
      <c r="K24" s="238">
        <v>217.30799999999999</v>
      </c>
      <c r="L24" s="238">
        <v>215.667</v>
      </c>
      <c r="M24" s="238">
        <v>232.33699999999999</v>
      </c>
      <c r="N24" s="238">
        <v>260.31400000000002</v>
      </c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 ht="16" customHeight="1">
      <c r="A25" s="121" t="s">
        <v>35</v>
      </c>
      <c r="B25" s="642">
        <f t="shared" si="0"/>
        <v>5264.2673999999997</v>
      </c>
      <c r="C25" s="238">
        <v>478.12020000000007</v>
      </c>
      <c r="D25" s="238">
        <v>440.17499999999995</v>
      </c>
      <c r="E25" s="238">
        <v>422.80200000000002</v>
      </c>
      <c r="F25" s="238">
        <v>422.90600000000001</v>
      </c>
      <c r="G25" s="238">
        <v>438.67500000000007</v>
      </c>
      <c r="H25" s="238">
        <v>428.154</v>
      </c>
      <c r="I25" s="238">
        <v>443.30099999999993</v>
      </c>
      <c r="J25" s="238">
        <v>427.09199999999998</v>
      </c>
      <c r="K25" s="238">
        <v>429.15899999999999</v>
      </c>
      <c r="L25" s="238">
        <v>436.46199999999999</v>
      </c>
      <c r="M25" s="238">
        <v>421.13400000000001</v>
      </c>
      <c r="N25" s="238">
        <v>476.28719999999998</v>
      </c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6" customHeight="1">
      <c r="A26" s="143" t="s">
        <v>36</v>
      </c>
      <c r="B26" s="642">
        <f t="shared" si="0"/>
        <v>751.67763371499996</v>
      </c>
      <c r="C26" s="238">
        <v>65.855292599999999</v>
      </c>
      <c r="D26" s="238">
        <v>57.856225999999999</v>
      </c>
      <c r="E26" s="238">
        <v>62.012344200000001</v>
      </c>
      <c r="F26" s="238">
        <v>50.585934314999996</v>
      </c>
      <c r="G26" s="238">
        <v>52.4202783</v>
      </c>
      <c r="H26" s="238">
        <v>57.4202783</v>
      </c>
      <c r="I26" s="238">
        <v>58.712260000000001</v>
      </c>
      <c r="J26" s="238">
        <v>58.120800000000003</v>
      </c>
      <c r="K26" s="238">
        <v>70.421260000000004</v>
      </c>
      <c r="L26" s="238">
        <v>71.514480000000006</v>
      </c>
      <c r="M26" s="238">
        <v>71.424480000000003</v>
      </c>
      <c r="N26" s="238">
        <v>75.334000000000003</v>
      </c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ht="16" customHeight="1">
      <c r="A27" s="143" t="s">
        <v>37</v>
      </c>
      <c r="B27" s="642">
        <f t="shared" si="0"/>
        <v>1039.8313400000002</v>
      </c>
      <c r="C27" s="238">
        <v>74.327400000000011</v>
      </c>
      <c r="D27" s="238">
        <v>82.023810000000012</v>
      </c>
      <c r="E27" s="238">
        <v>83.808300000000003</v>
      </c>
      <c r="F27" s="238">
        <v>83.267700000000005</v>
      </c>
      <c r="G27" s="238">
        <v>84.813000000000002</v>
      </c>
      <c r="H27" s="238">
        <v>87.924509999999998</v>
      </c>
      <c r="I27" s="238">
        <v>90.448499999999996</v>
      </c>
      <c r="J27" s="238">
        <v>89.3673</v>
      </c>
      <c r="K27" s="238">
        <v>90.382199999999997</v>
      </c>
      <c r="L27" s="238">
        <v>88.173899999999989</v>
      </c>
      <c r="M27" s="238">
        <v>90.245000000000005</v>
      </c>
      <c r="N27" s="238">
        <v>95.049720000000008</v>
      </c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 ht="16" customHeight="1">
      <c r="A28" s="143" t="s">
        <v>38</v>
      </c>
      <c r="B28" s="642">
        <f t="shared" si="0"/>
        <v>12554.988000000003</v>
      </c>
      <c r="C28" s="238">
        <v>949.34699999999998</v>
      </c>
      <c r="D28" s="238">
        <v>925.077</v>
      </c>
      <c r="E28" s="238">
        <v>1126.028</v>
      </c>
      <c r="F28" s="238">
        <v>1178.4190000000001</v>
      </c>
      <c r="G28" s="238">
        <v>1150.3910000000001</v>
      </c>
      <c r="H28" s="238">
        <v>1060.4069999999999</v>
      </c>
      <c r="I28" s="238">
        <v>1206.857</v>
      </c>
      <c r="J28" s="238">
        <v>1122.5070000000001</v>
      </c>
      <c r="K28" s="238">
        <v>948.07299999999998</v>
      </c>
      <c r="L28" s="238">
        <v>886.12900000000002</v>
      </c>
      <c r="M28" s="238">
        <v>895.33100000000002</v>
      </c>
      <c r="N28" s="238">
        <v>1106.422</v>
      </c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1:26" ht="16" customHeight="1">
      <c r="A29" s="143" t="s">
        <v>39</v>
      </c>
      <c r="B29" s="642">
        <f t="shared" si="0"/>
        <v>3960.4089999999992</v>
      </c>
      <c r="C29" s="238">
        <v>364.70600000000002</v>
      </c>
      <c r="D29" s="238">
        <v>348.11599999999999</v>
      </c>
      <c r="E29" s="238">
        <v>344.286</v>
      </c>
      <c r="F29" s="238">
        <v>340.262</v>
      </c>
      <c r="G29" s="238">
        <v>338.4</v>
      </c>
      <c r="H29" s="238">
        <v>334.673</v>
      </c>
      <c r="I29" s="238">
        <v>335.49699999999996</v>
      </c>
      <c r="J29" s="238">
        <v>318.68399999999997</v>
      </c>
      <c r="K29" s="238">
        <v>313.57500000000005</v>
      </c>
      <c r="L29" s="238">
        <v>310.85199999999998</v>
      </c>
      <c r="M29" s="238">
        <v>303.673</v>
      </c>
      <c r="N29" s="238">
        <v>307.685</v>
      </c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1:26" ht="16" customHeight="1">
      <c r="A30" s="119" t="s">
        <v>97</v>
      </c>
      <c r="B30" s="642">
        <f t="shared" si="0"/>
        <v>1997.575</v>
      </c>
      <c r="C30" s="238">
        <v>184.358</v>
      </c>
      <c r="D30" s="238">
        <v>176.64699999999999</v>
      </c>
      <c r="E30" s="238">
        <v>174.63900000000001</v>
      </c>
      <c r="F30" s="238">
        <v>172.02199999999999</v>
      </c>
      <c r="G30" s="238">
        <v>168.078</v>
      </c>
      <c r="H30" s="238">
        <v>166.04400000000001</v>
      </c>
      <c r="I30" s="238">
        <v>167.08799999999999</v>
      </c>
      <c r="J30" s="238">
        <v>162.30699999999999</v>
      </c>
      <c r="K30" s="238">
        <v>159.34700000000001</v>
      </c>
      <c r="L30" s="238">
        <v>157.37</v>
      </c>
      <c r="M30" s="238">
        <v>153.33699999999999</v>
      </c>
      <c r="N30" s="238">
        <v>156.33799999999999</v>
      </c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16" customHeight="1">
      <c r="A31" s="119" t="s">
        <v>98</v>
      </c>
      <c r="B31" s="642">
        <f t="shared" si="0"/>
        <v>1962.8339999999998</v>
      </c>
      <c r="C31" s="238">
        <v>180.34800000000001</v>
      </c>
      <c r="D31" s="238">
        <v>171.46899999999999</v>
      </c>
      <c r="E31" s="238">
        <v>169.64699999999999</v>
      </c>
      <c r="F31" s="238">
        <v>168.24</v>
      </c>
      <c r="G31" s="238">
        <v>170.322</v>
      </c>
      <c r="H31" s="238">
        <v>168.62899999999999</v>
      </c>
      <c r="I31" s="238">
        <v>168.40899999999999</v>
      </c>
      <c r="J31" s="238">
        <v>156.37700000000001</v>
      </c>
      <c r="K31" s="238">
        <v>154.22800000000001</v>
      </c>
      <c r="L31" s="238">
        <v>153.482</v>
      </c>
      <c r="M31" s="238">
        <v>150.33600000000001</v>
      </c>
      <c r="N31" s="238">
        <v>151.34700000000001</v>
      </c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1:26" ht="16" customHeight="1">
      <c r="A32" s="143" t="s">
        <v>42</v>
      </c>
      <c r="B32" s="642">
        <f t="shared" si="0"/>
        <v>12046.272999999997</v>
      </c>
      <c r="C32" s="238">
        <v>805.34699999999998</v>
      </c>
      <c r="D32" s="238">
        <v>901.28700000000003</v>
      </c>
      <c r="E32" s="238">
        <v>995.34699999999998</v>
      </c>
      <c r="F32" s="238">
        <v>1108.309</v>
      </c>
      <c r="G32" s="238">
        <v>1210.4169999999999</v>
      </c>
      <c r="H32" s="238">
        <v>1285.5070000000001</v>
      </c>
      <c r="I32" s="238">
        <v>1240.0840000000001</v>
      </c>
      <c r="J32" s="238">
        <v>1112.309</v>
      </c>
      <c r="K32" s="238">
        <v>998.40899999999999</v>
      </c>
      <c r="L32" s="238">
        <v>886.31700000000001</v>
      </c>
      <c r="M32" s="238">
        <v>787.63099999999997</v>
      </c>
      <c r="N32" s="238">
        <v>715.30899999999997</v>
      </c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spans="1:26" ht="16" customHeight="1">
      <c r="A33" s="143" t="s">
        <v>43</v>
      </c>
      <c r="B33" s="642">
        <f t="shared" si="0"/>
        <v>22913.39</v>
      </c>
      <c r="C33" s="238">
        <v>1317.0100000000002</v>
      </c>
      <c r="D33" s="238">
        <v>1577.95</v>
      </c>
      <c r="E33" s="238">
        <v>1696.0650000000003</v>
      </c>
      <c r="F33" s="238">
        <v>2313.13</v>
      </c>
      <c r="G33" s="238">
        <v>2478.5049999999997</v>
      </c>
      <c r="H33" s="238">
        <v>2509.9300000000003</v>
      </c>
      <c r="I33" s="238">
        <v>2208.9599999999996</v>
      </c>
      <c r="J33" s="238">
        <v>2076.79</v>
      </c>
      <c r="K33" s="238">
        <v>1926.1599999999999</v>
      </c>
      <c r="L33" s="238">
        <v>1672.0799999999997</v>
      </c>
      <c r="M33" s="238">
        <v>1641.4799999999996</v>
      </c>
      <c r="N33" s="238">
        <v>1495.3300000000002</v>
      </c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spans="1:26" ht="16" customHeight="1">
      <c r="A34" s="121" t="s">
        <v>44</v>
      </c>
      <c r="B34" s="642">
        <f t="shared" si="0"/>
        <v>5891.6084936386997</v>
      </c>
      <c r="C34" s="238">
        <v>501.66851560000003</v>
      </c>
      <c r="D34" s="238">
        <v>487.21449999999999</v>
      </c>
      <c r="E34" s="238">
        <v>498.40539999999999</v>
      </c>
      <c r="F34" s="238">
        <v>470.12243410000002</v>
      </c>
      <c r="G34" s="238">
        <v>437.10246000000001</v>
      </c>
      <c r="H34" s="238">
        <v>489.96444695075996</v>
      </c>
      <c r="I34" s="238">
        <v>469.41910108793996</v>
      </c>
      <c r="J34" s="238">
        <v>481.51508940000002</v>
      </c>
      <c r="K34" s="238">
        <v>524.1028</v>
      </c>
      <c r="L34" s="238">
        <v>444.12045999999998</v>
      </c>
      <c r="M34" s="238">
        <v>542.54240000000004</v>
      </c>
      <c r="N34" s="238">
        <v>545.43088650000004</v>
      </c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spans="1:26" ht="16" customHeight="1">
      <c r="A35" s="121" t="s">
        <v>45</v>
      </c>
      <c r="B35" s="642">
        <f t="shared" si="0"/>
        <v>1610.6162100000004</v>
      </c>
      <c r="C35" s="238">
        <v>146.15733000000003</v>
      </c>
      <c r="D35" s="238">
        <v>124.93164</v>
      </c>
      <c r="E35" s="238">
        <v>124.30077000000001</v>
      </c>
      <c r="F35" s="238">
        <v>126.26172</v>
      </c>
      <c r="G35" s="238">
        <v>128.89535999999998</v>
      </c>
      <c r="H35" s="238">
        <v>120.28095000000002</v>
      </c>
      <c r="I35" s="238">
        <v>131.02001999999999</v>
      </c>
      <c r="J35" s="238">
        <v>133.24719000000002</v>
      </c>
      <c r="K35" s="238">
        <v>130.77572999999998</v>
      </c>
      <c r="L35" s="238">
        <v>144.52329</v>
      </c>
      <c r="M35" s="238">
        <v>152.23449000000005</v>
      </c>
      <c r="N35" s="238">
        <v>147.98772</v>
      </c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spans="1:26" ht="16" customHeight="1">
      <c r="A36" s="121" t="s">
        <v>46</v>
      </c>
      <c r="B36" s="642">
        <f t="shared" si="0"/>
        <v>2817.8300299999996</v>
      </c>
      <c r="C36" s="238">
        <v>190.4375</v>
      </c>
      <c r="D36" s="238">
        <v>199.47</v>
      </c>
      <c r="E36" s="238">
        <v>230.54652999999999</v>
      </c>
      <c r="F36" s="238">
        <v>224.79750000000001</v>
      </c>
      <c r="G36" s="238">
        <v>195.8175</v>
      </c>
      <c r="H36" s="238">
        <v>180.39</v>
      </c>
      <c r="I36" s="238">
        <v>210.27</v>
      </c>
      <c r="J36" s="238">
        <v>250.87</v>
      </c>
      <c r="K36" s="238">
        <v>289.29500000000002</v>
      </c>
      <c r="L36" s="238">
        <v>268.34750000000003</v>
      </c>
      <c r="M36" s="238">
        <v>265.34100000000001</v>
      </c>
      <c r="N36" s="238">
        <v>312.2475</v>
      </c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spans="1:26" ht="16" customHeight="1" thickBot="1">
      <c r="A37" s="145" t="s">
        <v>47</v>
      </c>
      <c r="B37" s="643">
        <f t="shared" si="0"/>
        <v>2293.1504289000004</v>
      </c>
      <c r="C37" s="239">
        <v>171.44999970000003</v>
      </c>
      <c r="D37" s="239">
        <v>174.53000699999998</v>
      </c>
      <c r="E37" s="239">
        <v>182.69996220000002</v>
      </c>
      <c r="F37" s="239">
        <v>172.38948600000001</v>
      </c>
      <c r="G37" s="239">
        <v>185.43989130000003</v>
      </c>
      <c r="H37" s="239">
        <v>182.84000310000002</v>
      </c>
      <c r="I37" s="239">
        <v>199.039995</v>
      </c>
      <c r="J37" s="239">
        <v>216.48200010000002</v>
      </c>
      <c r="K37" s="239">
        <v>227.81005889999997</v>
      </c>
      <c r="L37" s="239">
        <v>237.6189756</v>
      </c>
      <c r="M37" s="239">
        <v>163.54005269999999</v>
      </c>
      <c r="N37" s="239">
        <v>179.30999730000002</v>
      </c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spans="1:26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26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26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26" ht="13.25" customHeight="1">
      <c r="A41" s="11"/>
    </row>
    <row r="42" spans="1:26" ht="13.25" customHeight="1">
      <c r="A42" s="67"/>
    </row>
    <row r="43" spans="1:26" ht="13.25" customHeight="1">
      <c r="A43" s="67"/>
    </row>
    <row r="44" spans="1:26" ht="13.25" customHeight="1">
      <c r="A44" s="22"/>
    </row>
    <row r="45" spans="1:26" ht="13.25" customHeight="1">
      <c r="A45" s="30"/>
    </row>
    <row r="46" spans="1:26" ht="13.25" customHeight="1">
      <c r="A46" s="22"/>
    </row>
    <row r="47" spans="1:26" ht="13.25" customHeight="1">
      <c r="A47" s="67"/>
    </row>
    <row r="48" spans="1:26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Hoja62">
    <tabColor theme="9" tint="0.59999389629810485"/>
  </sheetPr>
  <dimension ref="A4:AF54"/>
  <sheetViews>
    <sheetView showGridLines="0" zoomScaleNormal="100" workbookViewId="0">
      <selection activeCell="D23" sqref="D23"/>
    </sheetView>
  </sheetViews>
  <sheetFormatPr baseColWidth="10" defaultColWidth="7" defaultRowHeight="13.25" customHeight="1"/>
  <cols>
    <col min="1" max="1" width="12" style="121" customWidth="1"/>
    <col min="2" max="2" width="12" style="126" customWidth="1"/>
    <col min="3" max="14" width="9.19921875" style="126" customWidth="1"/>
    <col min="15" max="21" width="8" style="121" customWidth="1"/>
    <col min="22" max="16384" width="7" style="121"/>
  </cols>
  <sheetData>
    <row r="4" spans="1:32" ht="13" customHeight="1">
      <c r="A4" s="229" t="s">
        <v>581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32" ht="12" customHeight="1">
      <c r="A5" s="232" t="s">
        <v>382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32" ht="6" customHeight="1" thickBot="1"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32" ht="18" customHeight="1">
      <c r="A7" s="738" t="s">
        <v>16</v>
      </c>
      <c r="B7" s="742" t="s">
        <v>103</v>
      </c>
      <c r="C7" s="743" t="s">
        <v>53</v>
      </c>
      <c r="D7" s="743" t="s">
        <v>54</v>
      </c>
      <c r="E7" s="743" t="s">
        <v>55</v>
      </c>
      <c r="F7" s="743" t="s">
        <v>56</v>
      </c>
      <c r="G7" s="743" t="s">
        <v>57</v>
      </c>
      <c r="H7" s="743" t="s">
        <v>58</v>
      </c>
      <c r="I7" s="743" t="s">
        <v>59</v>
      </c>
      <c r="J7" s="743" t="s">
        <v>60</v>
      </c>
      <c r="K7" s="743" t="s">
        <v>61</v>
      </c>
      <c r="L7" s="743" t="s">
        <v>62</v>
      </c>
      <c r="M7" s="743" t="s">
        <v>63</v>
      </c>
      <c r="N7" s="743" t="s">
        <v>64</v>
      </c>
      <c r="P7" s="143"/>
      <c r="Q7" s="120"/>
      <c r="R7" s="120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0"/>
      <c r="AF7" s="122"/>
    </row>
    <row r="8" spans="1:32" ht="18" customHeight="1">
      <c r="A8" s="647" t="s">
        <v>87</v>
      </c>
      <c r="B8" s="654">
        <v>147.75508130155879</v>
      </c>
      <c r="C8" s="654">
        <v>147.75631502770827</v>
      </c>
      <c r="D8" s="654">
        <v>146.98540822507283</v>
      </c>
      <c r="E8" s="654">
        <v>148.35797256250405</v>
      </c>
      <c r="F8" s="654">
        <v>146.64658187814567</v>
      </c>
      <c r="G8" s="654">
        <v>147.70839815686975</v>
      </c>
      <c r="H8" s="654">
        <v>148.64483604545578</v>
      </c>
      <c r="I8" s="654">
        <v>148.22742736431346</v>
      </c>
      <c r="J8" s="654">
        <v>148.19139540451243</v>
      </c>
      <c r="K8" s="654">
        <v>146.2074697961578</v>
      </c>
      <c r="L8" s="654">
        <v>147.40581030761425</v>
      </c>
      <c r="M8" s="654">
        <v>148.78429582765474</v>
      </c>
      <c r="N8" s="654">
        <v>148.12749023990037</v>
      </c>
      <c r="P8" s="143"/>
      <c r="Q8" s="120"/>
      <c r="R8" s="120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0"/>
      <c r="AF8" s="122"/>
    </row>
    <row r="9" spans="1:32" ht="16" customHeight="1">
      <c r="A9" s="143" t="s">
        <v>19</v>
      </c>
      <c r="B9" s="655">
        <v>139.82236198846468</v>
      </c>
      <c r="C9" s="244">
        <v>133.71020408163264</v>
      </c>
      <c r="D9" s="244">
        <v>149.47874999999999</v>
      </c>
      <c r="E9" s="244">
        <v>126.276</v>
      </c>
      <c r="F9" s="244">
        <v>138.57475728155339</v>
      </c>
      <c r="G9" s="244">
        <v>146.25704697986575</v>
      </c>
      <c r="H9" s="244">
        <v>150.468345323741</v>
      </c>
      <c r="I9" s="244">
        <v>126.71666666666667</v>
      </c>
      <c r="J9" s="244">
        <v>128.58089552238806</v>
      </c>
      <c r="K9" s="244">
        <v>150.02633228840125</v>
      </c>
      <c r="L9" s="244">
        <v>141.27000000000001</v>
      </c>
      <c r="M9" s="244">
        <v>148.25114754098362</v>
      </c>
      <c r="N9" s="244">
        <v>140.57606557377048</v>
      </c>
      <c r="O9" s="149"/>
      <c r="P9" s="143"/>
      <c r="Q9" s="120"/>
      <c r="R9" s="120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0"/>
      <c r="AF9" s="122"/>
    </row>
    <row r="10" spans="1:32" ht="16" customHeight="1">
      <c r="A10" s="143" t="s">
        <v>20</v>
      </c>
      <c r="B10" s="655">
        <v>147.36694744554421</v>
      </c>
      <c r="C10" s="244">
        <v>146.16905599134429</v>
      </c>
      <c r="D10" s="244">
        <v>145.08942307692308</v>
      </c>
      <c r="E10" s="244">
        <v>146.61190137505929</v>
      </c>
      <c r="F10" s="244">
        <v>149.38795169610276</v>
      </c>
      <c r="G10" s="244">
        <v>149.29171102310602</v>
      </c>
      <c r="H10" s="244">
        <v>148.70801232665639</v>
      </c>
      <c r="I10" s="244">
        <v>145.50904434242673</v>
      </c>
      <c r="J10" s="244">
        <v>147.56390562291651</v>
      </c>
      <c r="K10" s="244">
        <v>143.86168143505512</v>
      </c>
      <c r="L10" s="244">
        <v>149.45170904389661</v>
      </c>
      <c r="M10" s="244">
        <v>148.93648736228127</v>
      </c>
      <c r="N10" s="244">
        <v>147.87161306659917</v>
      </c>
      <c r="P10" s="143"/>
      <c r="Q10" s="120"/>
      <c r="R10" s="120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0"/>
      <c r="AF10" s="122"/>
    </row>
    <row r="11" spans="1:32" ht="16" customHeight="1">
      <c r="A11" s="143" t="s">
        <v>21</v>
      </c>
      <c r="B11" s="655">
        <v>142.28683172223322</v>
      </c>
      <c r="C11" s="244">
        <v>140.9410215903107</v>
      </c>
      <c r="D11" s="244">
        <v>139.49643366619117</v>
      </c>
      <c r="E11" s="244">
        <v>140.3886750962067</v>
      </c>
      <c r="F11" s="244">
        <v>140.20431893687706</v>
      </c>
      <c r="G11" s="244">
        <v>140.88513881328251</v>
      </c>
      <c r="H11" s="244">
        <v>141.36192584394021</v>
      </c>
      <c r="I11" s="244">
        <v>143.71405135520683</v>
      </c>
      <c r="J11" s="244">
        <v>144.90295629820051</v>
      </c>
      <c r="K11" s="244">
        <v>145.20307189542484</v>
      </c>
      <c r="L11" s="244">
        <v>146.28419654714475</v>
      </c>
      <c r="M11" s="244">
        <v>143.85856432125087</v>
      </c>
      <c r="N11" s="244">
        <v>142.9844139650873</v>
      </c>
      <c r="P11" s="143"/>
      <c r="Q11" s="120"/>
      <c r="R11" s="120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0"/>
      <c r="AF11" s="122"/>
    </row>
    <row r="12" spans="1:32" ht="16" customHeight="1">
      <c r="A12" s="121" t="s">
        <v>22</v>
      </c>
      <c r="B12" s="655">
        <v>144.59516002835863</v>
      </c>
      <c r="C12" s="244">
        <v>147.07950069970843</v>
      </c>
      <c r="D12" s="244">
        <v>145.27211918367351</v>
      </c>
      <c r="E12" s="244">
        <v>144.48631800115763</v>
      </c>
      <c r="F12" s="244">
        <v>144.00477061973984</v>
      </c>
      <c r="G12" s="244">
        <v>141.29148822282193</v>
      </c>
      <c r="H12" s="244">
        <v>142.01245237734423</v>
      </c>
      <c r="I12" s="244">
        <v>144.34640634920638</v>
      </c>
      <c r="J12" s="244">
        <v>144.10762538382804</v>
      </c>
      <c r="K12" s="244">
        <v>142.62981221653257</v>
      </c>
      <c r="L12" s="244">
        <v>146.79896059229651</v>
      </c>
      <c r="M12" s="244">
        <v>145.51388931947071</v>
      </c>
      <c r="N12" s="244">
        <v>147.69800636503069</v>
      </c>
      <c r="P12" s="143"/>
      <c r="Q12" s="120"/>
      <c r="R12" s="120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0"/>
      <c r="AF12" s="122"/>
    </row>
    <row r="13" spans="1:32" ht="16" customHeight="1">
      <c r="A13" s="143" t="s">
        <v>23</v>
      </c>
      <c r="B13" s="655">
        <v>132.41809349177245</v>
      </c>
      <c r="C13" s="244">
        <v>128.37235108820161</v>
      </c>
      <c r="D13" s="244">
        <v>128.74815759637187</v>
      </c>
      <c r="E13" s="244">
        <v>127.79708503247245</v>
      </c>
      <c r="F13" s="244">
        <v>131.16829517281607</v>
      </c>
      <c r="G13" s="244">
        <v>131.97201674808093</v>
      </c>
      <c r="H13" s="244">
        <v>134.11493932208117</v>
      </c>
      <c r="I13" s="244">
        <v>132.59493312575188</v>
      </c>
      <c r="J13" s="244">
        <v>134.44581491515757</v>
      </c>
      <c r="K13" s="244">
        <v>134.47650102785852</v>
      </c>
      <c r="L13" s="244">
        <v>135.32969927562741</v>
      </c>
      <c r="M13" s="244">
        <v>135.75186762549745</v>
      </c>
      <c r="N13" s="244">
        <v>133.92907092907095</v>
      </c>
      <c r="P13" s="143"/>
      <c r="Q13" s="120"/>
      <c r="R13" s="120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0"/>
      <c r="AF13" s="122"/>
    </row>
    <row r="14" spans="1:32" ht="16" customHeight="1">
      <c r="A14" s="119" t="s">
        <v>94</v>
      </c>
      <c r="B14" s="655">
        <v>125.46099917320738</v>
      </c>
      <c r="C14" s="244">
        <v>120.22206839263465</v>
      </c>
      <c r="D14" s="244">
        <v>120.97424487594391</v>
      </c>
      <c r="E14" s="244">
        <v>120.90064643057897</v>
      </c>
      <c r="F14" s="244">
        <v>123.93639726807056</v>
      </c>
      <c r="G14" s="244">
        <v>124.54786092430965</v>
      </c>
      <c r="H14" s="244">
        <v>126.2330933220387</v>
      </c>
      <c r="I14" s="244">
        <v>126.29212882533744</v>
      </c>
      <c r="J14" s="244">
        <v>129.2208017046211</v>
      </c>
      <c r="K14" s="244">
        <v>128.20116003163722</v>
      </c>
      <c r="L14" s="244">
        <v>128.85607255520503</v>
      </c>
      <c r="M14" s="244">
        <v>128.42299687825181</v>
      </c>
      <c r="N14" s="244">
        <v>126.9620571126388</v>
      </c>
      <c r="P14" s="143"/>
      <c r="Q14" s="120"/>
      <c r="R14" s="120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0"/>
      <c r="AF14" s="122"/>
    </row>
    <row r="15" spans="1:32" ht="16" customHeight="1">
      <c r="A15" s="119" t="s">
        <v>95</v>
      </c>
      <c r="B15" s="655">
        <v>131.82026521185088</v>
      </c>
      <c r="C15" s="244">
        <v>128.58180613822034</v>
      </c>
      <c r="D15" s="244">
        <v>129.14777013534501</v>
      </c>
      <c r="E15" s="244">
        <v>126.96033098077389</v>
      </c>
      <c r="F15" s="244">
        <v>127.83108782435129</v>
      </c>
      <c r="G15" s="244">
        <v>127.58793356130924</v>
      </c>
      <c r="H15" s="244">
        <v>130.09406187624751</v>
      </c>
      <c r="I15" s="244">
        <v>129.3332511100148</v>
      </c>
      <c r="J15" s="244">
        <v>133.88356807511738</v>
      </c>
      <c r="K15" s="244">
        <v>135.7820176484617</v>
      </c>
      <c r="L15" s="244">
        <v>136.0188029661017</v>
      </c>
      <c r="M15" s="244">
        <v>139.55877794996675</v>
      </c>
      <c r="N15" s="244">
        <v>136.80666826577118</v>
      </c>
      <c r="P15" s="143"/>
      <c r="Q15" s="120"/>
      <c r="R15" s="120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0"/>
      <c r="AF15" s="122"/>
    </row>
    <row r="16" spans="1:32" ht="16" customHeight="1">
      <c r="A16" s="119" t="s">
        <v>96</v>
      </c>
      <c r="B16" s="655">
        <v>154.29173315226618</v>
      </c>
      <c r="C16" s="244">
        <v>154.50992779783394</v>
      </c>
      <c r="D16" s="244">
        <v>154.26222019186844</v>
      </c>
      <c r="E16" s="244">
        <v>153.83242439266235</v>
      </c>
      <c r="F16" s="244">
        <v>155.14189693801345</v>
      </c>
      <c r="G16" s="244">
        <v>153.47982753310748</v>
      </c>
      <c r="H16" s="244">
        <v>156.27163535571296</v>
      </c>
      <c r="I16" s="244">
        <v>155.87432536622978</v>
      </c>
      <c r="J16" s="244">
        <v>152.89056269384139</v>
      </c>
      <c r="K16" s="244">
        <v>152.57388316151201</v>
      </c>
      <c r="L16" s="244">
        <v>155.76303109943061</v>
      </c>
      <c r="M16" s="244">
        <v>154.23559962228518</v>
      </c>
      <c r="N16" s="244">
        <v>151.77290661990355</v>
      </c>
      <c r="P16" s="143"/>
      <c r="Q16" s="120"/>
      <c r="R16" s="120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0"/>
      <c r="AF16" s="122"/>
    </row>
    <row r="17" spans="1:32" ht="16" customHeight="1">
      <c r="A17" s="143" t="s">
        <v>27</v>
      </c>
      <c r="B17" s="655">
        <v>146.15188193054635</v>
      </c>
      <c r="C17" s="244">
        <v>148.1587559179379</v>
      </c>
      <c r="D17" s="244">
        <v>149.91899699946421</v>
      </c>
      <c r="E17" s="244">
        <v>147.31135957565616</v>
      </c>
      <c r="F17" s="244">
        <v>146.39508801499599</v>
      </c>
      <c r="G17" s="244">
        <v>147.93676772441393</v>
      </c>
      <c r="H17" s="244">
        <v>147.24871020809903</v>
      </c>
      <c r="I17" s="244">
        <v>145.09126872107615</v>
      </c>
      <c r="J17" s="244">
        <v>144.69730958677687</v>
      </c>
      <c r="K17" s="244">
        <v>144.57325729280794</v>
      </c>
      <c r="L17" s="244">
        <v>144.5290421907348</v>
      </c>
      <c r="M17" s="244">
        <v>144.01136404646667</v>
      </c>
      <c r="N17" s="244">
        <v>144.72117440454545</v>
      </c>
      <c r="P17" s="143"/>
      <c r="Q17" s="120"/>
      <c r="R17" s="120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0"/>
      <c r="AF17" s="122"/>
    </row>
    <row r="18" spans="1:32" ht="16" customHeight="1">
      <c r="A18" s="121" t="s">
        <v>28</v>
      </c>
      <c r="B18" s="655">
        <v>139.90157387146215</v>
      </c>
      <c r="C18" s="244">
        <v>139.97788972340001</v>
      </c>
      <c r="D18" s="244">
        <v>144.1788</v>
      </c>
      <c r="E18" s="244">
        <v>142.35885167464116</v>
      </c>
      <c r="F18" s="244">
        <v>140.42508944357775</v>
      </c>
      <c r="G18" s="244">
        <v>140.46690000394412</v>
      </c>
      <c r="H18" s="244">
        <v>136.89552880711611</v>
      </c>
      <c r="I18" s="244">
        <v>137.89397755896496</v>
      </c>
      <c r="J18" s="244">
        <v>139.03981334768568</v>
      </c>
      <c r="K18" s="244">
        <v>141.20626626192541</v>
      </c>
      <c r="L18" s="244">
        <v>141.69934823091248</v>
      </c>
      <c r="M18" s="244">
        <v>137.78546617915904</v>
      </c>
      <c r="N18" s="244">
        <v>135.24633425389757</v>
      </c>
      <c r="P18" s="143"/>
      <c r="Q18" s="120"/>
      <c r="R18" s="120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0"/>
      <c r="AF18" s="122"/>
    </row>
    <row r="19" spans="1:32" ht="16" customHeight="1">
      <c r="A19" s="121" t="s">
        <v>29</v>
      </c>
      <c r="B19" s="655">
        <v>193.74738677551878</v>
      </c>
      <c r="C19" s="244">
        <v>198.67880034479043</v>
      </c>
      <c r="D19" s="244">
        <v>205.62108326115199</v>
      </c>
      <c r="E19" s="244">
        <v>195.88203950749465</v>
      </c>
      <c r="F19" s="244">
        <v>198.21886398796735</v>
      </c>
      <c r="G19" s="244">
        <v>199.40592872416255</v>
      </c>
      <c r="H19" s="244">
        <v>196.53250598086126</v>
      </c>
      <c r="I19" s="244">
        <v>192.99631229235879</v>
      </c>
      <c r="J19" s="244">
        <v>194.58887304997666</v>
      </c>
      <c r="K19" s="244">
        <v>169.43768438059834</v>
      </c>
      <c r="L19" s="244">
        <v>190.93242129307774</v>
      </c>
      <c r="M19" s="244">
        <v>195.48504770902218</v>
      </c>
      <c r="N19" s="244">
        <v>194.13688837329209</v>
      </c>
      <c r="P19" s="143"/>
      <c r="Q19" s="120"/>
      <c r="R19" s="120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0"/>
      <c r="AF19" s="122"/>
    </row>
    <row r="20" spans="1:32" ht="16" customHeight="1">
      <c r="A20" s="143" t="s">
        <v>30</v>
      </c>
      <c r="B20" s="655">
        <v>131.02202894119245</v>
      </c>
      <c r="C20" s="244">
        <v>142.6936472694718</v>
      </c>
      <c r="D20" s="244">
        <v>125.0867483914663</v>
      </c>
      <c r="E20" s="244">
        <v>131.7733274503625</v>
      </c>
      <c r="F20" s="244">
        <v>127.60257095818243</v>
      </c>
      <c r="G20" s="244">
        <v>128.64386874800894</v>
      </c>
      <c r="H20" s="244">
        <v>126.52750816582913</v>
      </c>
      <c r="I20" s="244">
        <v>126.46673626373625</v>
      </c>
      <c r="J20" s="244">
        <v>131.1115279572914</v>
      </c>
      <c r="K20" s="244">
        <v>129.10067670043412</v>
      </c>
      <c r="L20" s="244">
        <v>133.53068534827864</v>
      </c>
      <c r="M20" s="244">
        <v>133.62975141610937</v>
      </c>
      <c r="N20" s="244">
        <v>133.75905683577037</v>
      </c>
      <c r="P20" s="143"/>
      <c r="Q20" s="120"/>
      <c r="R20" s="120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0"/>
      <c r="AF20" s="122"/>
    </row>
    <row r="21" spans="1:32" ht="16" customHeight="1">
      <c r="A21" s="143" t="s">
        <v>31</v>
      </c>
      <c r="B21" s="655">
        <v>165.16896446482934</v>
      </c>
      <c r="C21" s="244">
        <v>170.9379751903902</v>
      </c>
      <c r="D21" s="244">
        <v>163.60647544483987</v>
      </c>
      <c r="E21" s="244">
        <v>169.94342766157635</v>
      </c>
      <c r="F21" s="244">
        <v>161.76812623492805</v>
      </c>
      <c r="G21" s="244">
        <v>160.84535767768159</v>
      </c>
      <c r="H21" s="244">
        <v>163.87914121731737</v>
      </c>
      <c r="I21" s="244">
        <v>166.70186812624584</v>
      </c>
      <c r="J21" s="244">
        <v>163.62015055516017</v>
      </c>
      <c r="K21" s="244">
        <v>164.84604593920605</v>
      </c>
      <c r="L21" s="244">
        <v>162.30561932982357</v>
      </c>
      <c r="M21" s="244">
        <v>167.04647382047938</v>
      </c>
      <c r="N21" s="244">
        <v>167.51024136111843</v>
      </c>
      <c r="P21" s="143"/>
      <c r="Q21" s="120"/>
      <c r="R21" s="120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0"/>
      <c r="AF21" s="122"/>
    </row>
    <row r="22" spans="1:32" ht="16" customHeight="1">
      <c r="A22" s="143" t="s">
        <v>32</v>
      </c>
      <c r="B22" s="655">
        <v>160.83655865300878</v>
      </c>
      <c r="C22" s="244">
        <v>154.83497675225308</v>
      </c>
      <c r="D22" s="244">
        <v>159.36778311499273</v>
      </c>
      <c r="E22" s="244">
        <v>169.07982333715597</v>
      </c>
      <c r="F22" s="244">
        <v>160.0310429799427</v>
      </c>
      <c r="G22" s="244">
        <v>169.11301182996507</v>
      </c>
      <c r="H22" s="244">
        <v>163.19195649629341</v>
      </c>
      <c r="I22" s="244">
        <v>160.51094578271432</v>
      </c>
      <c r="J22" s="244">
        <v>160.96960000000001</v>
      </c>
      <c r="K22" s="244">
        <v>159.13310313961253</v>
      </c>
      <c r="L22" s="244">
        <v>159.66169624316939</v>
      </c>
      <c r="M22" s="244">
        <v>159.07075324675327</v>
      </c>
      <c r="N22" s="244">
        <v>153.82933119128148</v>
      </c>
      <c r="P22" s="143"/>
      <c r="Q22" s="120"/>
      <c r="R22" s="120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0"/>
      <c r="AF22" s="122"/>
    </row>
    <row r="23" spans="1:32" ht="16" customHeight="1">
      <c r="A23" s="143" t="s">
        <v>33</v>
      </c>
      <c r="B23" s="655">
        <v>129.26253569810561</v>
      </c>
      <c r="C23" s="244">
        <v>131.50320000000005</v>
      </c>
      <c r="D23" s="244">
        <v>132.04075130072846</v>
      </c>
      <c r="E23" s="244">
        <v>135.76803513731829</v>
      </c>
      <c r="F23" s="244">
        <v>106.25095568157947</v>
      </c>
      <c r="G23" s="244">
        <v>109.85726654298085</v>
      </c>
      <c r="H23" s="244">
        <v>131.46653766556298</v>
      </c>
      <c r="I23" s="244">
        <v>131.49917056074773</v>
      </c>
      <c r="J23" s="244">
        <v>132.20339988256023</v>
      </c>
      <c r="K23" s="244">
        <v>132.94584180561205</v>
      </c>
      <c r="L23" s="244">
        <v>134.74126867157935</v>
      </c>
      <c r="M23" s="244">
        <v>135.58252631578947</v>
      </c>
      <c r="N23" s="244">
        <v>135.58408581735335</v>
      </c>
      <c r="P23" s="143"/>
      <c r="Q23" s="120"/>
      <c r="R23" s="120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0"/>
      <c r="AF23" s="122"/>
    </row>
    <row r="24" spans="1:32" ht="16" customHeight="1">
      <c r="A24" s="143" t="s">
        <v>34</v>
      </c>
      <c r="B24" s="655">
        <v>123.80981249999999</v>
      </c>
      <c r="C24" s="244">
        <v>127.13248337028827</v>
      </c>
      <c r="D24" s="244">
        <v>128.48798718633208</v>
      </c>
      <c r="E24" s="244">
        <v>119.00944969427459</v>
      </c>
      <c r="F24" s="244">
        <v>123.68332397529477</v>
      </c>
      <c r="G24" s="244">
        <v>120.25201793721973</v>
      </c>
      <c r="H24" s="244">
        <v>127.61816250663836</v>
      </c>
      <c r="I24" s="244">
        <v>121.42562814070351</v>
      </c>
      <c r="J24" s="244">
        <v>121.63792150359315</v>
      </c>
      <c r="K24" s="244">
        <v>122.84228377614471</v>
      </c>
      <c r="L24" s="244">
        <v>115.14522156967432</v>
      </c>
      <c r="M24" s="244">
        <v>129.43565459610025</v>
      </c>
      <c r="N24" s="244">
        <v>129.05999008428358</v>
      </c>
      <c r="P24" s="143"/>
      <c r="Q24" s="120"/>
      <c r="R24" s="120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0"/>
      <c r="AF24" s="122"/>
    </row>
    <row r="25" spans="1:32" ht="16" customHeight="1">
      <c r="A25" s="121" t="s">
        <v>35</v>
      </c>
      <c r="B25" s="655">
        <v>166.99766519684039</v>
      </c>
      <c r="C25" s="244">
        <v>172.85618221258136</v>
      </c>
      <c r="D25" s="244">
        <v>161.47285399853266</v>
      </c>
      <c r="E25" s="244">
        <v>164.00387897595036</v>
      </c>
      <c r="F25" s="244">
        <v>165.78047824382594</v>
      </c>
      <c r="G25" s="244">
        <v>167.30549199084672</v>
      </c>
      <c r="H25" s="244">
        <v>167.05189231369488</v>
      </c>
      <c r="I25" s="244">
        <v>167.47298828862861</v>
      </c>
      <c r="J25" s="244">
        <v>166.96325254104769</v>
      </c>
      <c r="K25" s="244">
        <v>167.37870514820594</v>
      </c>
      <c r="L25" s="244">
        <v>167.80545943867742</v>
      </c>
      <c r="M25" s="244">
        <v>166.98413957176845</v>
      </c>
      <c r="N25" s="244">
        <v>168.5972389380531</v>
      </c>
      <c r="P25" s="143"/>
      <c r="Q25" s="120"/>
      <c r="R25" s="120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0"/>
      <c r="AF25" s="122"/>
    </row>
    <row r="26" spans="1:32" ht="16" customHeight="1">
      <c r="A26" s="143" t="s">
        <v>36</v>
      </c>
      <c r="B26" s="655">
        <v>190.95144729292804</v>
      </c>
      <c r="C26" s="244">
        <v>202.01009999999999</v>
      </c>
      <c r="D26" s="244">
        <v>196.12279999999998</v>
      </c>
      <c r="E26" s="244">
        <v>198.4543328</v>
      </c>
      <c r="F26" s="244">
        <v>198.37621300000001</v>
      </c>
      <c r="G26" s="244">
        <v>197.81237094339625</v>
      </c>
      <c r="H26" s="244">
        <v>184.62576942826297</v>
      </c>
      <c r="I26" s="244">
        <v>185.79829113924052</v>
      </c>
      <c r="J26" s="244">
        <v>190.56</v>
      </c>
      <c r="K26" s="244">
        <v>195.61461111111112</v>
      </c>
      <c r="L26" s="244">
        <v>185.75189610389612</v>
      </c>
      <c r="M26" s="244">
        <v>182.20530612244897</v>
      </c>
      <c r="N26" s="244">
        <v>181.96618357487924</v>
      </c>
      <c r="P26" s="143"/>
      <c r="Q26" s="120"/>
      <c r="R26" s="120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0"/>
      <c r="AF26" s="122"/>
    </row>
    <row r="27" spans="1:32" ht="16" customHeight="1">
      <c r="A27" s="143" t="s">
        <v>37</v>
      </c>
      <c r="B27" s="655">
        <v>189.06024363636368</v>
      </c>
      <c r="C27" s="244">
        <v>193.05818181818185</v>
      </c>
      <c r="D27" s="244">
        <v>191.6444158878505</v>
      </c>
      <c r="E27" s="244">
        <v>192.66275862068966</v>
      </c>
      <c r="F27" s="244">
        <v>185.03933333333333</v>
      </c>
      <c r="G27" s="244">
        <v>188.89309576837417</v>
      </c>
      <c r="H27" s="244">
        <v>190.72561822125815</v>
      </c>
      <c r="I27" s="244">
        <v>189.22280334728035</v>
      </c>
      <c r="J27" s="244">
        <v>190.1431914893617</v>
      </c>
      <c r="K27" s="244">
        <v>191.89426751592356</v>
      </c>
      <c r="L27" s="244">
        <v>191.26659436008674</v>
      </c>
      <c r="M27" s="244">
        <v>179.77091633466136</v>
      </c>
      <c r="N27" s="244">
        <v>186.37200000000001</v>
      </c>
      <c r="P27" s="143"/>
      <c r="Q27" s="120"/>
      <c r="R27" s="120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0"/>
      <c r="AF27" s="122"/>
    </row>
    <row r="28" spans="1:32" ht="16" customHeight="1">
      <c r="A28" s="143" t="s">
        <v>38</v>
      </c>
      <c r="B28" s="655">
        <v>128.60818258179512</v>
      </c>
      <c r="C28" s="244">
        <v>128.13429612633283</v>
      </c>
      <c r="D28" s="244">
        <v>128.50076399499929</v>
      </c>
      <c r="E28" s="244">
        <v>132.13189392161465</v>
      </c>
      <c r="F28" s="244">
        <v>131.06651095539988</v>
      </c>
      <c r="G28" s="244">
        <v>132.01641037411062</v>
      </c>
      <c r="H28" s="244">
        <v>129.20762763494579</v>
      </c>
      <c r="I28" s="244">
        <v>127.88566281657307</v>
      </c>
      <c r="J28" s="244">
        <v>128.08158375171155</v>
      </c>
      <c r="K28" s="244">
        <v>128.60458491589799</v>
      </c>
      <c r="L28" s="244">
        <v>127.97934719815134</v>
      </c>
      <c r="M28" s="244">
        <v>125.87248699564179</v>
      </c>
      <c r="N28" s="244">
        <v>123.3469342251951</v>
      </c>
      <c r="P28" s="143"/>
      <c r="Q28" s="120"/>
      <c r="R28" s="120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0"/>
      <c r="AF28" s="122"/>
    </row>
    <row r="29" spans="1:32" ht="16" customHeight="1">
      <c r="A29" s="143" t="s">
        <v>39</v>
      </c>
      <c r="B29" s="655">
        <v>115.61887662754712</v>
      </c>
      <c r="C29" s="244">
        <v>114.36375039197242</v>
      </c>
      <c r="D29" s="244">
        <v>115.04163912756113</v>
      </c>
      <c r="E29" s="244">
        <v>113.14032205060795</v>
      </c>
      <c r="F29" s="244">
        <v>114.10529845741112</v>
      </c>
      <c r="G29" s="244">
        <v>115.45547594677583</v>
      </c>
      <c r="H29" s="244">
        <v>115.1265909872721</v>
      </c>
      <c r="I29" s="244">
        <v>114.85689832249228</v>
      </c>
      <c r="J29" s="244">
        <v>114.55212077641983</v>
      </c>
      <c r="K29" s="244">
        <v>116.78770949720672</v>
      </c>
      <c r="L29" s="244">
        <v>118.55530129672006</v>
      </c>
      <c r="M29" s="244">
        <v>118.52966432474629</v>
      </c>
      <c r="N29" s="244">
        <v>118.15860215053763</v>
      </c>
      <c r="P29" s="143"/>
      <c r="Q29" s="120"/>
      <c r="R29" s="120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0"/>
      <c r="AF29" s="122"/>
    </row>
    <row r="30" spans="1:32" ht="16" customHeight="1">
      <c r="A30" s="119" t="s">
        <v>97</v>
      </c>
      <c r="B30" s="655">
        <v>117.74683171234895</v>
      </c>
      <c r="C30" s="244">
        <v>116.46114971572963</v>
      </c>
      <c r="D30" s="244">
        <v>115.53106605624592</v>
      </c>
      <c r="E30" s="244">
        <v>115.96215139442231</v>
      </c>
      <c r="F30" s="244">
        <v>116.15259959486833</v>
      </c>
      <c r="G30" s="244">
        <v>120.74568965517241</v>
      </c>
      <c r="H30" s="244">
        <v>117.92897727272728</v>
      </c>
      <c r="I30" s="244">
        <v>116.1139680333565</v>
      </c>
      <c r="J30" s="244">
        <v>116.43256814921089</v>
      </c>
      <c r="K30" s="244">
        <v>118.29769858945807</v>
      </c>
      <c r="L30" s="244">
        <v>120.86789554531491</v>
      </c>
      <c r="M30" s="244">
        <v>120.35871271585556</v>
      </c>
      <c r="N30" s="244">
        <v>119.34198473282443</v>
      </c>
      <c r="P30" s="143"/>
      <c r="Q30" s="120"/>
      <c r="R30" s="120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0"/>
      <c r="AF30" s="122"/>
    </row>
    <row r="31" spans="1:32" ht="16" customHeight="1">
      <c r="A31" s="119" t="s">
        <v>98</v>
      </c>
      <c r="B31" s="655">
        <v>113.5307999305917</v>
      </c>
      <c r="C31" s="244">
        <v>112.2963885429639</v>
      </c>
      <c r="D31" s="244">
        <v>114.54175016700066</v>
      </c>
      <c r="E31" s="244">
        <v>110.37540663630449</v>
      </c>
      <c r="F31" s="244">
        <v>112.08527648234511</v>
      </c>
      <c r="G31" s="244">
        <v>110.67056530214425</v>
      </c>
      <c r="H31" s="244">
        <v>112.49432955303534</v>
      </c>
      <c r="I31" s="244">
        <v>113.63630229419702</v>
      </c>
      <c r="J31" s="244">
        <v>112.6635446685879</v>
      </c>
      <c r="K31" s="244">
        <v>115.26756352765321</v>
      </c>
      <c r="L31" s="244">
        <v>116.27424242424242</v>
      </c>
      <c r="M31" s="244">
        <v>116.72049689440995</v>
      </c>
      <c r="N31" s="244">
        <v>116.96058732612056</v>
      </c>
      <c r="P31" s="143"/>
      <c r="Q31" s="120"/>
      <c r="R31" s="120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0"/>
      <c r="AF31" s="122"/>
    </row>
    <row r="32" spans="1:32" ht="16" customHeight="1">
      <c r="A32" s="143" t="s">
        <v>42</v>
      </c>
      <c r="B32" s="655">
        <v>155.37964348364457</v>
      </c>
      <c r="C32" s="244">
        <v>153.48713550600343</v>
      </c>
      <c r="D32" s="244">
        <v>148.33558262014483</v>
      </c>
      <c r="E32" s="244">
        <v>155.7419809106556</v>
      </c>
      <c r="F32" s="244">
        <v>158.71530860661605</v>
      </c>
      <c r="G32" s="244">
        <v>160.72460496613994</v>
      </c>
      <c r="H32" s="244">
        <v>160.92976965448173</v>
      </c>
      <c r="I32" s="244">
        <v>158.65967246673489</v>
      </c>
      <c r="J32" s="244">
        <v>156.79574288130814</v>
      </c>
      <c r="K32" s="244">
        <v>154.31360123647605</v>
      </c>
      <c r="L32" s="244">
        <v>150.83679373723621</v>
      </c>
      <c r="M32" s="244">
        <v>151.84711779448619</v>
      </c>
      <c r="N32" s="244">
        <v>146.91086465393306</v>
      </c>
      <c r="P32" s="143"/>
      <c r="Q32" s="120"/>
      <c r="R32" s="120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0"/>
      <c r="AF32" s="122"/>
    </row>
    <row r="33" spans="1:32" ht="16" customHeight="1">
      <c r="A33" s="143" t="s">
        <v>43</v>
      </c>
      <c r="B33" s="655">
        <v>146.94664272429935</v>
      </c>
      <c r="C33" s="244">
        <v>142.84273318872022</v>
      </c>
      <c r="D33" s="244">
        <v>144.63336388634281</v>
      </c>
      <c r="E33" s="244">
        <v>147.86965998256323</v>
      </c>
      <c r="F33" s="244">
        <v>148.70652523304403</v>
      </c>
      <c r="G33" s="244">
        <v>149.03818400481055</v>
      </c>
      <c r="H33" s="244">
        <v>149.08999108999112</v>
      </c>
      <c r="I33" s="244">
        <v>147.75652173913039</v>
      </c>
      <c r="J33" s="244">
        <v>147.29007092198583</v>
      </c>
      <c r="K33" s="244">
        <v>146.14264036418814</v>
      </c>
      <c r="L33" s="244">
        <v>145.01994796183865</v>
      </c>
      <c r="M33" s="244">
        <v>145.26371681415927</v>
      </c>
      <c r="N33" s="244">
        <v>145.8858536585366</v>
      </c>
      <c r="P33" s="143"/>
      <c r="Q33" s="120"/>
      <c r="R33" s="120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0"/>
      <c r="AF33" s="122"/>
    </row>
    <row r="34" spans="1:32" ht="16" customHeight="1">
      <c r="A34" s="121" t="s">
        <v>44</v>
      </c>
      <c r="B34" s="655">
        <v>118.00702167478924</v>
      </c>
      <c r="C34" s="244">
        <v>117.21227</v>
      </c>
      <c r="D34" s="244">
        <v>112.00333333333333</v>
      </c>
      <c r="E34" s="244">
        <v>120.11638000000001</v>
      </c>
      <c r="F34" s="244">
        <v>110.66912290489643</v>
      </c>
      <c r="G34" s="244">
        <v>119.14822142</v>
      </c>
      <c r="H34" s="244">
        <v>120.14822142</v>
      </c>
      <c r="I34" s="244">
        <v>120.14822142</v>
      </c>
      <c r="J34" s="244">
        <v>123.24420000000001</v>
      </c>
      <c r="K34" s="244">
        <v>121.88437209302326</v>
      </c>
      <c r="L34" s="244">
        <v>111.14125625625624</v>
      </c>
      <c r="M34" s="244">
        <v>120.24432624113476</v>
      </c>
      <c r="N34" s="244">
        <v>120.40416920529802</v>
      </c>
      <c r="P34" s="143"/>
      <c r="Q34" s="120"/>
      <c r="R34" s="120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0"/>
      <c r="AF34" s="122"/>
    </row>
    <row r="35" spans="1:32" ht="16" customHeight="1">
      <c r="A35" s="121" t="s">
        <v>45</v>
      </c>
      <c r="B35" s="655">
        <v>150.44052026900806</v>
      </c>
      <c r="C35" s="244">
        <v>155.6521086261981</v>
      </c>
      <c r="D35" s="244">
        <v>150.88362318840578</v>
      </c>
      <c r="E35" s="244">
        <v>148.50749103942653</v>
      </c>
      <c r="F35" s="244">
        <v>155.87866666666667</v>
      </c>
      <c r="G35" s="244">
        <v>148.4969585253456</v>
      </c>
      <c r="H35" s="244">
        <v>144.22176258992809</v>
      </c>
      <c r="I35" s="244">
        <v>145.57779999999997</v>
      </c>
      <c r="J35" s="244">
        <v>145.46636462882097</v>
      </c>
      <c r="K35" s="244">
        <v>149.80037800687282</v>
      </c>
      <c r="L35" s="244">
        <v>152.77303382663848</v>
      </c>
      <c r="M35" s="244">
        <v>156.78114315139038</v>
      </c>
      <c r="N35" s="244">
        <v>150.39402439024391</v>
      </c>
      <c r="P35" s="143"/>
      <c r="Q35" s="120"/>
      <c r="R35" s="120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0"/>
      <c r="AF35" s="122"/>
    </row>
    <row r="36" spans="1:32" ht="16" customHeight="1">
      <c r="A36" s="121" t="s">
        <v>46</v>
      </c>
      <c r="B36" s="655">
        <v>128.97427819480043</v>
      </c>
      <c r="C36" s="244">
        <v>128.24074074074073</v>
      </c>
      <c r="D36" s="244">
        <v>130.45781556572925</v>
      </c>
      <c r="E36" s="244">
        <v>133.41813078703703</v>
      </c>
      <c r="F36" s="244">
        <v>134.68993409227085</v>
      </c>
      <c r="G36" s="244">
        <v>124.17089410272669</v>
      </c>
      <c r="H36" s="244">
        <v>123.89423076923076</v>
      </c>
      <c r="I36" s="244">
        <v>130.76492537313433</v>
      </c>
      <c r="J36" s="244">
        <v>128.78336755646819</v>
      </c>
      <c r="K36" s="244">
        <v>128.12001771479186</v>
      </c>
      <c r="L36" s="244">
        <v>128.45739588319771</v>
      </c>
      <c r="M36" s="244">
        <v>129.30847953216374</v>
      </c>
      <c r="N36" s="244">
        <v>127.5</v>
      </c>
      <c r="P36" s="143"/>
      <c r="Q36" s="120"/>
      <c r="R36" s="120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0"/>
      <c r="AF36" s="122"/>
    </row>
    <row r="37" spans="1:32" ht="16" customHeight="1" thickBot="1">
      <c r="A37" s="145" t="s">
        <v>47</v>
      </c>
      <c r="B37" s="656">
        <v>163.14388367245309</v>
      </c>
      <c r="C37" s="245">
        <v>161.59283666352499</v>
      </c>
      <c r="D37" s="245">
        <v>162.80784235074626</v>
      </c>
      <c r="E37" s="245">
        <v>165.33933230769233</v>
      </c>
      <c r="F37" s="245">
        <v>168.5136715542522</v>
      </c>
      <c r="G37" s="245">
        <v>161.53300635888505</v>
      </c>
      <c r="H37" s="245">
        <v>162.6690419039146</v>
      </c>
      <c r="I37" s="245">
        <v>159.74317415730337</v>
      </c>
      <c r="J37" s="245">
        <v>162.76842112781955</v>
      </c>
      <c r="K37" s="245">
        <v>161.33856862606231</v>
      </c>
      <c r="L37" s="245">
        <v>164.10150248618785</v>
      </c>
      <c r="M37" s="245">
        <v>163.05090000000001</v>
      </c>
      <c r="N37" s="245">
        <v>165.41512666051665</v>
      </c>
      <c r="P37" s="143"/>
      <c r="Q37" s="120"/>
      <c r="R37" s="120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0"/>
      <c r="AF37" s="122"/>
    </row>
    <row r="38" spans="1:32" ht="9" customHeight="1">
      <c r="A38" s="449" t="s">
        <v>330</v>
      </c>
      <c r="B38" s="478"/>
      <c r="C38" s="478"/>
      <c r="D38" s="478"/>
      <c r="E38" s="478"/>
      <c r="F38" s="237"/>
    </row>
    <row r="39" spans="1:32" ht="9" customHeight="1">
      <c r="A39" s="449" t="s">
        <v>304</v>
      </c>
      <c r="B39" s="478"/>
      <c r="C39" s="478"/>
      <c r="D39" s="478"/>
      <c r="E39" s="478"/>
      <c r="F39" s="237"/>
    </row>
    <row r="40" spans="1:32" ht="9" customHeight="1">
      <c r="A40" s="451" t="s">
        <v>303</v>
      </c>
      <c r="B40" s="478"/>
      <c r="C40" s="478"/>
      <c r="D40" s="478"/>
      <c r="E40" s="478"/>
      <c r="F40" s="237"/>
    </row>
    <row r="41" spans="1:32" ht="13.25" customHeight="1">
      <c r="A41" s="11"/>
    </row>
    <row r="42" spans="1:32" ht="13.25" customHeight="1">
      <c r="A42" s="67"/>
    </row>
    <row r="43" spans="1:32" ht="13.25" customHeight="1">
      <c r="A43" s="67"/>
    </row>
    <row r="44" spans="1:32" ht="13.25" customHeight="1">
      <c r="A44" s="22"/>
    </row>
    <row r="45" spans="1:32" ht="13.25" customHeight="1">
      <c r="A45" s="30"/>
    </row>
    <row r="46" spans="1:32" ht="13.25" customHeight="1">
      <c r="A46" s="22"/>
    </row>
    <row r="47" spans="1:32" ht="13.25" customHeight="1">
      <c r="A47" s="67"/>
    </row>
    <row r="48" spans="1:32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colBreaks count="1" manualBreakCount="1">
    <brk id="14" max="1048575" man="1"/>
  </colBreak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Hoja63">
    <tabColor theme="9" tint="0.59999389629810485"/>
  </sheetPr>
  <dimension ref="A4:P54"/>
  <sheetViews>
    <sheetView showGridLines="0" zoomScaleNormal="100" workbookViewId="0">
      <selection activeCell="N19" sqref="N19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582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2" t="s">
        <v>211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16" ht="6" customHeight="1" thickBot="1"/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16" ht="18" customHeight="1">
      <c r="A8" s="647" t="s">
        <v>87</v>
      </c>
      <c r="B8" s="648">
        <f t="shared" ref="B8:B37" si="0">SUM(C8:N8)</f>
        <v>392831.39623545576</v>
      </c>
      <c r="C8" s="648">
        <f t="shared" ref="C8:N8" si="1">(C9+C10+C11+C12+C13+C17+C18+C19+C20+C21+C22+C23+C24+C25+C26+C27+C28+C29+C32+C33+C34+C35+C36+C37)</f>
        <v>30850</v>
      </c>
      <c r="D8" s="648">
        <f t="shared" si="1"/>
        <v>31462</v>
      </c>
      <c r="E8" s="648">
        <f t="shared" si="1"/>
        <v>32886.89622122822</v>
      </c>
      <c r="F8" s="648">
        <f t="shared" si="1"/>
        <v>32903.537543979881</v>
      </c>
      <c r="G8" s="648">
        <f t="shared" si="1"/>
        <v>34108.576511166029</v>
      </c>
      <c r="H8" s="648">
        <f t="shared" si="1"/>
        <v>35068</v>
      </c>
      <c r="I8" s="648">
        <f t="shared" si="1"/>
        <v>35238.2603590816</v>
      </c>
      <c r="J8" s="648">
        <f t="shared" si="1"/>
        <v>34077</v>
      </c>
      <c r="K8" s="648">
        <f t="shared" si="1"/>
        <v>31101</v>
      </c>
      <c r="L8" s="648">
        <f t="shared" si="1"/>
        <v>30335</v>
      </c>
      <c r="M8" s="648">
        <f t="shared" si="1"/>
        <v>31572.125599999999</v>
      </c>
      <c r="N8" s="648">
        <f t="shared" si="1"/>
        <v>33229</v>
      </c>
    </row>
    <row r="9" spans="1:16" ht="16" customHeight="1">
      <c r="A9" s="143" t="s">
        <v>19</v>
      </c>
      <c r="B9" s="642">
        <f t="shared" si="0"/>
        <v>21954</v>
      </c>
      <c r="C9" s="238">
        <v>2047</v>
      </c>
      <c r="D9" s="238">
        <v>1973</v>
      </c>
      <c r="E9" s="238">
        <v>1907</v>
      </c>
      <c r="F9" s="238">
        <v>1879</v>
      </c>
      <c r="G9" s="238">
        <v>1860</v>
      </c>
      <c r="H9" s="238">
        <v>1793</v>
      </c>
      <c r="I9" s="238">
        <v>1751</v>
      </c>
      <c r="J9" s="238">
        <v>1784</v>
      </c>
      <c r="K9" s="238">
        <v>1793</v>
      </c>
      <c r="L9" s="238">
        <v>1713</v>
      </c>
      <c r="M9" s="238">
        <v>1867</v>
      </c>
      <c r="N9" s="238">
        <v>1587</v>
      </c>
      <c r="O9" s="149"/>
    </row>
    <row r="10" spans="1:16" ht="16" customHeight="1">
      <c r="A10" s="143" t="s">
        <v>20</v>
      </c>
      <c r="B10" s="642">
        <f t="shared" si="0"/>
        <v>97958.170850098497</v>
      </c>
      <c r="C10" s="238">
        <v>7256</v>
      </c>
      <c r="D10" s="238">
        <v>8088</v>
      </c>
      <c r="E10" s="238">
        <v>8983</v>
      </c>
      <c r="F10" s="238">
        <v>8934.7130935607001</v>
      </c>
      <c r="G10" s="238">
        <v>9558.2209859148006</v>
      </c>
      <c r="H10" s="238">
        <v>9908</v>
      </c>
      <c r="I10" s="238">
        <v>9705.2367706229998</v>
      </c>
      <c r="J10" s="238">
        <v>9382</v>
      </c>
      <c r="K10" s="238">
        <v>7009</v>
      </c>
      <c r="L10" s="238">
        <v>5823</v>
      </c>
      <c r="M10" s="238">
        <v>6517</v>
      </c>
      <c r="N10" s="238">
        <v>6794</v>
      </c>
    </row>
    <row r="11" spans="1:16" ht="16" customHeight="1">
      <c r="A11" s="143" t="s">
        <v>21</v>
      </c>
      <c r="B11" s="642">
        <f t="shared" si="0"/>
        <v>17957</v>
      </c>
      <c r="C11" s="238">
        <v>1395</v>
      </c>
      <c r="D11" s="238">
        <v>1297</v>
      </c>
      <c r="E11" s="238">
        <v>1295</v>
      </c>
      <c r="F11" s="238">
        <v>1218</v>
      </c>
      <c r="G11" s="238">
        <v>1430</v>
      </c>
      <c r="H11" s="238">
        <v>1473</v>
      </c>
      <c r="I11" s="238">
        <v>1463</v>
      </c>
      <c r="J11" s="238">
        <v>1355</v>
      </c>
      <c r="K11" s="238">
        <v>1537</v>
      </c>
      <c r="L11" s="238">
        <v>1720</v>
      </c>
      <c r="M11" s="238">
        <v>1687</v>
      </c>
      <c r="N11" s="238">
        <v>2087</v>
      </c>
    </row>
    <row r="12" spans="1:16" ht="16" customHeight="1">
      <c r="A12" s="121" t="s">
        <v>22</v>
      </c>
      <c r="B12" s="642">
        <f t="shared" si="0"/>
        <v>35659</v>
      </c>
      <c r="C12" s="238">
        <v>2785</v>
      </c>
      <c r="D12" s="238">
        <v>2953</v>
      </c>
      <c r="E12" s="238">
        <v>3110</v>
      </c>
      <c r="F12" s="238">
        <v>2864</v>
      </c>
      <c r="G12" s="238">
        <v>2840</v>
      </c>
      <c r="H12" s="238">
        <v>3060</v>
      </c>
      <c r="I12" s="238">
        <v>2935</v>
      </c>
      <c r="J12" s="238">
        <v>3020</v>
      </c>
      <c r="K12" s="238">
        <v>3056</v>
      </c>
      <c r="L12" s="238">
        <v>2907</v>
      </c>
      <c r="M12" s="238">
        <v>3113</v>
      </c>
      <c r="N12" s="238">
        <v>3016</v>
      </c>
    </row>
    <row r="13" spans="1:16" ht="16" customHeight="1">
      <c r="A13" s="143" t="s">
        <v>23</v>
      </c>
      <c r="B13" s="642">
        <f t="shared" si="0"/>
        <v>21386</v>
      </c>
      <c r="C13" s="238">
        <v>1819</v>
      </c>
      <c r="D13" s="238">
        <v>1885</v>
      </c>
      <c r="E13" s="238">
        <v>1736</v>
      </c>
      <c r="F13" s="238">
        <v>1512</v>
      </c>
      <c r="G13" s="238">
        <v>1806</v>
      </c>
      <c r="H13" s="238">
        <v>1927</v>
      </c>
      <c r="I13" s="238">
        <v>2139</v>
      </c>
      <c r="J13" s="238">
        <v>1685</v>
      </c>
      <c r="K13" s="238">
        <v>1721</v>
      </c>
      <c r="L13" s="238">
        <v>1692</v>
      </c>
      <c r="M13" s="238">
        <v>1755</v>
      </c>
      <c r="N13" s="238">
        <v>1709</v>
      </c>
    </row>
    <row r="14" spans="1:16" ht="16" customHeight="1">
      <c r="A14" s="119" t="s">
        <v>94</v>
      </c>
      <c r="B14" s="642">
        <f t="shared" si="0"/>
        <v>12571</v>
      </c>
      <c r="C14" s="238">
        <v>1068</v>
      </c>
      <c r="D14" s="238">
        <v>1169</v>
      </c>
      <c r="E14" s="238">
        <v>1102</v>
      </c>
      <c r="F14" s="238">
        <v>828</v>
      </c>
      <c r="G14" s="238">
        <v>906</v>
      </c>
      <c r="H14" s="238">
        <v>981</v>
      </c>
      <c r="I14" s="238">
        <v>1105</v>
      </c>
      <c r="J14" s="238">
        <v>1037</v>
      </c>
      <c r="K14" s="238">
        <v>1061</v>
      </c>
      <c r="L14" s="238">
        <v>1083</v>
      </c>
      <c r="M14" s="238">
        <v>1132</v>
      </c>
      <c r="N14" s="238">
        <v>1099</v>
      </c>
    </row>
    <row r="15" spans="1:16" ht="16" customHeight="1">
      <c r="A15" s="119" t="s">
        <v>95</v>
      </c>
      <c r="B15" s="642">
        <f t="shared" si="0"/>
        <v>1065</v>
      </c>
      <c r="C15" s="238">
        <v>82</v>
      </c>
      <c r="D15" s="238">
        <v>76</v>
      </c>
      <c r="E15" s="238">
        <v>81</v>
      </c>
      <c r="F15" s="238">
        <v>79</v>
      </c>
      <c r="G15" s="238">
        <v>88</v>
      </c>
      <c r="H15" s="238">
        <v>99</v>
      </c>
      <c r="I15" s="238">
        <v>107</v>
      </c>
      <c r="J15" s="238">
        <v>82</v>
      </c>
      <c r="K15" s="238">
        <v>80</v>
      </c>
      <c r="L15" s="238">
        <v>88</v>
      </c>
      <c r="M15" s="238">
        <v>96</v>
      </c>
      <c r="N15" s="238">
        <v>107</v>
      </c>
    </row>
    <row r="16" spans="1:16" ht="16" customHeight="1">
      <c r="A16" s="119" t="s">
        <v>96</v>
      </c>
      <c r="B16" s="642">
        <f t="shared" si="0"/>
        <v>7750</v>
      </c>
      <c r="C16" s="238">
        <v>669</v>
      </c>
      <c r="D16" s="238">
        <v>640</v>
      </c>
      <c r="E16" s="238">
        <v>553</v>
      </c>
      <c r="F16" s="238">
        <v>605</v>
      </c>
      <c r="G16" s="238">
        <v>812</v>
      </c>
      <c r="H16" s="238">
        <v>847</v>
      </c>
      <c r="I16" s="238">
        <v>927</v>
      </c>
      <c r="J16" s="238">
        <v>566</v>
      </c>
      <c r="K16" s="238">
        <v>580</v>
      </c>
      <c r="L16" s="238">
        <v>521</v>
      </c>
      <c r="M16" s="238">
        <v>527</v>
      </c>
      <c r="N16" s="238">
        <v>503</v>
      </c>
    </row>
    <row r="17" spans="1:14" ht="16" customHeight="1">
      <c r="A17" s="143" t="s">
        <v>27</v>
      </c>
      <c r="B17" s="642">
        <f t="shared" si="0"/>
        <v>5132</v>
      </c>
      <c r="C17" s="238">
        <v>461</v>
      </c>
      <c r="D17" s="238">
        <v>447</v>
      </c>
      <c r="E17" s="238">
        <v>340</v>
      </c>
      <c r="F17" s="238">
        <v>273</v>
      </c>
      <c r="G17" s="238">
        <v>367</v>
      </c>
      <c r="H17" s="238">
        <v>402</v>
      </c>
      <c r="I17" s="238">
        <v>443</v>
      </c>
      <c r="J17" s="238">
        <v>435</v>
      </c>
      <c r="K17" s="238">
        <v>453</v>
      </c>
      <c r="L17" s="238">
        <v>445</v>
      </c>
      <c r="M17" s="238">
        <v>489</v>
      </c>
      <c r="N17" s="238">
        <v>577</v>
      </c>
    </row>
    <row r="18" spans="1:14" ht="16" customHeight="1">
      <c r="A18" s="121" t="s">
        <v>28</v>
      </c>
      <c r="B18" s="642">
        <f t="shared" si="0"/>
        <v>21884.78431551786</v>
      </c>
      <c r="C18" s="238">
        <v>1462</v>
      </c>
      <c r="D18" s="238">
        <v>1525</v>
      </c>
      <c r="E18" s="238">
        <v>1683</v>
      </c>
      <c r="F18" s="238">
        <v>1823.8244504191834</v>
      </c>
      <c r="G18" s="238">
        <v>1667.93627664008</v>
      </c>
      <c r="H18" s="238">
        <v>1740</v>
      </c>
      <c r="I18" s="238">
        <v>1916.0235884585961</v>
      </c>
      <c r="J18" s="238">
        <v>1902</v>
      </c>
      <c r="K18" s="238">
        <v>1828</v>
      </c>
      <c r="L18" s="238">
        <v>2040</v>
      </c>
      <c r="M18" s="238">
        <v>2085</v>
      </c>
      <c r="N18" s="238">
        <v>2212</v>
      </c>
    </row>
    <row r="19" spans="1:14" ht="16" customHeight="1">
      <c r="A19" s="121" t="s">
        <v>29</v>
      </c>
      <c r="B19" s="642">
        <f t="shared" si="0"/>
        <v>39384</v>
      </c>
      <c r="C19" s="238">
        <v>3215</v>
      </c>
      <c r="D19" s="238">
        <v>2859</v>
      </c>
      <c r="E19" s="238">
        <v>2782</v>
      </c>
      <c r="F19" s="238">
        <v>3043</v>
      </c>
      <c r="G19" s="238">
        <v>3269</v>
      </c>
      <c r="H19" s="238">
        <v>3426</v>
      </c>
      <c r="I19" s="238">
        <v>3480</v>
      </c>
      <c r="J19" s="238">
        <v>3399</v>
      </c>
      <c r="K19" s="238">
        <v>3411</v>
      </c>
      <c r="L19" s="238">
        <v>3337</v>
      </c>
      <c r="M19" s="238">
        <v>3400</v>
      </c>
      <c r="N19" s="238">
        <v>3763</v>
      </c>
    </row>
    <row r="20" spans="1:14" ht="16" customHeight="1">
      <c r="A20" s="143" t="s">
        <v>30</v>
      </c>
      <c r="B20" s="642">
        <f t="shared" si="0"/>
        <v>21374</v>
      </c>
      <c r="C20" s="238">
        <v>1673</v>
      </c>
      <c r="D20" s="238">
        <v>1927</v>
      </c>
      <c r="E20" s="238">
        <v>1702</v>
      </c>
      <c r="F20" s="238">
        <v>1783</v>
      </c>
      <c r="G20" s="238">
        <v>1709</v>
      </c>
      <c r="H20" s="238">
        <v>1694</v>
      </c>
      <c r="I20" s="238">
        <v>1754</v>
      </c>
      <c r="J20" s="238">
        <v>1798</v>
      </c>
      <c r="K20" s="238">
        <v>1744</v>
      </c>
      <c r="L20" s="238">
        <v>1764</v>
      </c>
      <c r="M20" s="238">
        <v>1687</v>
      </c>
      <c r="N20" s="238">
        <v>2139</v>
      </c>
    </row>
    <row r="21" spans="1:14" ht="16" customHeight="1">
      <c r="A21" s="143" t="s">
        <v>31</v>
      </c>
      <c r="B21" s="642">
        <f t="shared" si="0"/>
        <v>27535</v>
      </c>
      <c r="C21" s="238">
        <v>1982</v>
      </c>
      <c r="D21" s="238">
        <v>2012</v>
      </c>
      <c r="E21" s="238">
        <v>2303</v>
      </c>
      <c r="F21" s="238">
        <v>2292</v>
      </c>
      <c r="G21" s="238">
        <v>2130</v>
      </c>
      <c r="H21" s="238">
        <v>2371</v>
      </c>
      <c r="I21" s="238">
        <v>2468</v>
      </c>
      <c r="J21" s="238">
        <v>2308</v>
      </c>
      <c r="K21" s="238">
        <v>2083</v>
      </c>
      <c r="L21" s="238">
        <v>2588</v>
      </c>
      <c r="M21" s="238">
        <v>2535</v>
      </c>
      <c r="N21" s="238">
        <v>2463</v>
      </c>
    </row>
    <row r="22" spans="1:14" ht="16" customHeight="1">
      <c r="A22" s="143" t="s">
        <v>32</v>
      </c>
      <c r="B22" s="642">
        <f t="shared" si="0"/>
        <v>1235.4192486111479</v>
      </c>
      <c r="C22" s="238">
        <v>62</v>
      </c>
      <c r="D22" s="238">
        <v>64</v>
      </c>
      <c r="E22" s="238">
        <v>76</v>
      </c>
      <c r="F22" s="238">
        <v>106</v>
      </c>
      <c r="G22" s="238">
        <v>132.41924861114796</v>
      </c>
      <c r="H22" s="238">
        <v>122</v>
      </c>
      <c r="I22" s="238">
        <v>156</v>
      </c>
      <c r="J22" s="238">
        <v>105</v>
      </c>
      <c r="K22" s="238">
        <v>78</v>
      </c>
      <c r="L22" s="238">
        <v>74</v>
      </c>
      <c r="M22" s="238">
        <v>116</v>
      </c>
      <c r="N22" s="238">
        <v>144</v>
      </c>
    </row>
    <row r="23" spans="1:14" ht="16" customHeight="1">
      <c r="A23" s="143" t="s">
        <v>33</v>
      </c>
      <c r="B23" s="642">
        <f t="shared" si="0"/>
        <v>4172</v>
      </c>
      <c r="C23" s="238">
        <v>341</v>
      </c>
      <c r="D23" s="238">
        <v>318</v>
      </c>
      <c r="E23" s="238">
        <v>336</v>
      </c>
      <c r="F23" s="238">
        <v>350</v>
      </c>
      <c r="G23" s="238">
        <v>352</v>
      </c>
      <c r="H23" s="238">
        <v>336</v>
      </c>
      <c r="I23" s="238">
        <v>361</v>
      </c>
      <c r="J23" s="238">
        <v>357</v>
      </c>
      <c r="K23" s="238">
        <v>334</v>
      </c>
      <c r="L23" s="238">
        <v>363</v>
      </c>
      <c r="M23" s="238">
        <v>343</v>
      </c>
      <c r="N23" s="238">
        <v>381</v>
      </c>
    </row>
    <row r="24" spans="1:14" ht="16" customHeight="1">
      <c r="A24" s="143" t="s">
        <v>34</v>
      </c>
      <c r="B24" s="642">
        <f t="shared" si="0"/>
        <v>19294</v>
      </c>
      <c r="C24" s="238">
        <v>1480</v>
      </c>
      <c r="D24" s="238">
        <v>1328</v>
      </c>
      <c r="E24" s="238">
        <v>1488</v>
      </c>
      <c r="F24" s="238">
        <v>1672</v>
      </c>
      <c r="G24" s="238">
        <v>1697</v>
      </c>
      <c r="H24" s="238">
        <v>1781</v>
      </c>
      <c r="I24" s="238">
        <v>1607</v>
      </c>
      <c r="J24" s="238">
        <v>1682</v>
      </c>
      <c r="K24" s="238">
        <v>1570</v>
      </c>
      <c r="L24" s="238">
        <v>1668</v>
      </c>
      <c r="M24" s="238">
        <v>1684</v>
      </c>
      <c r="N24" s="238">
        <v>1637</v>
      </c>
    </row>
    <row r="25" spans="1:14" ht="16" customHeight="1">
      <c r="A25" s="121" t="s">
        <v>35</v>
      </c>
      <c r="B25" s="642">
        <f t="shared" si="0"/>
        <v>8197</v>
      </c>
      <c r="C25" s="238">
        <v>827</v>
      </c>
      <c r="D25" s="238">
        <v>856</v>
      </c>
      <c r="E25" s="238">
        <v>767</v>
      </c>
      <c r="F25" s="238">
        <v>668</v>
      </c>
      <c r="G25" s="238">
        <v>665</v>
      </c>
      <c r="H25" s="238">
        <v>656</v>
      </c>
      <c r="I25" s="238">
        <v>651</v>
      </c>
      <c r="J25" s="238">
        <v>649</v>
      </c>
      <c r="K25" s="238">
        <v>629</v>
      </c>
      <c r="L25" s="238">
        <v>614</v>
      </c>
      <c r="M25" s="238">
        <v>593</v>
      </c>
      <c r="N25" s="238">
        <v>622</v>
      </c>
    </row>
    <row r="26" spans="1:14" ht="16" customHeight="1">
      <c r="A26" s="143" t="s">
        <v>36</v>
      </c>
      <c r="B26" s="642">
        <f t="shared" si="0"/>
        <v>1039.8962212282254</v>
      </c>
      <c r="C26" s="238">
        <v>87</v>
      </c>
      <c r="D26" s="238">
        <v>65</v>
      </c>
      <c r="E26" s="238">
        <v>72.896221228225514</v>
      </c>
      <c r="F26" s="238">
        <v>88</v>
      </c>
      <c r="G26" s="238">
        <v>102</v>
      </c>
      <c r="H26" s="238">
        <v>105</v>
      </c>
      <c r="I26" s="238">
        <v>85</v>
      </c>
      <c r="J26" s="238">
        <v>78</v>
      </c>
      <c r="K26" s="238">
        <v>102</v>
      </c>
      <c r="L26" s="238">
        <v>92</v>
      </c>
      <c r="M26" s="238">
        <v>78</v>
      </c>
      <c r="N26" s="238">
        <v>85</v>
      </c>
    </row>
    <row r="27" spans="1:14" ht="16" customHeight="1">
      <c r="A27" s="143" t="s">
        <v>37</v>
      </c>
      <c r="B27" s="642">
        <f t="shared" si="0"/>
        <v>6008</v>
      </c>
      <c r="C27" s="238">
        <v>360</v>
      </c>
      <c r="D27" s="238">
        <v>406</v>
      </c>
      <c r="E27" s="238">
        <v>423</v>
      </c>
      <c r="F27" s="238">
        <v>471</v>
      </c>
      <c r="G27" s="238">
        <v>515</v>
      </c>
      <c r="H27" s="238">
        <v>516</v>
      </c>
      <c r="I27" s="238">
        <v>548</v>
      </c>
      <c r="J27" s="238">
        <v>533</v>
      </c>
      <c r="K27" s="238">
        <v>541</v>
      </c>
      <c r="L27" s="238">
        <v>511</v>
      </c>
      <c r="M27" s="238">
        <v>584</v>
      </c>
      <c r="N27" s="238">
        <v>600</v>
      </c>
    </row>
    <row r="28" spans="1:14" ht="16" customHeight="1">
      <c r="A28" s="143" t="s">
        <v>38</v>
      </c>
      <c r="B28" s="642">
        <f t="shared" si="0"/>
        <v>23826</v>
      </c>
      <c r="C28" s="238">
        <v>1866</v>
      </c>
      <c r="D28" s="238">
        <v>1683</v>
      </c>
      <c r="E28" s="238">
        <v>2108</v>
      </c>
      <c r="F28" s="238">
        <v>2189</v>
      </c>
      <c r="G28" s="238">
        <v>2418</v>
      </c>
      <c r="H28" s="238">
        <v>2173</v>
      </c>
      <c r="I28" s="238">
        <v>2207</v>
      </c>
      <c r="J28" s="238">
        <v>2083</v>
      </c>
      <c r="K28" s="238">
        <v>1782</v>
      </c>
      <c r="L28" s="238">
        <v>1589</v>
      </c>
      <c r="M28" s="238">
        <v>1657</v>
      </c>
      <c r="N28" s="238">
        <v>2071</v>
      </c>
    </row>
    <row r="29" spans="1:14" ht="16" customHeight="1">
      <c r="A29" s="143" t="s">
        <v>39</v>
      </c>
      <c r="B29" s="642">
        <f t="shared" si="0"/>
        <v>14110</v>
      </c>
      <c r="C29" s="238">
        <v>1361</v>
      </c>
      <c r="D29" s="238">
        <v>1365</v>
      </c>
      <c r="E29" s="238">
        <v>1379</v>
      </c>
      <c r="F29" s="238">
        <v>1334</v>
      </c>
      <c r="G29" s="238">
        <v>1194</v>
      </c>
      <c r="H29" s="238">
        <v>1199</v>
      </c>
      <c r="I29" s="238">
        <v>1177</v>
      </c>
      <c r="J29" s="238">
        <v>1119</v>
      </c>
      <c r="K29" s="238">
        <v>1031</v>
      </c>
      <c r="L29" s="238">
        <v>1013</v>
      </c>
      <c r="M29" s="238">
        <v>981</v>
      </c>
      <c r="N29" s="238">
        <v>957</v>
      </c>
    </row>
    <row r="30" spans="1:14" ht="16" customHeight="1">
      <c r="A30" s="119" t="s">
        <v>97</v>
      </c>
      <c r="B30" s="642">
        <f t="shared" si="0"/>
        <v>4026</v>
      </c>
      <c r="C30" s="238">
        <v>394</v>
      </c>
      <c r="D30" s="238">
        <v>368</v>
      </c>
      <c r="E30" s="238">
        <v>370</v>
      </c>
      <c r="F30" s="238">
        <v>361</v>
      </c>
      <c r="G30" s="238">
        <v>361</v>
      </c>
      <c r="H30" s="238">
        <v>350</v>
      </c>
      <c r="I30" s="238">
        <v>310</v>
      </c>
      <c r="J30" s="238">
        <v>312</v>
      </c>
      <c r="K30" s="238">
        <v>302</v>
      </c>
      <c r="L30" s="238">
        <v>299</v>
      </c>
      <c r="M30" s="238">
        <v>309</v>
      </c>
      <c r="N30" s="238">
        <v>290</v>
      </c>
    </row>
    <row r="31" spans="1:14" ht="16" customHeight="1">
      <c r="A31" s="119" t="s">
        <v>98</v>
      </c>
      <c r="B31" s="642">
        <f t="shared" si="0"/>
        <v>10084</v>
      </c>
      <c r="C31" s="238">
        <v>967</v>
      </c>
      <c r="D31" s="238">
        <v>997</v>
      </c>
      <c r="E31" s="238">
        <v>1009</v>
      </c>
      <c r="F31" s="238">
        <v>973</v>
      </c>
      <c r="G31" s="238">
        <v>833</v>
      </c>
      <c r="H31" s="238">
        <v>849</v>
      </c>
      <c r="I31" s="238">
        <v>867</v>
      </c>
      <c r="J31" s="238">
        <v>807</v>
      </c>
      <c r="K31" s="238">
        <v>729</v>
      </c>
      <c r="L31" s="238">
        <v>714</v>
      </c>
      <c r="M31" s="238">
        <v>672</v>
      </c>
      <c r="N31" s="238">
        <v>667</v>
      </c>
    </row>
    <row r="32" spans="1:14" ht="16" customHeight="1">
      <c r="A32" s="143" t="s">
        <v>42</v>
      </c>
      <c r="B32" s="642">
        <f t="shared" si="0"/>
        <v>4697</v>
      </c>
      <c r="C32" s="238">
        <v>367</v>
      </c>
      <c r="D32" s="238">
        <v>409</v>
      </c>
      <c r="E32" s="238">
        <v>394</v>
      </c>
      <c r="F32" s="238">
        <v>401</v>
      </c>
      <c r="G32" s="238">
        <v>394</v>
      </c>
      <c r="H32" s="238">
        <v>384</v>
      </c>
      <c r="I32" s="238">
        <v>390</v>
      </c>
      <c r="J32" s="238">
        <v>401</v>
      </c>
      <c r="K32" s="238">
        <v>397</v>
      </c>
      <c r="L32" s="238">
        <v>380</v>
      </c>
      <c r="M32" s="238">
        <v>399</v>
      </c>
      <c r="N32" s="238">
        <v>381</v>
      </c>
    </row>
    <row r="33" spans="1:14" ht="16" customHeight="1">
      <c r="A33" s="143" t="s">
        <v>43</v>
      </c>
      <c r="B33" s="642">
        <f t="shared" si="0"/>
        <v>0</v>
      </c>
      <c r="C33" s="238">
        <v>0</v>
      </c>
      <c r="D33" s="238">
        <v>0</v>
      </c>
      <c r="E33" s="238">
        <v>0</v>
      </c>
      <c r="F33" s="238">
        <v>0</v>
      </c>
      <c r="G33" s="238">
        <v>0</v>
      </c>
      <c r="H33" s="238">
        <v>0</v>
      </c>
      <c r="I33" s="238">
        <v>0</v>
      </c>
      <c r="J33" s="238">
        <v>0</v>
      </c>
      <c r="K33" s="238">
        <v>0</v>
      </c>
      <c r="L33" s="238">
        <v>0</v>
      </c>
      <c r="M33" s="238">
        <v>0</v>
      </c>
      <c r="N33" s="238">
        <v>0</v>
      </c>
    </row>
    <row r="34" spans="1:14" ht="16" customHeight="1">
      <c r="A34" s="121" t="s">
        <v>44</v>
      </c>
      <c r="B34" s="642">
        <f t="shared" si="0"/>
        <v>0</v>
      </c>
      <c r="C34" s="238">
        <v>0</v>
      </c>
      <c r="D34" s="238">
        <v>0</v>
      </c>
      <c r="E34" s="238">
        <v>0</v>
      </c>
      <c r="F34" s="238">
        <v>0</v>
      </c>
      <c r="G34" s="238">
        <v>0</v>
      </c>
      <c r="H34" s="238">
        <v>0</v>
      </c>
      <c r="I34" s="238">
        <v>0</v>
      </c>
      <c r="J34" s="238">
        <v>0</v>
      </c>
      <c r="K34" s="238">
        <v>0</v>
      </c>
      <c r="L34" s="238">
        <v>0</v>
      </c>
      <c r="M34" s="238">
        <v>0</v>
      </c>
      <c r="N34" s="238">
        <v>0</v>
      </c>
    </row>
    <row r="35" spans="1:14" ht="16" customHeight="1">
      <c r="A35" s="121" t="s">
        <v>45</v>
      </c>
      <c r="B35" s="642">
        <f t="shared" si="0"/>
        <v>28.125599999999999</v>
      </c>
      <c r="C35" s="238">
        <v>4</v>
      </c>
      <c r="D35" s="238">
        <v>2</v>
      </c>
      <c r="E35" s="238">
        <v>2</v>
      </c>
      <c r="F35" s="238">
        <v>2</v>
      </c>
      <c r="G35" s="238">
        <v>2</v>
      </c>
      <c r="H35" s="238">
        <v>2</v>
      </c>
      <c r="I35" s="238">
        <v>2</v>
      </c>
      <c r="J35" s="238">
        <v>2</v>
      </c>
      <c r="K35" s="238">
        <v>2</v>
      </c>
      <c r="L35" s="238">
        <v>2</v>
      </c>
      <c r="M35" s="238">
        <v>2.1255999999999999</v>
      </c>
      <c r="N35" s="238">
        <v>4</v>
      </c>
    </row>
    <row r="36" spans="1:14" ht="16" customHeight="1">
      <c r="A36" s="121" t="s">
        <v>46</v>
      </c>
      <c r="B36" s="642">
        <f t="shared" si="0"/>
        <v>0</v>
      </c>
      <c r="C36" s="238">
        <v>0</v>
      </c>
      <c r="D36" s="238">
        <v>0</v>
      </c>
      <c r="E36" s="238">
        <v>0</v>
      </c>
      <c r="F36" s="238">
        <v>0</v>
      </c>
      <c r="G36" s="238">
        <v>0</v>
      </c>
      <c r="H36" s="238">
        <v>0</v>
      </c>
      <c r="I36" s="238">
        <v>0</v>
      </c>
      <c r="J36" s="238">
        <v>0</v>
      </c>
      <c r="K36" s="238">
        <v>0</v>
      </c>
      <c r="L36" s="238">
        <v>0</v>
      </c>
      <c r="M36" s="238">
        <v>0</v>
      </c>
      <c r="N36" s="238">
        <v>0</v>
      </c>
    </row>
    <row r="37" spans="1:14" ht="16" customHeight="1" thickBot="1">
      <c r="A37" s="145" t="s">
        <v>47</v>
      </c>
      <c r="B37" s="643">
        <f t="shared" si="0"/>
        <v>0</v>
      </c>
      <c r="C37" s="239">
        <v>0</v>
      </c>
      <c r="D37" s="239">
        <v>0</v>
      </c>
      <c r="E37" s="239">
        <v>0</v>
      </c>
      <c r="F37" s="239">
        <v>0</v>
      </c>
      <c r="G37" s="239">
        <v>0</v>
      </c>
      <c r="H37" s="239">
        <v>0</v>
      </c>
      <c r="I37" s="239">
        <v>0</v>
      </c>
      <c r="J37" s="239">
        <v>0</v>
      </c>
      <c r="K37" s="239">
        <v>0</v>
      </c>
      <c r="L37" s="239">
        <v>0</v>
      </c>
      <c r="M37" s="239">
        <v>0</v>
      </c>
      <c r="N37" s="239">
        <v>0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Hoja64">
    <tabColor theme="9" tint="0.59999389629810485"/>
  </sheetPr>
  <dimension ref="A4:Y54"/>
  <sheetViews>
    <sheetView showGridLines="0" zoomScaleNormal="100" workbookViewId="0">
      <selection activeCell="A9" sqref="A9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25" ht="13" customHeight="1">
      <c r="A4" s="229" t="s">
        <v>583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25" ht="12" customHeight="1">
      <c r="A5" s="232" t="s">
        <v>210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25" ht="6" customHeight="1" thickBot="1"/>
    <row r="7" spans="1:25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  <c r="O7" s="143"/>
      <c r="P7" s="122"/>
      <c r="Q7" s="147"/>
      <c r="R7" s="147"/>
      <c r="S7" s="147"/>
      <c r="T7" s="147"/>
      <c r="U7" s="147"/>
      <c r="V7" s="147"/>
      <c r="W7" s="147"/>
    </row>
    <row r="8" spans="1:25" ht="18" customHeight="1">
      <c r="A8" s="647" t="s">
        <v>87</v>
      </c>
      <c r="B8" s="650">
        <f t="shared" ref="B8:B37" si="0">SUM(C8:N8)</f>
        <v>4951.9427489497693</v>
      </c>
      <c r="C8" s="650">
        <f t="shared" ref="C8:N8" si="1">(C9+C10+C11+C12+C13+C17+C18+C19+C20+C21+C22+C23+C24+C25+C26+C27+C28+C29+C32+C33+C34+C35+C36+C37)</f>
        <v>383.94363412554998</v>
      </c>
      <c r="D8" s="650">
        <f t="shared" si="1"/>
        <v>390.0634386210171</v>
      </c>
      <c r="E8" s="650">
        <f t="shared" si="1"/>
        <v>415.99585266666662</v>
      </c>
      <c r="F8" s="650">
        <f t="shared" si="1"/>
        <v>423.27949965512278</v>
      </c>
      <c r="G8" s="650">
        <f t="shared" si="1"/>
        <v>438.97931251323968</v>
      </c>
      <c r="H8" s="650">
        <f t="shared" si="1"/>
        <v>454.08653425</v>
      </c>
      <c r="I8" s="650">
        <f t="shared" si="1"/>
        <v>452.71225149697113</v>
      </c>
      <c r="J8" s="650">
        <f t="shared" si="1"/>
        <v>428.14652057291823</v>
      </c>
      <c r="K8" s="650">
        <f t="shared" si="1"/>
        <v>389.95810799999992</v>
      </c>
      <c r="L8" s="650">
        <f t="shared" si="1"/>
        <v>373.78544804828363</v>
      </c>
      <c r="M8" s="650">
        <f t="shared" si="1"/>
        <v>384.77718100000004</v>
      </c>
      <c r="N8" s="650">
        <f t="shared" si="1"/>
        <v>416.21496800000011</v>
      </c>
      <c r="P8" s="122"/>
      <c r="Q8" s="138"/>
      <c r="R8" s="138"/>
      <c r="S8" s="126"/>
      <c r="T8" s="138"/>
      <c r="U8" s="138"/>
      <c r="V8" s="138"/>
      <c r="W8" s="126"/>
      <c r="Y8" s="151"/>
    </row>
    <row r="9" spans="1:25" ht="16" customHeight="1">
      <c r="A9" s="143" t="s">
        <v>19</v>
      </c>
      <c r="B9" s="651">
        <f t="shared" si="0"/>
        <v>235.82369999999997</v>
      </c>
      <c r="C9" s="242">
        <v>21.148</v>
      </c>
      <c r="D9" s="242">
        <v>20.728999999999999</v>
      </c>
      <c r="E9" s="242">
        <v>19.457999999999998</v>
      </c>
      <c r="F9" s="242">
        <v>19.171199999999999</v>
      </c>
      <c r="G9" s="242">
        <v>19.069800000000001</v>
      </c>
      <c r="H9" s="242">
        <v>18.707000000000001</v>
      </c>
      <c r="I9" s="242">
        <v>19.997</v>
      </c>
      <c r="J9" s="242">
        <v>19.541</v>
      </c>
      <c r="K9" s="242">
        <v>19.564</v>
      </c>
      <c r="L9" s="242">
        <v>19.163699999999999</v>
      </c>
      <c r="M9" s="242">
        <v>21.808</v>
      </c>
      <c r="N9" s="242">
        <v>17.466999999999999</v>
      </c>
      <c r="O9" s="149"/>
    </row>
    <row r="10" spans="1:25" ht="16" customHeight="1">
      <c r="A10" s="143" t="s">
        <v>20</v>
      </c>
      <c r="B10" s="651">
        <f t="shared" si="0"/>
        <v>1385.0618640200644</v>
      </c>
      <c r="C10" s="242">
        <v>103.398</v>
      </c>
      <c r="D10" s="242">
        <v>109.697920171017</v>
      </c>
      <c r="E10" s="242">
        <v>128.328</v>
      </c>
      <c r="F10" s="242">
        <v>132.76763902212267</v>
      </c>
      <c r="G10" s="242">
        <v>137.68495898590498</v>
      </c>
      <c r="H10" s="242">
        <v>145.60599999999999</v>
      </c>
      <c r="I10" s="242">
        <v>139.75540949697123</v>
      </c>
      <c r="J10" s="242">
        <v>131.34420429576463</v>
      </c>
      <c r="K10" s="242">
        <v>96.409000000000006</v>
      </c>
      <c r="L10" s="242">
        <v>79.194732048283697</v>
      </c>
      <c r="M10" s="242">
        <v>83.046999999999997</v>
      </c>
      <c r="N10" s="242">
        <v>97.828999999999994</v>
      </c>
    </row>
    <row r="11" spans="1:25" ht="16" customHeight="1">
      <c r="A11" s="143" t="s">
        <v>21</v>
      </c>
      <c r="B11" s="651">
        <f t="shared" si="0"/>
        <v>267.16340000000002</v>
      </c>
      <c r="C11" s="242">
        <v>20.742999999999999</v>
      </c>
      <c r="D11" s="242">
        <v>19.375</v>
      </c>
      <c r="E11" s="242">
        <v>17.878900000000002</v>
      </c>
      <c r="F11" s="242">
        <v>17.341999999999999</v>
      </c>
      <c r="G11" s="242">
        <v>21.006399999999999</v>
      </c>
      <c r="H11" s="242">
        <v>21.867999999999999</v>
      </c>
      <c r="I11" s="242">
        <v>23.401499999999999</v>
      </c>
      <c r="J11" s="242">
        <v>20.884</v>
      </c>
      <c r="K11" s="242">
        <v>24.043600000000001</v>
      </c>
      <c r="L11" s="242">
        <v>25.738</v>
      </c>
      <c r="M11" s="242">
        <v>24.506</v>
      </c>
      <c r="N11" s="242">
        <v>30.376999999999999</v>
      </c>
    </row>
    <row r="12" spans="1:25" ht="16" customHeight="1">
      <c r="A12" s="121" t="s">
        <v>22</v>
      </c>
      <c r="B12" s="651">
        <f t="shared" si="0"/>
        <v>470.46452000000011</v>
      </c>
      <c r="C12" s="242">
        <v>36.885752000000004</v>
      </c>
      <c r="D12" s="242">
        <v>39.540708000000009</v>
      </c>
      <c r="E12" s="242">
        <v>43.452335999999995</v>
      </c>
      <c r="F12" s="242">
        <v>38.210816000000008</v>
      </c>
      <c r="G12" s="242">
        <v>37.864436000000012</v>
      </c>
      <c r="H12" s="242">
        <v>40.929203999999999</v>
      </c>
      <c r="I12" s="242">
        <v>39.232264000000001</v>
      </c>
      <c r="J12" s="242">
        <v>39.649168000000003</v>
      </c>
      <c r="K12" s="242">
        <v>39.033527999999997</v>
      </c>
      <c r="L12" s="242">
        <v>37.099091999999999</v>
      </c>
      <c r="M12" s="242">
        <v>39.845628000000005</v>
      </c>
      <c r="N12" s="242">
        <v>38.721587999999997</v>
      </c>
    </row>
    <row r="13" spans="1:25" ht="16" customHeight="1">
      <c r="A13" s="143" t="s">
        <v>23</v>
      </c>
      <c r="B13" s="651">
        <f t="shared" si="0"/>
        <v>232.62599</v>
      </c>
      <c r="C13" s="242">
        <v>19.384</v>
      </c>
      <c r="D13" s="242">
        <v>19.625600000000002</v>
      </c>
      <c r="E13" s="242">
        <v>18.262</v>
      </c>
      <c r="F13" s="242">
        <v>17.074089999999998</v>
      </c>
      <c r="G13" s="242">
        <v>20.030099999999997</v>
      </c>
      <c r="H13" s="242">
        <v>21.129000000000001</v>
      </c>
      <c r="I13" s="242">
        <v>23.022999999999996</v>
      </c>
      <c r="J13" s="242">
        <v>17.725999999999999</v>
      </c>
      <c r="K13" s="242">
        <v>18.052</v>
      </c>
      <c r="L13" s="242">
        <v>18.192999999999998</v>
      </c>
      <c r="M13" s="242">
        <v>19.4772</v>
      </c>
      <c r="N13" s="242">
        <v>20.65</v>
      </c>
    </row>
    <row r="14" spans="1:25" ht="16" customHeight="1">
      <c r="A14" s="119" t="s">
        <v>94</v>
      </c>
      <c r="B14" s="651">
        <f t="shared" si="0"/>
        <v>131.54089999999999</v>
      </c>
      <c r="C14" s="242">
        <v>11.638</v>
      </c>
      <c r="D14" s="242">
        <v>12.0647</v>
      </c>
      <c r="E14" s="242">
        <v>11.513</v>
      </c>
      <c r="F14" s="242">
        <v>8.891</v>
      </c>
      <c r="G14" s="242">
        <v>9.1351999999999993</v>
      </c>
      <c r="H14" s="242">
        <v>9.9670000000000005</v>
      </c>
      <c r="I14" s="242">
        <v>11.087999999999999</v>
      </c>
      <c r="J14" s="242">
        <v>10.606999999999999</v>
      </c>
      <c r="K14" s="242">
        <v>10.704000000000001</v>
      </c>
      <c r="L14" s="242">
        <v>10.808999999999999</v>
      </c>
      <c r="M14" s="242">
        <v>12.068</v>
      </c>
      <c r="N14" s="242">
        <v>13.055999999999999</v>
      </c>
    </row>
    <row r="15" spans="1:25" ht="16" customHeight="1">
      <c r="A15" s="119" t="s">
        <v>95</v>
      </c>
      <c r="B15" s="651">
        <f t="shared" si="0"/>
        <v>15.663899999999998</v>
      </c>
      <c r="C15" s="242">
        <v>1.304</v>
      </c>
      <c r="D15" s="242">
        <v>1.1369</v>
      </c>
      <c r="E15" s="242">
        <v>1.242</v>
      </c>
      <c r="F15" s="242">
        <v>1.216</v>
      </c>
      <c r="G15" s="242">
        <v>1.347</v>
      </c>
      <c r="H15" s="242">
        <v>1.554</v>
      </c>
      <c r="I15" s="242">
        <v>1.607</v>
      </c>
      <c r="J15" s="242">
        <v>1.248</v>
      </c>
      <c r="K15" s="242">
        <v>1.2310000000000001</v>
      </c>
      <c r="L15" s="242">
        <v>1.337</v>
      </c>
      <c r="M15" s="242">
        <v>1.3540000000000001</v>
      </c>
      <c r="N15" s="242">
        <v>1.087</v>
      </c>
    </row>
    <row r="16" spans="1:25" ht="16" customHeight="1">
      <c r="A16" s="119" t="s">
        <v>96</v>
      </c>
      <c r="B16" s="651">
        <f t="shared" si="0"/>
        <v>85.421189999999996</v>
      </c>
      <c r="C16" s="242">
        <v>6.4420000000000002</v>
      </c>
      <c r="D16" s="242">
        <v>6.4240000000000004</v>
      </c>
      <c r="E16" s="242">
        <v>5.5069999999999997</v>
      </c>
      <c r="F16" s="242">
        <v>6.9670899999999998</v>
      </c>
      <c r="G16" s="242">
        <v>9.5479000000000003</v>
      </c>
      <c r="H16" s="242">
        <v>9.6080000000000005</v>
      </c>
      <c r="I16" s="242">
        <v>10.327999999999999</v>
      </c>
      <c r="J16" s="242">
        <v>5.8710000000000004</v>
      </c>
      <c r="K16" s="242">
        <v>6.117</v>
      </c>
      <c r="L16" s="242">
        <v>6.0469999999999997</v>
      </c>
      <c r="M16" s="242">
        <v>6.0552000000000001</v>
      </c>
      <c r="N16" s="242">
        <v>6.5069999999999997</v>
      </c>
    </row>
    <row r="17" spans="1:14" ht="16" customHeight="1">
      <c r="A17" s="143" t="s">
        <v>27</v>
      </c>
      <c r="B17" s="651">
        <f t="shared" si="0"/>
        <v>64.570199999999986</v>
      </c>
      <c r="C17" s="242">
        <v>5.7733999999999988</v>
      </c>
      <c r="D17" s="242">
        <v>5.5839999999999996</v>
      </c>
      <c r="E17" s="242">
        <v>4.2275999999999989</v>
      </c>
      <c r="F17" s="242">
        <v>3.4856000000000003</v>
      </c>
      <c r="G17" s="242">
        <v>4.5640000000000001</v>
      </c>
      <c r="H17" s="242">
        <v>5.0797999999999988</v>
      </c>
      <c r="I17" s="242">
        <v>5.5952000000000002</v>
      </c>
      <c r="J17" s="242">
        <v>5.4839999999999991</v>
      </c>
      <c r="K17" s="242">
        <v>5.7222</v>
      </c>
      <c r="L17" s="242">
        <v>5.5961999999999996</v>
      </c>
      <c r="M17" s="242">
        <v>6.156600000000001</v>
      </c>
      <c r="N17" s="242">
        <v>7.3015999999999996</v>
      </c>
    </row>
    <row r="18" spans="1:14" ht="16" customHeight="1">
      <c r="A18" s="121" t="s">
        <v>28</v>
      </c>
      <c r="B18" s="651">
        <f t="shared" si="0"/>
        <v>213.49165782215354</v>
      </c>
      <c r="C18" s="242">
        <v>14.771426649999999</v>
      </c>
      <c r="D18" s="242">
        <v>15.2263503</v>
      </c>
      <c r="E18" s="242">
        <v>16.646599999999999</v>
      </c>
      <c r="F18" s="242">
        <v>18.423891595000001</v>
      </c>
      <c r="G18" s="242">
        <v>16.369499999999999</v>
      </c>
      <c r="H18" s="242">
        <v>17.102239999999998</v>
      </c>
      <c r="I18" s="242">
        <v>19.121137999999998</v>
      </c>
      <c r="J18" s="242">
        <v>18.981188277153556</v>
      </c>
      <c r="K18" s="242">
        <v>18.453600000000002</v>
      </c>
      <c r="L18" s="242">
        <v>19.1264</v>
      </c>
      <c r="M18" s="242">
        <v>19.621023000000001</v>
      </c>
      <c r="N18" s="242">
        <v>19.648299999999999</v>
      </c>
    </row>
    <row r="19" spans="1:14" ht="16" customHeight="1">
      <c r="A19" s="121" t="s">
        <v>29</v>
      </c>
      <c r="B19" s="651">
        <f t="shared" si="0"/>
        <v>475.49328000000003</v>
      </c>
      <c r="C19" s="242">
        <v>39.034680000000002</v>
      </c>
      <c r="D19" s="242">
        <v>36.712479999999999</v>
      </c>
      <c r="E19" s="242">
        <v>33.288640000000001</v>
      </c>
      <c r="F19" s="242">
        <v>39.184080000000002</v>
      </c>
      <c r="G19" s="242">
        <v>39.919360000000005</v>
      </c>
      <c r="H19" s="242">
        <v>43.106720000000003</v>
      </c>
      <c r="I19" s="242">
        <v>42.890999999999998</v>
      </c>
      <c r="J19" s="242">
        <v>39.680840000000003</v>
      </c>
      <c r="K19" s="242">
        <v>39.947000000000003</v>
      </c>
      <c r="L19" s="242">
        <v>38.9604</v>
      </c>
      <c r="M19" s="242">
        <v>40.6066</v>
      </c>
      <c r="N19" s="242">
        <v>42.161479999999997</v>
      </c>
    </row>
    <row r="20" spans="1:14" ht="16" customHeight="1">
      <c r="A20" s="143" t="s">
        <v>30</v>
      </c>
      <c r="B20" s="651">
        <f t="shared" si="0"/>
        <v>299.14561999999995</v>
      </c>
      <c r="C20" s="242">
        <v>21.867999999999999</v>
      </c>
      <c r="D20" s="242">
        <v>25.619720000000001</v>
      </c>
      <c r="E20" s="242">
        <v>24.289000000000001</v>
      </c>
      <c r="F20" s="242">
        <v>25.047000000000001</v>
      </c>
      <c r="G20" s="242">
        <v>24.559000000000001</v>
      </c>
      <c r="H20" s="242">
        <v>23.907</v>
      </c>
      <c r="I20" s="242">
        <v>25.0367</v>
      </c>
      <c r="J20" s="242">
        <v>25.260400000000001</v>
      </c>
      <c r="K20" s="242">
        <v>25.088100000000001</v>
      </c>
      <c r="L20" s="242">
        <v>25.545999999999999</v>
      </c>
      <c r="M20" s="242">
        <v>23.250699999999998</v>
      </c>
      <c r="N20" s="242">
        <v>29.673999999999999</v>
      </c>
    </row>
    <row r="21" spans="1:14" ht="16" customHeight="1">
      <c r="A21" s="143" t="s">
        <v>31</v>
      </c>
      <c r="B21" s="651">
        <f t="shared" si="0"/>
        <v>260.25512000000003</v>
      </c>
      <c r="C21" s="242">
        <v>18.885999999999999</v>
      </c>
      <c r="D21" s="242">
        <v>19.2896</v>
      </c>
      <c r="E21" s="242">
        <v>20.636399999999998</v>
      </c>
      <c r="F21" s="242">
        <v>19.848400000000002</v>
      </c>
      <c r="G21" s="242">
        <v>21.148800000000001</v>
      </c>
      <c r="H21" s="242">
        <v>22.179120000000001</v>
      </c>
      <c r="I21" s="242">
        <v>22.8628</v>
      </c>
      <c r="J21" s="242">
        <v>21.8628</v>
      </c>
      <c r="K21" s="242">
        <v>20.896000000000004</v>
      </c>
      <c r="L21" s="242">
        <v>24.285599999999999</v>
      </c>
      <c r="M21" s="242">
        <v>23.782</v>
      </c>
      <c r="N21" s="242">
        <v>24.577600000000004</v>
      </c>
    </row>
    <row r="22" spans="1:14" ht="16" customHeight="1">
      <c r="A22" s="143" t="s">
        <v>32</v>
      </c>
      <c r="B22" s="651">
        <f t="shared" si="0"/>
        <v>13.510201726549999</v>
      </c>
      <c r="C22" s="242">
        <v>0.71595668854999994</v>
      </c>
      <c r="D22" s="242">
        <v>0.53800000000000003</v>
      </c>
      <c r="E22" s="242">
        <v>0.90807999999999989</v>
      </c>
      <c r="F22" s="242">
        <v>1.070147038</v>
      </c>
      <c r="G22" s="242">
        <v>1.332414</v>
      </c>
      <c r="H22" s="242">
        <v>1.3291599999999999</v>
      </c>
      <c r="I22" s="242">
        <v>1.81464</v>
      </c>
      <c r="J22" s="242">
        <v>1.1802999999999999</v>
      </c>
      <c r="K22" s="242">
        <v>0.93347999999999998</v>
      </c>
      <c r="L22" s="242">
        <v>0.89022400000000002</v>
      </c>
      <c r="M22" s="242">
        <v>1.2422</v>
      </c>
      <c r="N22" s="242">
        <v>1.5556000000000001</v>
      </c>
    </row>
    <row r="23" spans="1:14" ht="16" customHeight="1">
      <c r="A23" s="143" t="s">
        <v>33</v>
      </c>
      <c r="B23" s="651">
        <f t="shared" si="0"/>
        <v>43.489600000000003</v>
      </c>
      <c r="C23" s="242">
        <v>3.5727999999999995</v>
      </c>
      <c r="D23" s="242">
        <v>3.3488000000000007</v>
      </c>
      <c r="E23" s="242">
        <v>3.5815999999999999</v>
      </c>
      <c r="F23" s="242">
        <v>3.7012000000000009</v>
      </c>
      <c r="G23" s="242">
        <v>3.6891999999999983</v>
      </c>
      <c r="H23" s="242">
        <v>3.4896000000000011</v>
      </c>
      <c r="I23" s="242">
        <v>3.7303999999999995</v>
      </c>
      <c r="J23" s="242">
        <v>3.6599999999999997</v>
      </c>
      <c r="K23" s="242">
        <v>3.45</v>
      </c>
      <c r="L23" s="242">
        <v>3.7259999999999991</v>
      </c>
      <c r="M23" s="242">
        <v>3.5819999999999994</v>
      </c>
      <c r="N23" s="242">
        <v>3.9580000000000006</v>
      </c>
    </row>
    <row r="24" spans="1:14" ht="16" customHeight="1">
      <c r="A24" s="143" t="s">
        <v>34</v>
      </c>
      <c r="B24" s="651">
        <f t="shared" si="0"/>
        <v>270.48599999999999</v>
      </c>
      <c r="C24" s="242">
        <v>19.648</v>
      </c>
      <c r="D24" s="242">
        <v>18.014199999999999</v>
      </c>
      <c r="E24" s="242">
        <v>21.847000000000001</v>
      </c>
      <c r="F24" s="242">
        <v>24.478000000000002</v>
      </c>
      <c r="G24" s="242">
        <v>25.0458</v>
      </c>
      <c r="H24" s="242">
        <v>26.129000000000001</v>
      </c>
      <c r="I24" s="242">
        <v>21.509</v>
      </c>
      <c r="J24" s="242">
        <v>22.047000000000001</v>
      </c>
      <c r="K24" s="242">
        <v>21.808</v>
      </c>
      <c r="L24" s="242">
        <v>23.341000000000001</v>
      </c>
      <c r="M24" s="242">
        <v>23.446999999999999</v>
      </c>
      <c r="N24" s="242">
        <v>23.172000000000001</v>
      </c>
    </row>
    <row r="25" spans="1:14" ht="16" customHeight="1">
      <c r="A25" s="121" t="s">
        <v>35</v>
      </c>
      <c r="B25" s="651">
        <f t="shared" si="0"/>
        <v>96.582800000000006</v>
      </c>
      <c r="C25" s="242">
        <v>10.043099999999999</v>
      </c>
      <c r="D25" s="242">
        <v>9.8388999999999989</v>
      </c>
      <c r="E25" s="242">
        <v>9.006000000000002</v>
      </c>
      <c r="F25" s="242">
        <v>8.0628000000000011</v>
      </c>
      <c r="G25" s="242">
        <v>7.980900000000001</v>
      </c>
      <c r="H25" s="242">
        <v>7.7713000000000001</v>
      </c>
      <c r="I25" s="242">
        <v>7.7341000000000006</v>
      </c>
      <c r="J25" s="242">
        <v>7.6472000000000007</v>
      </c>
      <c r="K25" s="242">
        <v>7.3541999999999996</v>
      </c>
      <c r="L25" s="242">
        <v>7.1398999999999999</v>
      </c>
      <c r="M25" s="242">
        <v>6.8232999999999997</v>
      </c>
      <c r="N25" s="242">
        <v>7.1810999999999998</v>
      </c>
    </row>
    <row r="26" spans="1:14" ht="16" customHeight="1">
      <c r="A26" s="143" t="s">
        <v>36</v>
      </c>
      <c r="B26" s="651">
        <f t="shared" si="0"/>
        <v>15.455268714334702</v>
      </c>
      <c r="C26" s="242">
        <v>1.346768787</v>
      </c>
      <c r="D26" s="242">
        <v>1.1727501500000002</v>
      </c>
      <c r="E26" s="242">
        <v>1.2423200000000001</v>
      </c>
      <c r="F26" s="242">
        <v>1.470736</v>
      </c>
      <c r="G26" s="242">
        <v>1.5088435273347001</v>
      </c>
      <c r="H26" s="242">
        <v>1.4793102499999999</v>
      </c>
      <c r="I26" s="242">
        <v>1.2871999999999999</v>
      </c>
      <c r="J26" s="242">
        <v>1.13872</v>
      </c>
      <c r="K26" s="242">
        <v>1.3524</v>
      </c>
      <c r="L26" s="242">
        <v>1.3220000000000001</v>
      </c>
      <c r="M26" s="242">
        <v>1.0262199999999999</v>
      </c>
      <c r="N26" s="242">
        <v>1.1080000000000001</v>
      </c>
    </row>
    <row r="27" spans="1:14" ht="16" customHeight="1">
      <c r="A27" s="143" t="s">
        <v>37</v>
      </c>
      <c r="B27" s="651">
        <f t="shared" si="0"/>
        <v>91.438866666666655</v>
      </c>
      <c r="C27" s="242">
        <v>5.4695999999999998</v>
      </c>
      <c r="D27" s="242">
        <v>6.0260000000000007</v>
      </c>
      <c r="E27" s="242">
        <v>7.0216666666666674</v>
      </c>
      <c r="F27" s="242">
        <v>7.305200000000001</v>
      </c>
      <c r="G27" s="242">
        <v>7.8792000000000009</v>
      </c>
      <c r="H27" s="242">
        <v>8.047600000000001</v>
      </c>
      <c r="I27" s="242">
        <v>8.0492000000000008</v>
      </c>
      <c r="J27" s="242">
        <v>8.1227999999999998</v>
      </c>
      <c r="K27" s="242">
        <v>8.3432000000000013</v>
      </c>
      <c r="L27" s="242">
        <v>7.8012000000000006</v>
      </c>
      <c r="M27" s="242">
        <v>8.2731999999999992</v>
      </c>
      <c r="N27" s="242">
        <v>9.1</v>
      </c>
    </row>
    <row r="28" spans="1:14" ht="16" customHeight="1">
      <c r="A28" s="143" t="s">
        <v>38</v>
      </c>
      <c r="B28" s="651">
        <f t="shared" si="0"/>
        <v>293.40100000000001</v>
      </c>
      <c r="C28" s="242">
        <v>21.646999999999998</v>
      </c>
      <c r="D28" s="242">
        <v>19.672000000000001</v>
      </c>
      <c r="E28" s="242">
        <v>25.408999999999999</v>
      </c>
      <c r="F28" s="242">
        <v>26.847000000000001</v>
      </c>
      <c r="G28" s="242">
        <v>30.617999999999999</v>
      </c>
      <c r="H28" s="242">
        <v>27.172999999999998</v>
      </c>
      <c r="I28" s="242">
        <v>28.384</v>
      </c>
      <c r="J28" s="242">
        <v>25.738</v>
      </c>
      <c r="K28" s="242">
        <v>21.861000000000001</v>
      </c>
      <c r="L28" s="242">
        <v>19.308</v>
      </c>
      <c r="M28" s="242">
        <v>21.335999999999999</v>
      </c>
      <c r="N28" s="242">
        <v>25.408000000000001</v>
      </c>
    </row>
    <row r="29" spans="1:14" ht="16" customHeight="1">
      <c r="A29" s="143" t="s">
        <v>39</v>
      </c>
      <c r="B29" s="651">
        <f t="shared" si="0"/>
        <v>168.90020000000004</v>
      </c>
      <c r="C29" s="242">
        <v>15.007</v>
      </c>
      <c r="D29" s="242">
        <v>15.466999999999999</v>
      </c>
      <c r="E29" s="242">
        <v>15.968</v>
      </c>
      <c r="F29" s="242">
        <v>15.215</v>
      </c>
      <c r="G29" s="242">
        <v>14.1448</v>
      </c>
      <c r="H29" s="242">
        <v>14.489000000000001</v>
      </c>
      <c r="I29" s="242">
        <v>14.717000000000001</v>
      </c>
      <c r="J29" s="242">
        <v>13.613</v>
      </c>
      <c r="K29" s="242">
        <v>13.077999999999999</v>
      </c>
      <c r="L29" s="242">
        <v>12.8308</v>
      </c>
      <c r="M29" s="242">
        <v>12.492599999999999</v>
      </c>
      <c r="N29" s="242">
        <v>11.878</v>
      </c>
    </row>
    <row r="30" spans="1:14" ht="16" customHeight="1">
      <c r="A30" s="119" t="s">
        <v>97</v>
      </c>
      <c r="B30" s="651">
        <f t="shared" si="0"/>
        <v>54.82119999999999</v>
      </c>
      <c r="C30" s="242">
        <v>4.9619999999999997</v>
      </c>
      <c r="D30" s="242">
        <v>4.5759999999999996</v>
      </c>
      <c r="E30" s="242">
        <v>4.7210000000000001</v>
      </c>
      <c r="F30" s="242">
        <v>4.7080000000000002</v>
      </c>
      <c r="G30" s="242">
        <v>4.8033999999999999</v>
      </c>
      <c r="H30" s="242">
        <v>4.6310000000000002</v>
      </c>
      <c r="I30" s="242">
        <v>4.7530000000000001</v>
      </c>
      <c r="J30" s="242">
        <v>4.6520000000000001</v>
      </c>
      <c r="K30" s="242">
        <v>4.4690000000000003</v>
      </c>
      <c r="L30" s="242">
        <v>4.3238000000000003</v>
      </c>
      <c r="M30" s="242">
        <v>4.3579999999999997</v>
      </c>
      <c r="N30" s="242">
        <v>3.8639999999999999</v>
      </c>
    </row>
    <row r="31" spans="1:14" ht="16" customHeight="1">
      <c r="A31" s="119" t="s">
        <v>98</v>
      </c>
      <c r="B31" s="651">
        <f t="shared" si="0"/>
        <v>114.07899999999999</v>
      </c>
      <c r="C31" s="242">
        <v>10.045</v>
      </c>
      <c r="D31" s="242">
        <v>10.891</v>
      </c>
      <c r="E31" s="242">
        <v>11.247</v>
      </c>
      <c r="F31" s="242">
        <v>10.507</v>
      </c>
      <c r="G31" s="242">
        <v>9.3414000000000001</v>
      </c>
      <c r="H31" s="242">
        <v>9.8580000000000005</v>
      </c>
      <c r="I31" s="242">
        <v>9.9640000000000004</v>
      </c>
      <c r="J31" s="242">
        <v>8.9610000000000003</v>
      </c>
      <c r="K31" s="242">
        <v>8.609</v>
      </c>
      <c r="L31" s="242">
        <v>8.5069999999999997</v>
      </c>
      <c r="M31" s="242">
        <v>8.1346000000000007</v>
      </c>
      <c r="N31" s="242">
        <v>8.0139999999999993</v>
      </c>
    </row>
    <row r="32" spans="1:14" ht="16" customHeight="1">
      <c r="A32" s="143" t="s">
        <v>42</v>
      </c>
      <c r="B32" s="651">
        <f t="shared" si="0"/>
        <v>54.27409999999999</v>
      </c>
      <c r="C32" s="242">
        <v>4.5670000000000002</v>
      </c>
      <c r="D32" s="242">
        <v>4.5629999999999997</v>
      </c>
      <c r="E32" s="242">
        <v>4.5279999999999996</v>
      </c>
      <c r="F32" s="242">
        <v>4.5507999999999997</v>
      </c>
      <c r="G32" s="242">
        <v>4.5477999999999996</v>
      </c>
      <c r="H32" s="242">
        <v>4.5410000000000004</v>
      </c>
      <c r="I32" s="242">
        <v>4.5430000000000001</v>
      </c>
      <c r="J32" s="242">
        <v>4.5570000000000004</v>
      </c>
      <c r="K32" s="242">
        <v>4.5469999999999997</v>
      </c>
      <c r="L32" s="242">
        <v>4.4987000000000004</v>
      </c>
      <c r="M32" s="242">
        <v>4.4337999999999997</v>
      </c>
      <c r="N32" s="242">
        <v>4.3970000000000002</v>
      </c>
    </row>
    <row r="33" spans="1:25" ht="16" customHeight="1">
      <c r="A33" s="143" t="s">
        <v>43</v>
      </c>
      <c r="B33" s="651">
        <f t="shared" si="0"/>
        <v>0</v>
      </c>
      <c r="C33" s="242">
        <v>0</v>
      </c>
      <c r="D33" s="242">
        <v>0</v>
      </c>
      <c r="E33" s="242">
        <v>0</v>
      </c>
      <c r="F33" s="242">
        <v>0</v>
      </c>
      <c r="G33" s="242">
        <v>0</v>
      </c>
      <c r="H33" s="242">
        <v>0</v>
      </c>
      <c r="I33" s="242">
        <v>0</v>
      </c>
      <c r="J33" s="242">
        <v>0</v>
      </c>
      <c r="K33" s="242">
        <v>0</v>
      </c>
      <c r="L33" s="242">
        <v>0</v>
      </c>
      <c r="M33" s="242">
        <v>0</v>
      </c>
      <c r="N33" s="242">
        <v>0</v>
      </c>
      <c r="P33" s="122"/>
      <c r="R33" s="138"/>
      <c r="S33" s="126"/>
      <c r="T33" s="138"/>
      <c r="U33" s="138"/>
      <c r="V33" s="138"/>
      <c r="W33" s="126"/>
      <c r="Y33" s="151"/>
    </row>
    <row r="34" spans="1:25" ht="16" customHeight="1">
      <c r="A34" s="121" t="s">
        <v>44</v>
      </c>
      <c r="B34" s="651">
        <f t="shared" si="0"/>
        <v>0</v>
      </c>
      <c r="C34" s="242">
        <v>0</v>
      </c>
      <c r="D34" s="242">
        <v>0</v>
      </c>
      <c r="E34" s="242">
        <v>0</v>
      </c>
      <c r="F34" s="242">
        <v>0</v>
      </c>
      <c r="G34" s="242">
        <v>0</v>
      </c>
      <c r="H34" s="242">
        <v>0</v>
      </c>
      <c r="I34" s="242">
        <v>0</v>
      </c>
      <c r="J34" s="242">
        <v>0</v>
      </c>
      <c r="K34" s="242">
        <v>0</v>
      </c>
      <c r="L34" s="242">
        <v>0</v>
      </c>
      <c r="M34" s="242">
        <v>0</v>
      </c>
      <c r="N34" s="242">
        <v>0</v>
      </c>
      <c r="P34" s="122"/>
      <c r="R34" s="138"/>
      <c r="S34" s="126"/>
      <c r="T34" s="138"/>
      <c r="U34" s="138"/>
      <c r="V34" s="138"/>
      <c r="W34" s="126"/>
      <c r="Y34" s="151"/>
    </row>
    <row r="35" spans="1:25" ht="16" customHeight="1">
      <c r="A35" s="121" t="s">
        <v>45</v>
      </c>
      <c r="B35" s="651">
        <f t="shared" si="0"/>
        <v>0.30936000000000002</v>
      </c>
      <c r="C35" s="242">
        <v>3.415E-2</v>
      </c>
      <c r="D35" s="242">
        <v>2.2409999999999999E-2</v>
      </c>
      <c r="E35" s="242">
        <v>1.6709999999999999E-2</v>
      </c>
      <c r="F35" s="242">
        <v>2.3900000000000001E-2</v>
      </c>
      <c r="G35" s="242">
        <v>1.6E-2</v>
      </c>
      <c r="H35" s="242">
        <v>2.3480000000000001E-2</v>
      </c>
      <c r="I35" s="242">
        <v>2.7699999999999999E-2</v>
      </c>
      <c r="J35" s="242">
        <v>2.8899999999999999E-2</v>
      </c>
      <c r="K35" s="242">
        <v>2.18E-2</v>
      </c>
      <c r="L35" s="242">
        <v>2.4500000000000001E-2</v>
      </c>
      <c r="M35" s="242">
        <v>2.0109999999999999E-2</v>
      </c>
      <c r="N35" s="242">
        <v>4.9700000000000001E-2</v>
      </c>
      <c r="P35" s="122"/>
      <c r="R35" s="138"/>
      <c r="S35" s="126"/>
      <c r="T35" s="138"/>
      <c r="U35" s="138"/>
      <c r="V35" s="138"/>
      <c r="W35" s="126"/>
      <c r="Y35" s="151"/>
    </row>
    <row r="36" spans="1:25" ht="16" customHeight="1">
      <c r="A36" s="121" t="s">
        <v>46</v>
      </c>
      <c r="B36" s="651">
        <f t="shared" si="0"/>
        <v>0</v>
      </c>
      <c r="C36" s="242">
        <v>0</v>
      </c>
      <c r="D36" s="242">
        <v>0</v>
      </c>
      <c r="E36" s="242">
        <v>0</v>
      </c>
      <c r="F36" s="242">
        <v>0</v>
      </c>
      <c r="G36" s="242">
        <v>0</v>
      </c>
      <c r="H36" s="242">
        <v>0</v>
      </c>
      <c r="I36" s="242">
        <v>0</v>
      </c>
      <c r="J36" s="242">
        <v>0</v>
      </c>
      <c r="K36" s="242">
        <v>0</v>
      </c>
      <c r="L36" s="242">
        <v>0</v>
      </c>
      <c r="M36" s="242">
        <v>0</v>
      </c>
      <c r="N36" s="242">
        <v>0</v>
      </c>
      <c r="P36" s="122"/>
      <c r="R36" s="138"/>
      <c r="S36" s="126"/>
      <c r="T36" s="138"/>
      <c r="U36" s="138"/>
      <c r="V36" s="138"/>
      <c r="W36" s="126"/>
      <c r="Y36" s="151"/>
    </row>
    <row r="37" spans="1:25" ht="16" customHeight="1" thickBot="1">
      <c r="A37" s="145" t="s">
        <v>47</v>
      </c>
      <c r="B37" s="652">
        <f t="shared" si="0"/>
        <v>0</v>
      </c>
      <c r="C37" s="243">
        <v>0</v>
      </c>
      <c r="D37" s="243">
        <v>0</v>
      </c>
      <c r="E37" s="243">
        <v>0</v>
      </c>
      <c r="F37" s="243">
        <v>0</v>
      </c>
      <c r="G37" s="243">
        <v>0</v>
      </c>
      <c r="H37" s="243">
        <v>0</v>
      </c>
      <c r="I37" s="243">
        <v>0</v>
      </c>
      <c r="J37" s="243">
        <v>0</v>
      </c>
      <c r="K37" s="243">
        <v>0</v>
      </c>
      <c r="L37" s="243">
        <v>0</v>
      </c>
      <c r="M37" s="243">
        <v>0</v>
      </c>
      <c r="N37" s="243">
        <v>0</v>
      </c>
      <c r="P37" s="122"/>
      <c r="R37" s="138"/>
      <c r="S37" s="126"/>
      <c r="T37" s="138"/>
      <c r="U37" s="138"/>
      <c r="V37" s="138"/>
      <c r="W37" s="126"/>
      <c r="Y37" s="151"/>
    </row>
    <row r="38" spans="1:25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25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25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25" ht="13.25" customHeight="1">
      <c r="A41" s="11"/>
    </row>
    <row r="42" spans="1:25" ht="13.25" customHeight="1">
      <c r="A42" s="67"/>
    </row>
    <row r="43" spans="1:25" ht="13.25" customHeight="1">
      <c r="A43" s="67"/>
    </row>
    <row r="44" spans="1:25" ht="13.25" customHeight="1">
      <c r="A44" s="22"/>
    </row>
    <row r="45" spans="1:25" ht="13.25" customHeight="1">
      <c r="A45" s="30"/>
    </row>
    <row r="46" spans="1:25" ht="13.25" customHeight="1">
      <c r="A46" s="22"/>
    </row>
    <row r="47" spans="1:25" ht="13.25" customHeight="1">
      <c r="A47" s="67"/>
    </row>
    <row r="48" spans="1:25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Hoja65">
    <tabColor theme="9" tint="0.59999389629810485"/>
  </sheetPr>
  <dimension ref="A4:AA54"/>
  <sheetViews>
    <sheetView showGridLines="0" zoomScaleNormal="100" workbookViewId="0">
      <selection activeCell="D26" sqref="D26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27" ht="13" customHeight="1">
      <c r="A4" s="229" t="s">
        <v>584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27" ht="12" customHeight="1">
      <c r="A5" s="232" t="s">
        <v>382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27" ht="6" customHeight="1" thickBot="1"/>
    <row r="7" spans="1:27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  <c r="Q7" s="143"/>
      <c r="R7" s="122"/>
      <c r="S7" s="147"/>
      <c r="T7" s="147"/>
      <c r="U7" s="147"/>
      <c r="V7" s="147"/>
      <c r="W7" s="147"/>
      <c r="X7" s="147"/>
      <c r="Y7" s="147"/>
    </row>
    <row r="8" spans="1:27" ht="18" customHeight="1">
      <c r="A8" s="647" t="s">
        <v>87</v>
      </c>
      <c r="B8" s="654">
        <v>12.605771321754709</v>
      </c>
      <c r="C8" s="654">
        <v>12.445498675058346</v>
      </c>
      <c r="D8" s="654">
        <v>12.397922529432874</v>
      </c>
      <c r="E8" s="654">
        <v>12.6492889407467</v>
      </c>
      <c r="F8" s="654">
        <v>12.864255069515075</v>
      </c>
      <c r="G8" s="654">
        <v>12.870056666525858</v>
      </c>
      <c r="H8" s="654">
        <v>12.948743419927</v>
      </c>
      <c r="I8" s="654">
        <v>12.847179369349833</v>
      </c>
      <c r="J8" s="654">
        <v>12.564090752499288</v>
      </c>
      <c r="K8" s="654">
        <v>12.538442751036941</v>
      </c>
      <c r="L8" s="654">
        <v>12.321920159824744</v>
      </c>
      <c r="M8" s="654">
        <v>12.187243452496592</v>
      </c>
      <c r="N8" s="654">
        <v>12.525654338078187</v>
      </c>
      <c r="R8" s="122"/>
      <c r="S8" s="138"/>
      <c r="T8" s="138"/>
      <c r="U8" s="126"/>
      <c r="V8" s="138"/>
      <c r="W8" s="138"/>
      <c r="X8" s="138"/>
      <c r="Y8" s="126"/>
      <c r="AA8" s="151"/>
    </row>
    <row r="9" spans="1:27" ht="16" customHeight="1">
      <c r="A9" s="143" t="s">
        <v>19</v>
      </c>
      <c r="B9" s="655">
        <v>10.741719048920469</v>
      </c>
      <c r="C9" s="244">
        <v>10.331216414264778</v>
      </c>
      <c r="D9" s="244">
        <v>10.506335529650279</v>
      </c>
      <c r="E9" s="244">
        <v>10.20346093340325</v>
      </c>
      <c r="F9" s="244">
        <v>10.202873869079298</v>
      </c>
      <c r="G9" s="244">
        <v>10.252580645161292</v>
      </c>
      <c r="H9" s="244">
        <v>10.433351924149472</v>
      </c>
      <c r="I9" s="244">
        <v>11.420331239291833</v>
      </c>
      <c r="J9" s="244">
        <v>10.953475336322869</v>
      </c>
      <c r="K9" s="244">
        <v>10.911321807027328</v>
      </c>
      <c r="L9" s="244">
        <v>11.187215411558668</v>
      </c>
      <c r="M9" s="244">
        <v>11.680771290840921</v>
      </c>
      <c r="N9" s="244">
        <v>11.006301197227472</v>
      </c>
      <c r="O9" s="149"/>
      <c r="R9" s="122"/>
      <c r="S9" s="138"/>
      <c r="T9" s="138"/>
      <c r="U9" s="126"/>
      <c r="V9" s="138"/>
      <c r="W9" s="138"/>
      <c r="X9" s="138"/>
      <c r="Y9" s="126"/>
      <c r="AA9" s="151"/>
    </row>
    <row r="10" spans="1:27" ht="16" customHeight="1">
      <c r="A10" s="143" t="s">
        <v>20</v>
      </c>
      <c r="B10" s="655">
        <v>14.139319385001274</v>
      </c>
      <c r="C10" s="244">
        <v>14.249999999999998</v>
      </c>
      <c r="D10" s="244">
        <v>13.563046509769659</v>
      </c>
      <c r="E10" s="244">
        <v>14.285650673494379</v>
      </c>
      <c r="F10" s="244">
        <v>14.859754043787827</v>
      </c>
      <c r="G10" s="244">
        <v>14.404872955835662</v>
      </c>
      <c r="H10" s="244">
        <v>14.695801372628178</v>
      </c>
      <c r="I10" s="244">
        <v>14.400000000000004</v>
      </c>
      <c r="J10" s="244">
        <v>13.999595426962761</v>
      </c>
      <c r="K10" s="244">
        <v>13.755029248109574</v>
      </c>
      <c r="L10" s="244">
        <v>13.600331796030172</v>
      </c>
      <c r="M10" s="244">
        <v>12.74313334356299</v>
      </c>
      <c r="N10" s="244">
        <v>14.399322931998821</v>
      </c>
      <c r="R10" s="122"/>
      <c r="S10" s="138"/>
      <c r="T10" s="138"/>
      <c r="U10" s="126"/>
      <c r="V10" s="138"/>
      <c r="W10" s="138"/>
      <c r="X10" s="138"/>
      <c r="Y10" s="126"/>
      <c r="AA10" s="151"/>
    </row>
    <row r="11" spans="1:27" ht="16" customHeight="1">
      <c r="A11" s="143" t="s">
        <v>21</v>
      </c>
      <c r="B11" s="655">
        <v>14.877952887453363</v>
      </c>
      <c r="C11" s="244">
        <v>14.86953405017921</v>
      </c>
      <c r="D11" s="244">
        <v>14.938319198149575</v>
      </c>
      <c r="E11" s="244">
        <v>13.806100386100388</v>
      </c>
      <c r="F11" s="244">
        <v>14.238095238095237</v>
      </c>
      <c r="G11" s="244">
        <v>14.689790209790209</v>
      </c>
      <c r="H11" s="244">
        <v>14.8458927359131</v>
      </c>
      <c r="I11" s="244">
        <v>15.995557074504442</v>
      </c>
      <c r="J11" s="244">
        <v>15.412546125461255</v>
      </c>
      <c r="K11" s="244">
        <v>15.64320104098894</v>
      </c>
      <c r="L11" s="244">
        <v>14.963953488372093</v>
      </c>
      <c r="M11" s="244">
        <v>14.526378186129225</v>
      </c>
      <c r="N11" s="244">
        <v>14.555342597029229</v>
      </c>
      <c r="R11" s="122"/>
      <c r="S11" s="138"/>
      <c r="T11" s="138"/>
      <c r="U11" s="126"/>
      <c r="V11" s="138"/>
      <c r="W11" s="138"/>
      <c r="X11" s="138"/>
      <c r="Y11" s="126"/>
      <c r="AA11" s="151"/>
    </row>
    <row r="12" spans="1:27" ht="16" customHeight="1">
      <c r="A12" s="121" t="s">
        <v>22</v>
      </c>
      <c r="B12" s="655">
        <v>13.193429989623942</v>
      </c>
      <c r="C12" s="244">
        <v>13.244435188509875</v>
      </c>
      <c r="D12" s="244">
        <v>13.39001286826956</v>
      </c>
      <c r="E12" s="244">
        <v>13.971812218649516</v>
      </c>
      <c r="F12" s="244">
        <v>13.341765363128495</v>
      </c>
      <c r="G12" s="244">
        <v>13.332547887323948</v>
      </c>
      <c r="H12" s="244">
        <v>13.375556862745098</v>
      </c>
      <c r="I12" s="244">
        <v>13.367040545144805</v>
      </c>
      <c r="J12" s="244">
        <v>13.128863576158942</v>
      </c>
      <c r="K12" s="244">
        <v>12.772751308900522</v>
      </c>
      <c r="L12" s="244">
        <v>12.761985552115583</v>
      </c>
      <c r="M12" s="244">
        <v>12.799752007709607</v>
      </c>
      <c r="N12" s="244">
        <v>12.838722811671087</v>
      </c>
      <c r="R12" s="122"/>
      <c r="S12" s="138"/>
      <c r="T12" s="138"/>
      <c r="U12" s="126"/>
      <c r="V12" s="138"/>
      <c r="W12" s="138"/>
      <c r="X12" s="138"/>
      <c r="Y12" s="126"/>
      <c r="AA12" s="151"/>
    </row>
    <row r="13" spans="1:27" ht="16" customHeight="1">
      <c r="A13" s="143" t="s">
        <v>23</v>
      </c>
      <c r="B13" s="655">
        <v>10.877489479098475</v>
      </c>
      <c r="C13" s="244">
        <v>10.656404617921936</v>
      </c>
      <c r="D13" s="244">
        <v>10.411458885941645</v>
      </c>
      <c r="E13" s="244">
        <v>10.519585253456221</v>
      </c>
      <c r="F13" s="244">
        <v>11.292387566137565</v>
      </c>
      <c r="G13" s="244">
        <v>11.090863787375413</v>
      </c>
      <c r="H13" s="244">
        <v>10.964711987545408</v>
      </c>
      <c r="I13" s="244">
        <v>10.763440860215052</v>
      </c>
      <c r="J13" s="244">
        <v>10.519881305637982</v>
      </c>
      <c r="K13" s="244">
        <v>10.489250435793144</v>
      </c>
      <c r="L13" s="244">
        <v>10.752364066193852</v>
      </c>
      <c r="M13" s="244">
        <v>11.098119658119657</v>
      </c>
      <c r="N13" s="244">
        <v>12.083089526038618</v>
      </c>
      <c r="R13" s="122"/>
      <c r="S13" s="138"/>
      <c r="T13" s="138"/>
      <c r="U13" s="126"/>
      <c r="V13" s="138"/>
      <c r="W13" s="138"/>
      <c r="X13" s="138"/>
      <c r="Y13" s="126"/>
      <c r="AA13" s="151"/>
    </row>
    <row r="14" spans="1:27" ht="16" customHeight="1">
      <c r="A14" s="119" t="s">
        <v>94</v>
      </c>
      <c r="B14" s="655">
        <v>10.463837403547847</v>
      </c>
      <c r="C14" s="244">
        <v>10.897003745318353</v>
      </c>
      <c r="D14" s="244">
        <v>10.320530367835758</v>
      </c>
      <c r="E14" s="244">
        <v>10.447368421052632</v>
      </c>
      <c r="F14" s="244">
        <v>10.737922705314009</v>
      </c>
      <c r="G14" s="244">
        <v>10.083002207505519</v>
      </c>
      <c r="H14" s="244">
        <v>10.160040774719674</v>
      </c>
      <c r="I14" s="244">
        <v>10.034389140271491</v>
      </c>
      <c r="J14" s="244">
        <v>10.22854387656702</v>
      </c>
      <c r="K14" s="244">
        <v>10.088595664467483</v>
      </c>
      <c r="L14" s="244">
        <v>9.9806094182825476</v>
      </c>
      <c r="M14" s="244">
        <v>10.66077738515901</v>
      </c>
      <c r="N14" s="244">
        <v>11.879890809827113</v>
      </c>
      <c r="R14" s="122"/>
      <c r="S14" s="138"/>
      <c r="T14" s="138"/>
      <c r="U14" s="126"/>
      <c r="V14" s="138"/>
      <c r="W14" s="138"/>
      <c r="X14" s="138"/>
      <c r="Y14" s="126"/>
      <c r="AA14" s="151"/>
    </row>
    <row r="15" spans="1:27" ht="16" customHeight="1">
      <c r="A15" s="119" t="s">
        <v>95</v>
      </c>
      <c r="B15" s="655">
        <v>14.707887323943659</v>
      </c>
      <c r="C15" s="244">
        <v>15.902439024390244</v>
      </c>
      <c r="D15" s="244">
        <v>14.95921052631579</v>
      </c>
      <c r="E15" s="244">
        <v>15.333333333333332</v>
      </c>
      <c r="F15" s="244">
        <v>15.39240506329114</v>
      </c>
      <c r="G15" s="244">
        <v>15.306818181818182</v>
      </c>
      <c r="H15" s="244">
        <v>15.696969696969699</v>
      </c>
      <c r="I15" s="244">
        <v>15.018691588785048</v>
      </c>
      <c r="J15" s="244">
        <v>15.219512195121951</v>
      </c>
      <c r="K15" s="244">
        <v>15.387500000000001</v>
      </c>
      <c r="L15" s="244">
        <v>15.193181818181818</v>
      </c>
      <c r="M15" s="244">
        <v>14.104166666666668</v>
      </c>
      <c r="N15" s="244">
        <v>10.158878504672897</v>
      </c>
      <c r="R15" s="122"/>
      <c r="S15" s="138"/>
      <c r="T15" s="138"/>
      <c r="U15" s="126"/>
      <c r="V15" s="138"/>
      <c r="W15" s="138"/>
      <c r="X15" s="138"/>
      <c r="Y15" s="126"/>
      <c r="AA15" s="151"/>
    </row>
    <row r="16" spans="1:27" ht="16" customHeight="1">
      <c r="A16" s="119" t="s">
        <v>96</v>
      </c>
      <c r="B16" s="655">
        <v>11.022089032258064</v>
      </c>
      <c r="C16" s="244">
        <v>9.6292974588938716</v>
      </c>
      <c r="D16" s="244">
        <v>10.037500000000001</v>
      </c>
      <c r="E16" s="244">
        <v>9.9584086799276665</v>
      </c>
      <c r="F16" s="244">
        <v>11.51585123966942</v>
      </c>
      <c r="G16" s="244">
        <v>11.758497536945814</v>
      </c>
      <c r="H16" s="244">
        <v>11.343565525383708</v>
      </c>
      <c r="I16" s="244">
        <v>11.141316073354908</v>
      </c>
      <c r="J16" s="244">
        <v>10.37279151943463</v>
      </c>
      <c r="K16" s="244">
        <v>10.546551724137931</v>
      </c>
      <c r="L16" s="244">
        <v>11.606525911708253</v>
      </c>
      <c r="M16" s="244">
        <v>11.489943074003795</v>
      </c>
      <c r="N16" s="244">
        <v>12.93638170974155</v>
      </c>
      <c r="R16" s="122"/>
      <c r="S16" s="138"/>
      <c r="T16" s="138"/>
      <c r="U16" s="126"/>
      <c r="V16" s="138"/>
      <c r="W16" s="138"/>
      <c r="X16" s="138"/>
      <c r="Y16" s="126"/>
      <c r="AA16" s="151"/>
    </row>
    <row r="17" spans="1:27" ht="16" customHeight="1">
      <c r="A17" s="143" t="s">
        <v>27</v>
      </c>
      <c r="B17" s="655">
        <v>12.581878409976614</v>
      </c>
      <c r="C17" s="244">
        <v>12.523644251626894</v>
      </c>
      <c r="D17" s="244">
        <v>12.492170022371363</v>
      </c>
      <c r="E17" s="244">
        <v>12.434117647058821</v>
      </c>
      <c r="F17" s="244">
        <v>12.767765567765569</v>
      </c>
      <c r="G17" s="244">
        <v>12.435967302452315</v>
      </c>
      <c r="H17" s="244">
        <v>12.636318407960196</v>
      </c>
      <c r="I17" s="244">
        <v>12.630248306997743</v>
      </c>
      <c r="J17" s="244">
        <v>12.606896551724136</v>
      </c>
      <c r="K17" s="244">
        <v>12.6317880794702</v>
      </c>
      <c r="L17" s="244">
        <v>12.575730337078651</v>
      </c>
      <c r="M17" s="244">
        <v>12.590184049079756</v>
      </c>
      <c r="N17" s="244">
        <v>12.654419410745232</v>
      </c>
      <c r="R17" s="122"/>
      <c r="S17" s="138"/>
      <c r="T17" s="138"/>
      <c r="U17" s="126"/>
      <c r="V17" s="138"/>
      <c r="W17" s="138"/>
      <c r="X17" s="138"/>
      <c r="Y17" s="126"/>
      <c r="AA17" s="151"/>
    </row>
    <row r="18" spans="1:27" ht="16" customHeight="1">
      <c r="A18" s="121" t="s">
        <v>28</v>
      </c>
      <c r="B18" s="655">
        <v>9.7552552834972595</v>
      </c>
      <c r="C18" s="244">
        <v>10.103574999999998</v>
      </c>
      <c r="D18" s="244">
        <v>9.9844919999999995</v>
      </c>
      <c r="E18" s="244">
        <v>9.8910279263220442</v>
      </c>
      <c r="F18" s="244">
        <v>10.101789999999999</v>
      </c>
      <c r="G18" s="244">
        <v>9.8142238581050627</v>
      </c>
      <c r="H18" s="244">
        <v>9.8288735632183908</v>
      </c>
      <c r="I18" s="244">
        <v>9.9795942571785261</v>
      </c>
      <c r="J18" s="244">
        <v>9.9795942571785261</v>
      </c>
      <c r="K18" s="244">
        <v>10.094967177242889</v>
      </c>
      <c r="L18" s="244">
        <v>9.3756862745098051</v>
      </c>
      <c r="M18" s="244">
        <v>9.4105625899280589</v>
      </c>
      <c r="N18" s="244">
        <v>8.8825949367088608</v>
      </c>
      <c r="R18" s="122"/>
      <c r="S18" s="138"/>
      <c r="T18" s="138"/>
      <c r="U18" s="126"/>
      <c r="V18" s="138"/>
      <c r="W18" s="138"/>
      <c r="X18" s="138"/>
      <c r="Y18" s="126"/>
      <c r="AA18" s="151"/>
    </row>
    <row r="19" spans="1:27" ht="16" customHeight="1">
      <c r="A19" s="121" t="s">
        <v>29</v>
      </c>
      <c r="B19" s="655">
        <v>12.073260207190737</v>
      </c>
      <c r="C19" s="244">
        <v>12.141424572317263</v>
      </c>
      <c r="D19" s="244">
        <v>12.841021336131515</v>
      </c>
      <c r="E19" s="244">
        <v>11.965722501797268</v>
      </c>
      <c r="F19" s="244">
        <v>12.876792638843247</v>
      </c>
      <c r="G19" s="244">
        <v>12.211489752217805</v>
      </c>
      <c r="H19" s="244">
        <v>12.582230005837712</v>
      </c>
      <c r="I19" s="244">
        <v>12.324999999999999</v>
      </c>
      <c r="J19" s="244">
        <v>11.674268902618419</v>
      </c>
      <c r="K19" s="244">
        <v>11.711228378774553</v>
      </c>
      <c r="L19" s="244">
        <v>11.675277195085405</v>
      </c>
      <c r="M19" s="244">
        <v>11.943117647058823</v>
      </c>
      <c r="N19" s="244">
        <v>11.204220037204356</v>
      </c>
      <c r="R19" s="122"/>
      <c r="S19" s="138"/>
      <c r="T19" s="138"/>
      <c r="U19" s="126"/>
      <c r="V19" s="138"/>
      <c r="W19" s="138"/>
      <c r="X19" s="138"/>
      <c r="Y19" s="126"/>
      <c r="AA19" s="151"/>
    </row>
    <row r="20" spans="1:27" ht="16" customHeight="1">
      <c r="A20" s="143" t="s">
        <v>30</v>
      </c>
      <c r="B20" s="655">
        <v>13.99577149808178</v>
      </c>
      <c r="C20" s="244">
        <v>13.07112970711297</v>
      </c>
      <c r="D20" s="244">
        <v>13.295132330046705</v>
      </c>
      <c r="E20" s="244">
        <v>14.270857814336075</v>
      </c>
      <c r="F20" s="244">
        <v>14.047672462142456</v>
      </c>
      <c r="G20" s="244">
        <v>14.370392042129902</v>
      </c>
      <c r="H20" s="244">
        <v>14.112750885478158</v>
      </c>
      <c r="I20" s="244">
        <v>14.27405929304447</v>
      </c>
      <c r="J20" s="244">
        <v>14.049165739710789</v>
      </c>
      <c r="K20" s="244">
        <v>14.385378440366972</v>
      </c>
      <c r="L20" s="244">
        <v>14.481859410430838</v>
      </c>
      <c r="M20" s="244">
        <v>13.782276229994071</v>
      </c>
      <c r="N20" s="244">
        <v>13.872837774661056</v>
      </c>
      <c r="R20" s="122"/>
      <c r="S20" s="138"/>
      <c r="T20" s="138"/>
      <c r="U20" s="126"/>
      <c r="V20" s="138"/>
      <c r="W20" s="138"/>
      <c r="X20" s="138"/>
      <c r="Y20" s="126"/>
      <c r="AA20" s="151"/>
    </row>
    <row r="21" spans="1:27" ht="16" customHeight="1">
      <c r="A21" s="143" t="s">
        <v>31</v>
      </c>
      <c r="B21" s="655">
        <v>9.4517929907390617</v>
      </c>
      <c r="C21" s="244">
        <v>9.5287588294651862</v>
      </c>
      <c r="D21" s="244">
        <v>9.5872763419483107</v>
      </c>
      <c r="E21" s="244">
        <v>8.9606600086843251</v>
      </c>
      <c r="F21" s="244">
        <v>8.6598603839441548</v>
      </c>
      <c r="G21" s="244">
        <v>9.9290140845070436</v>
      </c>
      <c r="H21" s="244">
        <v>9.3543315056937999</v>
      </c>
      <c r="I21" s="244">
        <v>9.2636952998379254</v>
      </c>
      <c r="J21" s="244">
        <v>9.4726169844020802</v>
      </c>
      <c r="K21" s="244">
        <v>10.031685069611139</v>
      </c>
      <c r="L21" s="244">
        <v>9.3839258114374022</v>
      </c>
      <c r="M21" s="244">
        <v>9.38145956607495</v>
      </c>
      <c r="N21" s="244">
        <v>9.9787251319529044</v>
      </c>
      <c r="R21" s="122"/>
      <c r="S21" s="138"/>
      <c r="T21" s="138"/>
      <c r="U21" s="126"/>
      <c r="V21" s="138"/>
      <c r="W21" s="138"/>
      <c r="X21" s="138"/>
      <c r="Y21" s="126"/>
      <c r="AA21" s="151"/>
    </row>
    <row r="22" spans="1:27" ht="16" customHeight="1">
      <c r="A22" s="143" t="s">
        <v>32</v>
      </c>
      <c r="B22" s="655">
        <v>10.935722218783704</v>
      </c>
      <c r="C22" s="244">
        <v>11.547688524999998</v>
      </c>
      <c r="D22" s="244">
        <v>8.40625</v>
      </c>
      <c r="E22" s="244">
        <v>11.948421052631577</v>
      </c>
      <c r="F22" s="244">
        <v>10.095726773584905</v>
      </c>
      <c r="G22" s="244">
        <v>10.062087</v>
      </c>
      <c r="H22" s="244">
        <v>10.894754098360654</v>
      </c>
      <c r="I22" s="244">
        <v>11.632307692307691</v>
      </c>
      <c r="J22" s="244">
        <v>11.240952380952379</v>
      </c>
      <c r="K22" s="244">
        <v>11.967692307692309</v>
      </c>
      <c r="L22" s="244">
        <v>12.030054054054055</v>
      </c>
      <c r="M22" s="244">
        <v>10.708620689655172</v>
      </c>
      <c r="N22" s="244">
        <v>10.802777777777779</v>
      </c>
      <c r="R22" s="122"/>
      <c r="T22" s="138"/>
      <c r="U22" s="126"/>
      <c r="V22" s="138"/>
      <c r="W22" s="138"/>
      <c r="X22" s="138"/>
      <c r="Y22" s="126"/>
      <c r="AA22" s="151"/>
    </row>
    <row r="23" spans="1:27" ht="16" customHeight="1">
      <c r="A23" s="143" t="s">
        <v>33</v>
      </c>
      <c r="B23" s="655">
        <v>10.424161073825504</v>
      </c>
      <c r="C23" s="244">
        <v>10.477419354838709</v>
      </c>
      <c r="D23" s="244">
        <v>10.530817610062895</v>
      </c>
      <c r="E23" s="244">
        <v>10.65952380952381</v>
      </c>
      <c r="F23" s="244">
        <v>10.574857142857146</v>
      </c>
      <c r="G23" s="244">
        <v>10.480681818181813</v>
      </c>
      <c r="H23" s="244">
        <v>10.38571428571429</v>
      </c>
      <c r="I23" s="244">
        <v>10.333518005540165</v>
      </c>
      <c r="J23" s="244">
        <v>10.252100840336134</v>
      </c>
      <c r="K23" s="244">
        <v>10.32934131736527</v>
      </c>
      <c r="L23" s="244">
        <v>10.264462809917353</v>
      </c>
      <c r="M23" s="244">
        <v>10.443148688046644</v>
      </c>
      <c r="N23" s="244">
        <v>10.388451443569556</v>
      </c>
      <c r="R23" s="122"/>
      <c r="T23" s="138"/>
      <c r="U23" s="126"/>
      <c r="V23" s="138"/>
      <c r="W23" s="138"/>
      <c r="X23" s="138"/>
      <c r="Y23" s="126"/>
      <c r="AA23" s="151"/>
    </row>
    <row r="24" spans="1:27" ht="16" customHeight="1">
      <c r="A24" s="143" t="s">
        <v>34</v>
      </c>
      <c r="B24" s="655">
        <v>14.019176946200892</v>
      </c>
      <c r="C24" s="244">
        <v>13.275675675675675</v>
      </c>
      <c r="D24" s="244">
        <v>13.564909638554216</v>
      </c>
      <c r="E24" s="244">
        <v>14.68212365591398</v>
      </c>
      <c r="F24" s="244">
        <v>14.639952153110048</v>
      </c>
      <c r="G24" s="244">
        <v>14.758868591632291</v>
      </c>
      <c r="H24" s="244">
        <v>14.670971364402023</v>
      </c>
      <c r="I24" s="244">
        <v>13.384567517112632</v>
      </c>
      <c r="J24" s="244">
        <v>13.107609988109393</v>
      </c>
      <c r="K24" s="244">
        <v>13.890445859872612</v>
      </c>
      <c r="L24" s="244">
        <v>13.993405275779377</v>
      </c>
      <c r="M24" s="244">
        <v>13.923396674584321</v>
      </c>
      <c r="N24" s="244">
        <v>14.155161881490532</v>
      </c>
      <c r="R24" s="122"/>
      <c r="T24" s="138"/>
      <c r="U24" s="126"/>
      <c r="V24" s="138"/>
      <c r="W24" s="138"/>
      <c r="X24" s="138"/>
      <c r="Y24" s="126"/>
      <c r="AA24" s="151"/>
    </row>
    <row r="25" spans="1:27" ht="16" customHeight="1">
      <c r="A25" s="121" t="s">
        <v>35</v>
      </c>
      <c r="B25" s="655">
        <v>11.782700988166402</v>
      </c>
      <c r="C25" s="244">
        <v>12.144014510278113</v>
      </c>
      <c r="D25" s="244">
        <v>11.494042056074766</v>
      </c>
      <c r="E25" s="244">
        <v>11.741851368970016</v>
      </c>
      <c r="F25" s="244">
        <v>12.070059880239523</v>
      </c>
      <c r="G25" s="244">
        <v>12.001353383458648</v>
      </c>
      <c r="H25" s="244">
        <v>11.846493902439024</v>
      </c>
      <c r="I25" s="244">
        <v>11.880337941628264</v>
      </c>
      <c r="J25" s="244">
        <v>11.783050847457629</v>
      </c>
      <c r="K25" s="244">
        <v>11.691891891891892</v>
      </c>
      <c r="L25" s="244">
        <v>11.628501628664495</v>
      </c>
      <c r="M25" s="244">
        <v>11.506408094435075</v>
      </c>
      <c r="N25" s="244">
        <v>11.545176848874599</v>
      </c>
      <c r="R25" s="122"/>
      <c r="T25" s="138"/>
      <c r="U25" s="126"/>
      <c r="V25" s="138"/>
      <c r="W25" s="138"/>
      <c r="X25" s="138"/>
      <c r="Y25" s="126"/>
      <c r="AA25" s="151"/>
    </row>
    <row r="26" spans="1:27" ht="16" customHeight="1">
      <c r="A26" s="143" t="s">
        <v>36</v>
      </c>
      <c r="B26" s="655">
        <v>14.862318372578011</v>
      </c>
      <c r="C26" s="244">
        <v>15.480100999999999</v>
      </c>
      <c r="D26" s="244">
        <v>18.042310000000004</v>
      </c>
      <c r="E26" s="244">
        <v>17.042310000000001</v>
      </c>
      <c r="F26" s="244">
        <v>16.71290909090909</v>
      </c>
      <c r="G26" s="244">
        <v>14.792583601320588</v>
      </c>
      <c r="H26" s="244">
        <v>14.088669047619048</v>
      </c>
      <c r="I26" s="244">
        <v>15.143529411764705</v>
      </c>
      <c r="J26" s="244">
        <v>14.598974358974358</v>
      </c>
      <c r="K26" s="244">
        <v>13.258823529411766</v>
      </c>
      <c r="L26" s="244">
        <v>14.369565217391305</v>
      </c>
      <c r="M26" s="244">
        <v>13.156666666666666</v>
      </c>
      <c r="N26" s="244">
        <v>13.03529411764706</v>
      </c>
      <c r="R26" s="122"/>
      <c r="T26" s="138"/>
      <c r="U26" s="126"/>
      <c r="V26" s="138"/>
      <c r="W26" s="138"/>
      <c r="X26" s="138"/>
      <c r="Y26" s="126"/>
      <c r="AA26" s="151"/>
    </row>
    <row r="27" spans="1:27" ht="16" customHeight="1">
      <c r="A27" s="143" t="s">
        <v>37</v>
      </c>
      <c r="B27" s="655">
        <v>15.219518419884597</v>
      </c>
      <c r="C27" s="244">
        <v>15.193333333333333</v>
      </c>
      <c r="D27" s="244">
        <v>14.842364532019706</v>
      </c>
      <c r="E27" s="244">
        <v>16.599684791174155</v>
      </c>
      <c r="F27" s="244">
        <v>15.509978768577497</v>
      </c>
      <c r="G27" s="244">
        <v>15.299417475728157</v>
      </c>
      <c r="H27" s="244">
        <v>15.596124031007752</v>
      </c>
      <c r="I27" s="244">
        <v>14.688321167883213</v>
      </c>
      <c r="J27" s="244">
        <v>15.239774859287055</v>
      </c>
      <c r="K27" s="244">
        <v>15.421811460258784</v>
      </c>
      <c r="L27" s="244">
        <v>15.266536203522508</v>
      </c>
      <c r="M27" s="244">
        <v>14.166438356164383</v>
      </c>
      <c r="N27" s="244">
        <v>15.166666666666666</v>
      </c>
      <c r="R27" s="122"/>
      <c r="T27" s="138"/>
      <c r="U27" s="126"/>
      <c r="V27" s="138"/>
      <c r="W27" s="138"/>
      <c r="X27" s="138"/>
      <c r="Y27" s="126"/>
      <c r="AA27" s="151"/>
    </row>
    <row r="28" spans="1:27" ht="16" customHeight="1">
      <c r="A28" s="143" t="s">
        <v>38</v>
      </c>
      <c r="B28" s="655">
        <v>12.314320490220767</v>
      </c>
      <c r="C28" s="244">
        <v>11.600750267952838</v>
      </c>
      <c r="D28" s="244">
        <v>11.688651218062985</v>
      </c>
      <c r="E28" s="244">
        <v>12.053605313092978</v>
      </c>
      <c r="F28" s="244">
        <v>12.264504339881224</v>
      </c>
      <c r="G28" s="244">
        <v>12.662531017369727</v>
      </c>
      <c r="H28" s="244">
        <v>12.50483202945237</v>
      </c>
      <c r="I28" s="244">
        <v>12.860897145446307</v>
      </c>
      <c r="J28" s="244">
        <v>12.356216994719153</v>
      </c>
      <c r="K28" s="244">
        <v>12.267676767676768</v>
      </c>
      <c r="L28" s="244">
        <v>12.151038388923851</v>
      </c>
      <c r="M28" s="244">
        <v>12.876282438141219</v>
      </c>
      <c r="N28" s="244">
        <v>12.268469338483825</v>
      </c>
      <c r="R28" s="122"/>
      <c r="T28" s="138"/>
      <c r="U28" s="126"/>
      <c r="V28" s="138"/>
      <c r="W28" s="138"/>
      <c r="X28" s="138"/>
      <c r="Y28" s="126"/>
      <c r="AA28" s="151"/>
    </row>
    <row r="29" spans="1:27" ht="16" customHeight="1">
      <c r="A29" s="143" t="s">
        <v>39</v>
      </c>
      <c r="B29" s="655">
        <v>11.970248051027642</v>
      </c>
      <c r="C29" s="244">
        <v>11.026451138868479</v>
      </c>
      <c r="D29" s="244">
        <v>11.33113553113553</v>
      </c>
      <c r="E29" s="244">
        <v>11.579405366207396</v>
      </c>
      <c r="F29" s="244">
        <v>11.405547226386807</v>
      </c>
      <c r="G29" s="244">
        <v>11.846566164154105</v>
      </c>
      <c r="H29" s="244">
        <v>12.084236864053379</v>
      </c>
      <c r="I29" s="244">
        <v>12.503823279524216</v>
      </c>
      <c r="J29" s="244">
        <v>12.16532618409294</v>
      </c>
      <c r="K29" s="244">
        <v>12.684772065955382</v>
      </c>
      <c r="L29" s="244">
        <v>12.66614017769003</v>
      </c>
      <c r="M29" s="244">
        <v>12.734556574923547</v>
      </c>
      <c r="N29" s="244">
        <v>12.411703239289446</v>
      </c>
      <c r="R29" s="122"/>
      <c r="T29" s="138"/>
      <c r="U29" s="126"/>
      <c r="V29" s="138"/>
      <c r="W29" s="138"/>
      <c r="X29" s="138"/>
      <c r="Y29" s="126"/>
      <c r="AA29" s="151"/>
    </row>
    <row r="30" spans="1:27" ht="16" customHeight="1">
      <c r="A30" s="119" t="s">
        <v>97</v>
      </c>
      <c r="B30" s="655">
        <v>13.616790859413808</v>
      </c>
      <c r="C30" s="244">
        <v>12.593908629441623</v>
      </c>
      <c r="D30" s="244">
        <v>12.434782608695651</v>
      </c>
      <c r="E30" s="244">
        <v>12.759459459459459</v>
      </c>
      <c r="F30" s="244">
        <v>13.041551246537397</v>
      </c>
      <c r="G30" s="244">
        <v>13.305817174515235</v>
      </c>
      <c r="H30" s="244">
        <v>13.231428571428573</v>
      </c>
      <c r="I30" s="244">
        <v>15.332258064516131</v>
      </c>
      <c r="J30" s="244">
        <v>14.910256410256411</v>
      </c>
      <c r="K30" s="244">
        <v>14.798013245033115</v>
      </c>
      <c r="L30" s="244">
        <v>14.460869565217394</v>
      </c>
      <c r="M30" s="244">
        <v>14.103559870550161</v>
      </c>
      <c r="N30" s="244">
        <v>13.324137931034482</v>
      </c>
      <c r="R30" s="122"/>
      <c r="T30" s="138"/>
      <c r="U30" s="126"/>
      <c r="V30" s="138"/>
      <c r="W30" s="138"/>
      <c r="X30" s="138"/>
      <c r="Y30" s="126"/>
      <c r="AA30" s="151"/>
    </row>
    <row r="31" spans="1:27" ht="16" customHeight="1">
      <c r="A31" s="119" t="s">
        <v>98</v>
      </c>
      <c r="B31" s="655">
        <v>11.312871876239587</v>
      </c>
      <c r="C31" s="244">
        <v>10.387797311271976</v>
      </c>
      <c r="D31" s="244">
        <v>10.923771313941826</v>
      </c>
      <c r="E31" s="244">
        <v>11.146679881070368</v>
      </c>
      <c r="F31" s="244">
        <v>10.798561151079136</v>
      </c>
      <c r="G31" s="244">
        <v>11.214165666266506</v>
      </c>
      <c r="H31" s="244">
        <v>11.6113074204947</v>
      </c>
      <c r="I31" s="244">
        <v>11.492502883506344</v>
      </c>
      <c r="J31" s="244">
        <v>11.104089219330854</v>
      </c>
      <c r="K31" s="244">
        <v>11.809327846364884</v>
      </c>
      <c r="L31" s="244">
        <v>11.914565826330533</v>
      </c>
      <c r="M31" s="244">
        <v>12.105059523809524</v>
      </c>
      <c r="N31" s="244">
        <v>12.014992503748125</v>
      </c>
      <c r="R31" s="122"/>
      <c r="T31" s="138"/>
      <c r="U31" s="126"/>
      <c r="V31" s="138"/>
      <c r="W31" s="138"/>
      <c r="X31" s="138"/>
      <c r="Y31" s="126"/>
      <c r="AA31" s="151"/>
    </row>
    <row r="32" spans="1:27" ht="16" customHeight="1">
      <c r="A32" s="143" t="s">
        <v>42</v>
      </c>
      <c r="B32" s="655">
        <v>11.555056418990842</v>
      </c>
      <c r="C32" s="244">
        <v>12.444141689373296</v>
      </c>
      <c r="D32" s="244">
        <v>11.156479217603911</v>
      </c>
      <c r="E32" s="244">
        <v>11.492385786802028</v>
      </c>
      <c r="F32" s="244">
        <v>11.348628428927679</v>
      </c>
      <c r="G32" s="244">
        <v>11.542639593908628</v>
      </c>
      <c r="H32" s="244">
        <v>11.825520833333334</v>
      </c>
      <c r="I32" s="244">
        <v>11.64871794871795</v>
      </c>
      <c r="J32" s="244">
        <v>11.3640897755611</v>
      </c>
      <c r="K32" s="244">
        <v>11.453400503778337</v>
      </c>
      <c r="L32" s="244">
        <v>11.838684210526317</v>
      </c>
      <c r="M32" s="244">
        <v>11.112280701754386</v>
      </c>
      <c r="N32" s="244">
        <v>11.540682414698162</v>
      </c>
      <c r="R32" s="122"/>
      <c r="T32" s="138"/>
      <c r="U32" s="126"/>
      <c r="V32" s="138"/>
      <c r="W32" s="138"/>
      <c r="X32" s="138"/>
      <c r="Y32" s="126"/>
      <c r="AA32" s="151"/>
    </row>
    <row r="33" spans="1:27" ht="16" customHeight="1">
      <c r="A33" s="143" t="s">
        <v>43</v>
      </c>
      <c r="B33" s="655">
        <v>0</v>
      </c>
      <c r="C33" s="244">
        <v>0</v>
      </c>
      <c r="D33" s="244">
        <v>0</v>
      </c>
      <c r="E33" s="244">
        <v>0</v>
      </c>
      <c r="F33" s="244">
        <v>0</v>
      </c>
      <c r="G33" s="244">
        <v>0</v>
      </c>
      <c r="H33" s="244">
        <v>0</v>
      </c>
      <c r="I33" s="244">
        <v>0</v>
      </c>
      <c r="J33" s="244">
        <v>0</v>
      </c>
      <c r="K33" s="244">
        <v>0</v>
      </c>
      <c r="L33" s="244">
        <v>0</v>
      </c>
      <c r="M33" s="244">
        <v>0</v>
      </c>
      <c r="N33" s="244">
        <v>0</v>
      </c>
      <c r="R33" s="122"/>
      <c r="T33" s="138"/>
      <c r="U33" s="126"/>
      <c r="V33" s="138"/>
      <c r="W33" s="138"/>
      <c r="X33" s="138"/>
      <c r="Y33" s="126"/>
      <c r="AA33" s="151"/>
    </row>
    <row r="34" spans="1:27" ht="16" customHeight="1">
      <c r="A34" s="121" t="s">
        <v>44</v>
      </c>
      <c r="B34" s="655">
        <v>0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4">
        <v>0</v>
      </c>
      <c r="J34" s="244">
        <v>0</v>
      </c>
      <c r="K34" s="244">
        <v>0</v>
      </c>
      <c r="L34" s="244">
        <v>0</v>
      </c>
      <c r="M34" s="244">
        <v>0</v>
      </c>
      <c r="N34" s="244">
        <v>0</v>
      </c>
      <c r="R34" s="122"/>
      <c r="T34" s="138"/>
      <c r="U34" s="126"/>
      <c r="V34" s="138"/>
      <c r="W34" s="138"/>
      <c r="X34" s="138"/>
      <c r="Y34" s="126"/>
      <c r="AA34" s="151"/>
    </row>
    <row r="35" spans="1:27" ht="16" customHeight="1">
      <c r="A35" s="121" t="s">
        <v>45</v>
      </c>
      <c r="B35" s="655">
        <v>0</v>
      </c>
      <c r="C35" s="244">
        <v>8.5374999999999996</v>
      </c>
      <c r="D35" s="244">
        <v>11.205</v>
      </c>
      <c r="E35" s="244">
        <v>8.3550000000000004</v>
      </c>
      <c r="F35" s="244">
        <v>11.950000000000001</v>
      </c>
      <c r="G35" s="244">
        <v>8</v>
      </c>
      <c r="H35" s="244">
        <v>11.74</v>
      </c>
      <c r="I35" s="244">
        <v>13.85</v>
      </c>
      <c r="J35" s="244">
        <v>14.45</v>
      </c>
      <c r="K35" s="244">
        <v>10.9</v>
      </c>
      <c r="L35" s="244">
        <v>12.25</v>
      </c>
      <c r="M35" s="244">
        <v>9.4608581106511114</v>
      </c>
      <c r="N35" s="244">
        <v>12.425000000000001</v>
      </c>
      <c r="R35" s="122"/>
      <c r="T35" s="138"/>
      <c r="U35" s="126"/>
      <c r="V35" s="138"/>
      <c r="W35" s="138"/>
      <c r="X35" s="138"/>
      <c r="Y35" s="126"/>
      <c r="AA35" s="151"/>
    </row>
    <row r="36" spans="1:27" ht="16" customHeight="1">
      <c r="A36" s="121" t="s">
        <v>46</v>
      </c>
      <c r="B36" s="655">
        <v>0</v>
      </c>
      <c r="C36" s="244">
        <v>0</v>
      </c>
      <c r="D36" s="244">
        <v>0</v>
      </c>
      <c r="E36" s="244">
        <v>0</v>
      </c>
      <c r="F36" s="244">
        <v>0</v>
      </c>
      <c r="G36" s="244">
        <v>0</v>
      </c>
      <c r="H36" s="244">
        <v>0</v>
      </c>
      <c r="I36" s="244">
        <v>0</v>
      </c>
      <c r="J36" s="244">
        <v>0</v>
      </c>
      <c r="K36" s="244">
        <v>0</v>
      </c>
      <c r="L36" s="244">
        <v>0</v>
      </c>
      <c r="M36" s="244">
        <v>0</v>
      </c>
      <c r="N36" s="244">
        <v>0</v>
      </c>
      <c r="R36" s="122"/>
      <c r="T36" s="138"/>
      <c r="U36" s="126"/>
      <c r="V36" s="138"/>
      <c r="W36" s="138"/>
      <c r="X36" s="138"/>
      <c r="Y36" s="126"/>
      <c r="AA36" s="151"/>
    </row>
    <row r="37" spans="1:27" ht="16" customHeight="1" thickBot="1">
      <c r="A37" s="145" t="s">
        <v>47</v>
      </c>
      <c r="B37" s="656">
        <v>0</v>
      </c>
      <c r="C37" s="245">
        <v>0</v>
      </c>
      <c r="D37" s="245">
        <v>0</v>
      </c>
      <c r="E37" s="245">
        <v>0</v>
      </c>
      <c r="F37" s="245">
        <v>0</v>
      </c>
      <c r="G37" s="245">
        <v>0</v>
      </c>
      <c r="H37" s="245">
        <v>0</v>
      </c>
      <c r="I37" s="245">
        <v>0</v>
      </c>
      <c r="J37" s="245">
        <v>0</v>
      </c>
      <c r="K37" s="245">
        <v>0</v>
      </c>
      <c r="L37" s="245">
        <v>0</v>
      </c>
      <c r="M37" s="245">
        <v>0</v>
      </c>
      <c r="N37" s="245">
        <v>0</v>
      </c>
      <c r="R37" s="122"/>
      <c r="T37" s="138"/>
      <c r="U37" s="126"/>
      <c r="V37" s="138"/>
      <c r="W37" s="138"/>
      <c r="X37" s="138"/>
      <c r="Y37" s="126"/>
      <c r="AA37" s="151"/>
    </row>
    <row r="38" spans="1:27" ht="9" customHeight="1">
      <c r="A38" s="449" t="s">
        <v>330</v>
      </c>
      <c r="B38" s="476"/>
      <c r="C38" s="476"/>
      <c r="D38" s="476"/>
      <c r="E38" s="476"/>
      <c r="F38" s="235"/>
    </row>
    <row r="39" spans="1:27" ht="9" customHeight="1">
      <c r="A39" s="449" t="s">
        <v>304</v>
      </c>
      <c r="B39" s="476"/>
      <c r="C39" s="476"/>
      <c r="D39" s="476"/>
      <c r="E39" s="476"/>
      <c r="F39" s="235"/>
    </row>
    <row r="40" spans="1:27" ht="9" customHeight="1">
      <c r="A40" s="451" t="s">
        <v>303</v>
      </c>
      <c r="B40" s="476"/>
      <c r="C40" s="476"/>
      <c r="D40" s="476"/>
      <c r="E40" s="476"/>
      <c r="F40" s="235"/>
    </row>
    <row r="41" spans="1:27" ht="13.25" customHeight="1">
      <c r="A41" s="11"/>
    </row>
    <row r="42" spans="1:27" ht="13.25" customHeight="1">
      <c r="A42" s="67"/>
    </row>
    <row r="43" spans="1:27" ht="13.25" customHeight="1">
      <c r="A43" s="67"/>
    </row>
    <row r="44" spans="1:27" ht="13.25" customHeight="1">
      <c r="A44" s="22"/>
    </row>
    <row r="45" spans="1:27" ht="13.25" customHeight="1">
      <c r="A45" s="30"/>
    </row>
    <row r="46" spans="1:27" ht="13.25" customHeight="1">
      <c r="A46" s="22"/>
    </row>
    <row r="47" spans="1:27" ht="13.25" customHeight="1">
      <c r="A47" s="67"/>
    </row>
    <row r="48" spans="1:27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Hoja66">
    <tabColor theme="9" tint="0.59999389629810485"/>
  </sheetPr>
  <dimension ref="A4:P46"/>
  <sheetViews>
    <sheetView showGridLines="0" zoomScaleNormal="100" workbookViewId="0">
      <selection activeCell="N33" sqref="N33"/>
    </sheetView>
  </sheetViews>
  <sheetFormatPr baseColWidth="10" defaultColWidth="7" defaultRowHeight="13.25" customHeight="1"/>
  <cols>
    <col min="1" max="2" width="12" style="67" customWidth="1"/>
    <col min="3" max="14" width="9.19921875" style="67" customWidth="1"/>
    <col min="15" max="21" width="8" style="67" customWidth="1"/>
    <col min="22" max="16384" width="7" style="67"/>
  </cols>
  <sheetData>
    <row r="4" spans="1:16" ht="13" customHeight="1">
      <c r="A4" s="230" t="s">
        <v>585</v>
      </c>
      <c r="B4" s="226"/>
      <c r="C4" s="843"/>
      <c r="D4" s="843"/>
      <c r="E4" s="843"/>
      <c r="F4" s="843"/>
      <c r="G4" s="843"/>
      <c r="H4" s="843"/>
      <c r="I4" s="843"/>
      <c r="J4" s="843"/>
      <c r="K4" s="843"/>
      <c r="L4" s="843"/>
      <c r="M4" s="843"/>
      <c r="N4" s="843"/>
      <c r="O4" s="843"/>
      <c r="P4" s="843"/>
    </row>
    <row r="5" spans="1:16" ht="12" customHeight="1">
      <c r="A5" s="233" t="s">
        <v>211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3"/>
      <c r="P5" s="843"/>
    </row>
    <row r="6" spans="1:16" ht="6" customHeight="1" thickBot="1"/>
    <row r="7" spans="1:16" ht="18" customHeight="1">
      <c r="A7" s="732" t="s">
        <v>16</v>
      </c>
      <c r="B7" s="744" t="s">
        <v>103</v>
      </c>
      <c r="C7" s="732" t="s">
        <v>53</v>
      </c>
      <c r="D7" s="732" t="s">
        <v>54</v>
      </c>
      <c r="E7" s="732" t="s">
        <v>55</v>
      </c>
      <c r="F7" s="732" t="s">
        <v>56</v>
      </c>
      <c r="G7" s="732" t="s">
        <v>57</v>
      </c>
      <c r="H7" s="732" t="s">
        <v>58</v>
      </c>
      <c r="I7" s="732" t="s">
        <v>59</v>
      </c>
      <c r="J7" s="732" t="s">
        <v>60</v>
      </c>
      <c r="K7" s="732" t="s">
        <v>61</v>
      </c>
      <c r="L7" s="732" t="s">
        <v>62</v>
      </c>
      <c r="M7" s="732" t="s">
        <v>63</v>
      </c>
      <c r="N7" s="732" t="s">
        <v>64</v>
      </c>
      <c r="O7" s="150"/>
    </row>
    <row r="8" spans="1:16" ht="18" customHeight="1">
      <c r="A8" s="619" t="s">
        <v>87</v>
      </c>
      <c r="B8" s="620">
        <f t="shared" ref="B8:B37" si="0">SUM(C8:N8)</f>
        <v>481194.91396676877</v>
      </c>
      <c r="C8" s="620">
        <f t="shared" ref="C8:N8" si="1">(C9+C10+C11+C12+C13+C17+C18+C19+C20+C21+C22+C23+C24+C25+C26+C27+C28+C29+C32+C33+C34+C35+C36+C37)</f>
        <v>33129</v>
      </c>
      <c r="D8" s="620">
        <f t="shared" si="1"/>
        <v>37602</v>
      </c>
      <c r="E8" s="620">
        <f t="shared" si="1"/>
        <v>39709.44640249887</v>
      </c>
      <c r="F8" s="620">
        <f t="shared" si="1"/>
        <v>47687.467564269929</v>
      </c>
      <c r="G8" s="620">
        <f t="shared" si="1"/>
        <v>47594</v>
      </c>
      <c r="H8" s="620">
        <f t="shared" si="1"/>
        <v>47192</v>
      </c>
      <c r="I8" s="620">
        <f t="shared" si="1"/>
        <v>46573</v>
      </c>
      <c r="J8" s="620">
        <f t="shared" si="1"/>
        <v>42349</v>
      </c>
      <c r="K8" s="620">
        <f t="shared" si="1"/>
        <v>37384</v>
      </c>
      <c r="L8" s="620">
        <f t="shared" si="1"/>
        <v>36471</v>
      </c>
      <c r="M8" s="620">
        <f t="shared" si="1"/>
        <v>34453</v>
      </c>
      <c r="N8" s="620">
        <f t="shared" si="1"/>
        <v>31051</v>
      </c>
    </row>
    <row r="9" spans="1:16" ht="16" customHeight="1">
      <c r="A9" s="75" t="s">
        <v>19</v>
      </c>
      <c r="B9" s="657">
        <f t="shared" si="0"/>
        <v>0</v>
      </c>
      <c r="C9" s="238">
        <v>0</v>
      </c>
      <c r="D9" s="238">
        <v>0</v>
      </c>
      <c r="E9" s="238">
        <v>0</v>
      </c>
      <c r="F9" s="238">
        <v>0</v>
      </c>
      <c r="G9" s="238">
        <v>0</v>
      </c>
      <c r="H9" s="238">
        <v>0</v>
      </c>
      <c r="I9" s="238">
        <v>0</v>
      </c>
      <c r="J9" s="238">
        <v>0</v>
      </c>
      <c r="K9" s="238">
        <v>0</v>
      </c>
      <c r="L9" s="238">
        <v>0</v>
      </c>
      <c r="M9" s="238">
        <v>0</v>
      </c>
      <c r="N9" s="238">
        <v>0</v>
      </c>
      <c r="O9" s="149"/>
    </row>
    <row r="10" spans="1:16" ht="16" customHeight="1">
      <c r="A10" s="75" t="s">
        <v>20</v>
      </c>
      <c r="B10" s="657">
        <f t="shared" si="0"/>
        <v>0</v>
      </c>
      <c r="C10" s="238">
        <v>0</v>
      </c>
      <c r="D10" s="238">
        <v>0</v>
      </c>
      <c r="E10" s="238">
        <v>0</v>
      </c>
      <c r="F10" s="238">
        <v>0</v>
      </c>
      <c r="G10" s="238">
        <v>0</v>
      </c>
      <c r="H10" s="238">
        <v>0</v>
      </c>
      <c r="I10" s="238">
        <v>0</v>
      </c>
      <c r="J10" s="238">
        <v>0</v>
      </c>
      <c r="K10" s="238">
        <v>0</v>
      </c>
      <c r="L10" s="238">
        <v>0</v>
      </c>
      <c r="M10" s="238">
        <v>0</v>
      </c>
      <c r="N10" s="238">
        <v>0</v>
      </c>
    </row>
    <row r="11" spans="1:16" ht="16" customHeight="1">
      <c r="A11" s="75" t="s">
        <v>21</v>
      </c>
      <c r="B11" s="657">
        <f t="shared" si="0"/>
        <v>0</v>
      </c>
      <c r="C11" s="238">
        <v>0</v>
      </c>
      <c r="D11" s="238">
        <v>0</v>
      </c>
      <c r="E11" s="238">
        <v>0</v>
      </c>
      <c r="F11" s="238">
        <v>0</v>
      </c>
      <c r="G11" s="238">
        <v>0</v>
      </c>
      <c r="H11" s="238">
        <v>0</v>
      </c>
      <c r="I11" s="238">
        <v>0</v>
      </c>
      <c r="J11" s="238">
        <v>0</v>
      </c>
      <c r="K11" s="238">
        <v>0</v>
      </c>
      <c r="L11" s="238">
        <v>0</v>
      </c>
      <c r="M11" s="238">
        <v>0</v>
      </c>
      <c r="N11" s="238">
        <v>0</v>
      </c>
    </row>
    <row r="12" spans="1:16" ht="16" customHeight="1">
      <c r="A12" s="67" t="s">
        <v>22</v>
      </c>
      <c r="B12" s="657">
        <f t="shared" si="0"/>
        <v>1649</v>
      </c>
      <c r="C12" s="238">
        <v>38</v>
      </c>
      <c r="D12" s="238">
        <v>0</v>
      </c>
      <c r="E12" s="238">
        <v>0</v>
      </c>
      <c r="F12" s="238">
        <v>92</v>
      </c>
      <c r="G12" s="238">
        <v>361</v>
      </c>
      <c r="H12" s="238">
        <v>257</v>
      </c>
      <c r="I12" s="238">
        <v>328</v>
      </c>
      <c r="J12" s="238">
        <v>239</v>
      </c>
      <c r="K12" s="238">
        <v>122</v>
      </c>
      <c r="L12" s="238">
        <v>53</v>
      </c>
      <c r="M12" s="238">
        <v>56</v>
      </c>
      <c r="N12" s="238">
        <v>103</v>
      </c>
    </row>
    <row r="13" spans="1:16" ht="16" customHeight="1">
      <c r="A13" s="67" t="s">
        <v>23</v>
      </c>
      <c r="B13" s="657">
        <f t="shared" si="0"/>
        <v>0</v>
      </c>
      <c r="C13" s="238">
        <v>0</v>
      </c>
      <c r="D13" s="238">
        <v>0</v>
      </c>
      <c r="E13" s="238">
        <v>0</v>
      </c>
      <c r="F13" s="238">
        <v>0</v>
      </c>
      <c r="G13" s="238">
        <v>0</v>
      </c>
      <c r="H13" s="238">
        <v>0</v>
      </c>
      <c r="I13" s="238">
        <v>0</v>
      </c>
      <c r="J13" s="238">
        <v>0</v>
      </c>
      <c r="K13" s="238">
        <v>0</v>
      </c>
      <c r="L13" s="238">
        <v>0</v>
      </c>
      <c r="M13" s="238">
        <v>0</v>
      </c>
      <c r="N13" s="238">
        <v>0</v>
      </c>
    </row>
    <row r="14" spans="1:16" ht="16" customHeight="1">
      <c r="A14" s="97" t="s">
        <v>94</v>
      </c>
      <c r="B14" s="657">
        <f t="shared" si="0"/>
        <v>0</v>
      </c>
      <c r="C14" s="238">
        <v>0</v>
      </c>
      <c r="D14" s="238">
        <v>0</v>
      </c>
      <c r="E14" s="238">
        <v>0</v>
      </c>
      <c r="F14" s="238">
        <v>0</v>
      </c>
      <c r="G14" s="238">
        <v>0</v>
      </c>
      <c r="H14" s="238">
        <v>0</v>
      </c>
      <c r="I14" s="238">
        <v>0</v>
      </c>
      <c r="J14" s="238">
        <v>0</v>
      </c>
      <c r="K14" s="238">
        <v>0</v>
      </c>
      <c r="L14" s="238">
        <v>0</v>
      </c>
      <c r="M14" s="238">
        <v>0</v>
      </c>
      <c r="N14" s="238">
        <v>0</v>
      </c>
    </row>
    <row r="15" spans="1:16" ht="16" customHeight="1">
      <c r="A15" s="97" t="s">
        <v>95</v>
      </c>
      <c r="B15" s="657">
        <f t="shared" si="0"/>
        <v>0</v>
      </c>
      <c r="C15" s="238">
        <v>0</v>
      </c>
      <c r="D15" s="238">
        <v>0</v>
      </c>
      <c r="E15" s="238">
        <v>0</v>
      </c>
      <c r="F15" s="238">
        <v>0</v>
      </c>
      <c r="G15" s="238">
        <v>0</v>
      </c>
      <c r="H15" s="238">
        <v>0</v>
      </c>
      <c r="I15" s="238">
        <v>0</v>
      </c>
      <c r="J15" s="238">
        <v>0</v>
      </c>
      <c r="K15" s="238">
        <v>0</v>
      </c>
      <c r="L15" s="238">
        <v>0</v>
      </c>
      <c r="M15" s="238">
        <v>0</v>
      </c>
      <c r="N15" s="238">
        <v>0</v>
      </c>
    </row>
    <row r="16" spans="1:16" ht="16" customHeight="1">
      <c r="A16" s="97" t="s">
        <v>96</v>
      </c>
      <c r="B16" s="657">
        <f t="shared" si="0"/>
        <v>0</v>
      </c>
      <c r="C16" s="238">
        <v>0</v>
      </c>
      <c r="D16" s="238">
        <v>0</v>
      </c>
      <c r="E16" s="238">
        <v>0</v>
      </c>
      <c r="F16" s="238">
        <v>0</v>
      </c>
      <c r="G16" s="238">
        <v>0</v>
      </c>
      <c r="H16" s="238">
        <v>0</v>
      </c>
      <c r="I16" s="238">
        <v>0</v>
      </c>
      <c r="J16" s="238">
        <v>0</v>
      </c>
      <c r="K16" s="238">
        <v>0</v>
      </c>
      <c r="L16" s="238">
        <v>0</v>
      </c>
      <c r="M16" s="238">
        <v>0</v>
      </c>
      <c r="N16" s="238">
        <v>0</v>
      </c>
    </row>
    <row r="17" spans="1:14" ht="16" customHeight="1">
      <c r="A17" s="75" t="s">
        <v>27</v>
      </c>
      <c r="B17" s="657">
        <f t="shared" si="0"/>
        <v>0</v>
      </c>
      <c r="C17" s="238">
        <v>0</v>
      </c>
      <c r="D17" s="238">
        <v>0</v>
      </c>
      <c r="E17" s="238">
        <v>0</v>
      </c>
      <c r="F17" s="238">
        <v>0</v>
      </c>
      <c r="G17" s="238">
        <v>0</v>
      </c>
      <c r="H17" s="238">
        <v>0</v>
      </c>
      <c r="I17" s="238">
        <v>0</v>
      </c>
      <c r="J17" s="238">
        <v>0</v>
      </c>
      <c r="K17" s="238">
        <v>0</v>
      </c>
      <c r="L17" s="238">
        <v>0</v>
      </c>
      <c r="M17" s="238">
        <v>0</v>
      </c>
      <c r="N17" s="238">
        <v>0</v>
      </c>
    </row>
    <row r="18" spans="1:14" ht="16" customHeight="1">
      <c r="A18" s="67" t="s">
        <v>28</v>
      </c>
      <c r="B18" s="657">
        <f t="shared" si="0"/>
        <v>578.46756426992943</v>
      </c>
      <c r="C18" s="238">
        <v>51</v>
      </c>
      <c r="D18" s="238">
        <v>55</v>
      </c>
      <c r="E18" s="238">
        <v>52</v>
      </c>
      <c r="F18" s="238">
        <v>41.46756426992944</v>
      </c>
      <c r="G18" s="238">
        <v>46</v>
      </c>
      <c r="H18" s="238">
        <v>40</v>
      </c>
      <c r="I18" s="238">
        <v>42</v>
      </c>
      <c r="J18" s="238">
        <v>52</v>
      </c>
      <c r="K18" s="238">
        <v>48</v>
      </c>
      <c r="L18" s="238">
        <v>44</v>
      </c>
      <c r="M18" s="238">
        <v>55</v>
      </c>
      <c r="N18" s="238">
        <v>52</v>
      </c>
    </row>
    <row r="19" spans="1:14" ht="16" customHeight="1">
      <c r="A19" s="67" t="s">
        <v>29</v>
      </c>
      <c r="B19" s="657">
        <f t="shared" si="0"/>
        <v>3513</v>
      </c>
      <c r="C19" s="238">
        <v>241</v>
      </c>
      <c r="D19" s="238">
        <v>278</v>
      </c>
      <c r="E19" s="238">
        <v>312</v>
      </c>
      <c r="F19" s="238">
        <v>312</v>
      </c>
      <c r="G19" s="238">
        <v>299</v>
      </c>
      <c r="H19" s="238">
        <v>317</v>
      </c>
      <c r="I19" s="238">
        <v>319</v>
      </c>
      <c r="J19" s="238">
        <v>312</v>
      </c>
      <c r="K19" s="238">
        <v>321</v>
      </c>
      <c r="L19" s="238">
        <v>312</v>
      </c>
      <c r="M19" s="238">
        <v>259</v>
      </c>
      <c r="N19" s="238">
        <v>231</v>
      </c>
    </row>
    <row r="20" spans="1:14" ht="16" customHeight="1">
      <c r="A20" s="75" t="s">
        <v>30</v>
      </c>
      <c r="B20" s="657">
        <f t="shared" si="0"/>
        <v>0</v>
      </c>
      <c r="C20" s="238">
        <v>0</v>
      </c>
      <c r="D20" s="238">
        <v>0</v>
      </c>
      <c r="E20" s="238">
        <v>0</v>
      </c>
      <c r="F20" s="238">
        <v>0</v>
      </c>
      <c r="G20" s="238">
        <v>0</v>
      </c>
      <c r="H20" s="238">
        <v>0</v>
      </c>
      <c r="I20" s="238">
        <v>0</v>
      </c>
      <c r="J20" s="238">
        <v>0</v>
      </c>
      <c r="K20" s="238">
        <v>0</v>
      </c>
      <c r="L20" s="238">
        <v>0</v>
      </c>
      <c r="M20" s="238">
        <v>0</v>
      </c>
      <c r="N20" s="238">
        <v>0</v>
      </c>
    </row>
    <row r="21" spans="1:14" ht="16" customHeight="1">
      <c r="A21" s="75" t="s">
        <v>31</v>
      </c>
      <c r="B21" s="657">
        <f t="shared" si="0"/>
        <v>1788</v>
      </c>
      <c r="C21" s="238">
        <v>132</v>
      </c>
      <c r="D21" s="238">
        <v>146</v>
      </c>
      <c r="E21" s="238">
        <v>168</v>
      </c>
      <c r="F21" s="238">
        <v>149</v>
      </c>
      <c r="G21" s="238">
        <v>118</v>
      </c>
      <c r="H21" s="238">
        <v>120</v>
      </c>
      <c r="I21" s="238">
        <v>137</v>
      </c>
      <c r="J21" s="238">
        <v>177</v>
      </c>
      <c r="K21" s="238">
        <v>167</v>
      </c>
      <c r="L21" s="238">
        <v>141</v>
      </c>
      <c r="M21" s="238">
        <v>180</v>
      </c>
      <c r="N21" s="238">
        <v>153</v>
      </c>
    </row>
    <row r="22" spans="1:14" ht="16" customHeight="1">
      <c r="A22" s="75" t="s">
        <v>32</v>
      </c>
      <c r="B22" s="657">
        <f t="shared" si="0"/>
        <v>18555</v>
      </c>
      <c r="C22" s="238">
        <v>1009</v>
      </c>
      <c r="D22" s="238">
        <v>1153</v>
      </c>
      <c r="E22" s="238">
        <v>1353</v>
      </c>
      <c r="F22" s="238">
        <v>1738</v>
      </c>
      <c r="G22" s="238">
        <v>1479</v>
      </c>
      <c r="H22" s="238">
        <v>1533</v>
      </c>
      <c r="I22" s="238">
        <v>2032</v>
      </c>
      <c r="J22" s="238">
        <v>1569</v>
      </c>
      <c r="K22" s="238">
        <v>1360</v>
      </c>
      <c r="L22" s="238">
        <v>1545</v>
      </c>
      <c r="M22" s="238">
        <v>1590</v>
      </c>
      <c r="N22" s="238">
        <v>2194</v>
      </c>
    </row>
    <row r="23" spans="1:14" ht="16" customHeight="1">
      <c r="A23" s="75" t="s">
        <v>33</v>
      </c>
      <c r="B23" s="657">
        <f t="shared" si="0"/>
        <v>15345</v>
      </c>
      <c r="C23" s="238">
        <v>1293</v>
      </c>
      <c r="D23" s="238">
        <v>1249</v>
      </c>
      <c r="E23" s="238">
        <v>1231</v>
      </c>
      <c r="F23" s="238">
        <v>1168</v>
      </c>
      <c r="G23" s="238">
        <v>1211</v>
      </c>
      <c r="H23" s="238">
        <v>1272</v>
      </c>
      <c r="I23" s="238">
        <v>1294</v>
      </c>
      <c r="J23" s="238">
        <v>1309</v>
      </c>
      <c r="K23" s="238">
        <v>1356</v>
      </c>
      <c r="L23" s="238">
        <v>1410</v>
      </c>
      <c r="M23" s="238">
        <v>1162</v>
      </c>
      <c r="N23" s="238">
        <v>1390</v>
      </c>
    </row>
    <row r="24" spans="1:14" ht="16" customHeight="1">
      <c r="A24" s="75" t="s">
        <v>34</v>
      </c>
      <c r="B24" s="657">
        <f t="shared" si="0"/>
        <v>19399</v>
      </c>
      <c r="C24" s="238">
        <v>1639</v>
      </c>
      <c r="D24" s="238">
        <v>1521</v>
      </c>
      <c r="E24" s="238">
        <v>1597</v>
      </c>
      <c r="F24" s="238">
        <v>1427</v>
      </c>
      <c r="G24" s="238">
        <v>1839</v>
      </c>
      <c r="H24" s="238">
        <v>1873</v>
      </c>
      <c r="I24" s="238">
        <v>1597</v>
      </c>
      <c r="J24" s="238">
        <v>1607</v>
      </c>
      <c r="K24" s="238">
        <v>1709</v>
      </c>
      <c r="L24" s="238">
        <v>1580</v>
      </c>
      <c r="M24" s="238">
        <v>1483</v>
      </c>
      <c r="N24" s="238">
        <v>1527</v>
      </c>
    </row>
    <row r="25" spans="1:14" ht="16" customHeight="1">
      <c r="A25" s="67" t="s">
        <v>35</v>
      </c>
      <c r="B25" s="657">
        <f t="shared" si="0"/>
        <v>49512</v>
      </c>
      <c r="C25" s="238">
        <v>4159</v>
      </c>
      <c r="D25" s="238">
        <v>3775</v>
      </c>
      <c r="E25" s="238">
        <v>3927</v>
      </c>
      <c r="F25" s="238">
        <v>3923</v>
      </c>
      <c r="G25" s="238">
        <v>3975</v>
      </c>
      <c r="H25" s="238">
        <v>4242</v>
      </c>
      <c r="I25" s="238">
        <v>4251</v>
      </c>
      <c r="J25" s="238">
        <v>4268</v>
      </c>
      <c r="K25" s="238">
        <v>4187</v>
      </c>
      <c r="L25" s="238">
        <v>4194</v>
      </c>
      <c r="M25" s="238">
        <v>4243</v>
      </c>
      <c r="N25" s="238">
        <v>4368</v>
      </c>
    </row>
    <row r="26" spans="1:14" ht="16" customHeight="1">
      <c r="A26" s="75" t="s">
        <v>36</v>
      </c>
      <c r="B26" s="657">
        <f t="shared" si="0"/>
        <v>5252.4464024988738</v>
      </c>
      <c r="C26" s="238">
        <v>317</v>
      </c>
      <c r="D26" s="238">
        <v>372</v>
      </c>
      <c r="E26" s="238">
        <v>444.44640249887436</v>
      </c>
      <c r="F26" s="238">
        <v>370</v>
      </c>
      <c r="G26" s="238">
        <v>458</v>
      </c>
      <c r="H26" s="238">
        <v>418</v>
      </c>
      <c r="I26" s="238">
        <v>458</v>
      </c>
      <c r="J26" s="238">
        <v>452</v>
      </c>
      <c r="K26" s="238">
        <v>462</v>
      </c>
      <c r="L26" s="238">
        <v>472</v>
      </c>
      <c r="M26" s="238">
        <v>438</v>
      </c>
      <c r="N26" s="238">
        <v>591</v>
      </c>
    </row>
    <row r="27" spans="1:14" ht="16" customHeight="1">
      <c r="A27" s="75" t="s">
        <v>37</v>
      </c>
      <c r="B27" s="657">
        <f t="shared" si="0"/>
        <v>10169</v>
      </c>
      <c r="C27" s="238">
        <v>707</v>
      </c>
      <c r="D27" s="238">
        <v>750</v>
      </c>
      <c r="E27" s="238">
        <v>793</v>
      </c>
      <c r="F27" s="238">
        <v>814</v>
      </c>
      <c r="G27" s="238">
        <v>830</v>
      </c>
      <c r="H27" s="238">
        <v>970</v>
      </c>
      <c r="I27" s="238">
        <v>936</v>
      </c>
      <c r="J27" s="238">
        <v>912</v>
      </c>
      <c r="K27" s="238">
        <v>879</v>
      </c>
      <c r="L27" s="238">
        <v>831</v>
      </c>
      <c r="M27" s="238">
        <v>862</v>
      </c>
      <c r="N27" s="238">
        <v>885</v>
      </c>
    </row>
    <row r="28" spans="1:14" ht="16" customHeight="1">
      <c r="A28" s="75" t="s">
        <v>38</v>
      </c>
      <c r="B28" s="657">
        <f t="shared" si="0"/>
        <v>29343</v>
      </c>
      <c r="C28" s="238">
        <v>2699</v>
      </c>
      <c r="D28" s="238">
        <v>2397</v>
      </c>
      <c r="E28" s="238">
        <v>2097</v>
      </c>
      <c r="F28" s="238">
        <v>2599</v>
      </c>
      <c r="G28" s="238">
        <v>2937</v>
      </c>
      <c r="H28" s="238">
        <v>2983</v>
      </c>
      <c r="I28" s="238">
        <v>2856</v>
      </c>
      <c r="J28" s="238">
        <v>2218</v>
      </c>
      <c r="K28" s="238">
        <v>1768</v>
      </c>
      <c r="L28" s="238">
        <v>2169</v>
      </c>
      <c r="M28" s="238">
        <v>2214</v>
      </c>
      <c r="N28" s="238">
        <v>2406</v>
      </c>
    </row>
    <row r="29" spans="1:14" ht="16" customHeight="1">
      <c r="A29" s="67" t="s">
        <v>39</v>
      </c>
      <c r="B29" s="657">
        <f t="shared" si="0"/>
        <v>19385</v>
      </c>
      <c r="C29" s="238">
        <v>1779</v>
      </c>
      <c r="D29" s="238">
        <v>1755</v>
      </c>
      <c r="E29" s="238">
        <v>1734</v>
      </c>
      <c r="F29" s="238">
        <v>1612</v>
      </c>
      <c r="G29" s="238">
        <v>1548</v>
      </c>
      <c r="H29" s="238">
        <v>1690</v>
      </c>
      <c r="I29" s="238">
        <v>1646</v>
      </c>
      <c r="J29" s="238">
        <v>1647</v>
      </c>
      <c r="K29" s="238">
        <v>1556</v>
      </c>
      <c r="L29" s="238">
        <v>1537</v>
      </c>
      <c r="M29" s="238">
        <v>1427</v>
      </c>
      <c r="N29" s="238">
        <v>1454</v>
      </c>
    </row>
    <row r="30" spans="1:14" ht="16" customHeight="1">
      <c r="A30" s="97" t="s">
        <v>97</v>
      </c>
      <c r="B30" s="657">
        <f t="shared" si="0"/>
        <v>12795</v>
      </c>
      <c r="C30" s="238">
        <v>1097</v>
      </c>
      <c r="D30" s="238">
        <v>1148</v>
      </c>
      <c r="E30" s="238">
        <v>1106</v>
      </c>
      <c r="F30" s="238">
        <v>1008</v>
      </c>
      <c r="G30" s="238">
        <v>981</v>
      </c>
      <c r="H30" s="238">
        <v>1097</v>
      </c>
      <c r="I30" s="238">
        <v>1024</v>
      </c>
      <c r="J30" s="238">
        <v>1043</v>
      </c>
      <c r="K30" s="238">
        <v>980</v>
      </c>
      <c r="L30" s="238">
        <v>997</v>
      </c>
      <c r="M30" s="238">
        <v>1107</v>
      </c>
      <c r="N30" s="238">
        <v>1207</v>
      </c>
    </row>
    <row r="31" spans="1:14" ht="16" customHeight="1">
      <c r="A31" s="97" t="s">
        <v>98</v>
      </c>
      <c r="B31" s="657">
        <f t="shared" si="0"/>
        <v>6590</v>
      </c>
      <c r="C31" s="238">
        <v>682</v>
      </c>
      <c r="D31" s="238">
        <v>607</v>
      </c>
      <c r="E31" s="238">
        <v>628</v>
      </c>
      <c r="F31" s="238">
        <v>604</v>
      </c>
      <c r="G31" s="238">
        <v>567</v>
      </c>
      <c r="H31" s="238">
        <v>593</v>
      </c>
      <c r="I31" s="238">
        <v>622</v>
      </c>
      <c r="J31" s="238">
        <v>604</v>
      </c>
      <c r="K31" s="238">
        <v>576</v>
      </c>
      <c r="L31" s="238">
        <v>540</v>
      </c>
      <c r="M31" s="238">
        <v>320</v>
      </c>
      <c r="N31" s="238">
        <v>247</v>
      </c>
    </row>
    <row r="32" spans="1:14" ht="16" customHeight="1">
      <c r="A32" s="75" t="s">
        <v>42</v>
      </c>
      <c r="B32" s="657">
        <f t="shared" si="0"/>
        <v>95196</v>
      </c>
      <c r="C32" s="238">
        <v>6710</v>
      </c>
      <c r="D32" s="238">
        <v>7491</v>
      </c>
      <c r="E32" s="238">
        <v>7781</v>
      </c>
      <c r="F32" s="238">
        <v>8792</v>
      </c>
      <c r="G32" s="238">
        <v>9348</v>
      </c>
      <c r="H32" s="238">
        <v>9417</v>
      </c>
      <c r="I32" s="238">
        <v>9027</v>
      </c>
      <c r="J32" s="238">
        <v>8627</v>
      </c>
      <c r="K32" s="238">
        <v>7749</v>
      </c>
      <c r="L32" s="238">
        <v>7483</v>
      </c>
      <c r="M32" s="238">
        <v>6804</v>
      </c>
      <c r="N32" s="238">
        <v>5967</v>
      </c>
    </row>
    <row r="33" spans="1:14" ht="16" customHeight="1">
      <c r="A33" s="75" t="s">
        <v>43</v>
      </c>
      <c r="B33" s="657">
        <f t="shared" si="0"/>
        <v>211510</v>
      </c>
      <c r="C33" s="238">
        <v>12355</v>
      </c>
      <c r="D33" s="238">
        <v>16660</v>
      </c>
      <c r="E33" s="238">
        <v>18220</v>
      </c>
      <c r="F33" s="238">
        <v>24650</v>
      </c>
      <c r="G33" s="238">
        <v>23145</v>
      </c>
      <c r="H33" s="238">
        <v>22060</v>
      </c>
      <c r="I33" s="238">
        <v>21650</v>
      </c>
      <c r="J33" s="238">
        <v>18960</v>
      </c>
      <c r="K33" s="238">
        <v>15700</v>
      </c>
      <c r="L33" s="238">
        <v>14700</v>
      </c>
      <c r="M33" s="238">
        <v>13680</v>
      </c>
      <c r="N33" s="238">
        <v>9730</v>
      </c>
    </row>
    <row r="34" spans="1:14" ht="16" customHeight="1">
      <c r="A34" s="67" t="s">
        <v>44</v>
      </c>
      <c r="B34" s="657">
        <f t="shared" si="0"/>
        <v>0</v>
      </c>
      <c r="C34" s="238">
        <v>0</v>
      </c>
      <c r="D34" s="238">
        <v>0</v>
      </c>
      <c r="E34" s="238">
        <v>0</v>
      </c>
      <c r="F34" s="238">
        <v>0</v>
      </c>
      <c r="G34" s="238">
        <v>0</v>
      </c>
      <c r="H34" s="238">
        <v>0</v>
      </c>
      <c r="I34" s="238">
        <v>0</v>
      </c>
      <c r="J34" s="238">
        <v>0</v>
      </c>
      <c r="K34" s="238">
        <v>0</v>
      </c>
      <c r="L34" s="238">
        <v>0</v>
      </c>
      <c r="M34" s="238">
        <v>0</v>
      </c>
      <c r="N34" s="238">
        <v>0</v>
      </c>
    </row>
    <row r="35" spans="1:14" ht="16" customHeight="1">
      <c r="A35" s="67" t="s">
        <v>45</v>
      </c>
      <c r="B35" s="657">
        <f t="shared" si="0"/>
        <v>0</v>
      </c>
      <c r="C35" s="238">
        <v>0</v>
      </c>
      <c r="D35" s="238">
        <v>0</v>
      </c>
      <c r="E35" s="238">
        <v>0</v>
      </c>
      <c r="F35" s="238">
        <v>0</v>
      </c>
      <c r="G35" s="238">
        <v>0</v>
      </c>
      <c r="H35" s="238">
        <v>0</v>
      </c>
      <c r="I35" s="238">
        <v>0</v>
      </c>
      <c r="J35" s="238">
        <v>0</v>
      </c>
      <c r="K35" s="238">
        <v>0</v>
      </c>
      <c r="L35" s="238">
        <v>0</v>
      </c>
      <c r="M35" s="238">
        <v>0</v>
      </c>
      <c r="N35" s="238">
        <v>0</v>
      </c>
    </row>
    <row r="36" spans="1:14" ht="16" customHeight="1">
      <c r="A36" s="67" t="s">
        <v>46</v>
      </c>
      <c r="B36" s="657">
        <f t="shared" si="0"/>
        <v>0</v>
      </c>
      <c r="C36" s="238">
        <v>0</v>
      </c>
      <c r="D36" s="238">
        <v>0</v>
      </c>
      <c r="E36" s="238">
        <v>0</v>
      </c>
      <c r="F36" s="238">
        <v>0</v>
      </c>
      <c r="G36" s="238">
        <v>0</v>
      </c>
      <c r="H36" s="238">
        <v>0</v>
      </c>
      <c r="I36" s="238">
        <v>0</v>
      </c>
      <c r="J36" s="238">
        <v>0</v>
      </c>
      <c r="K36" s="238">
        <v>0</v>
      </c>
      <c r="L36" s="238">
        <v>0</v>
      </c>
      <c r="M36" s="238">
        <v>0</v>
      </c>
      <c r="N36" s="238">
        <v>0</v>
      </c>
    </row>
    <row r="37" spans="1:14" ht="16" customHeight="1" thickBot="1">
      <c r="A37" s="145" t="s">
        <v>47</v>
      </c>
      <c r="B37" s="658">
        <f t="shared" si="0"/>
        <v>0</v>
      </c>
      <c r="C37" s="239">
        <v>0</v>
      </c>
      <c r="D37" s="239">
        <v>0</v>
      </c>
      <c r="E37" s="239">
        <v>0</v>
      </c>
      <c r="F37" s="239">
        <v>0</v>
      </c>
      <c r="G37" s="239">
        <v>0</v>
      </c>
      <c r="H37" s="239">
        <v>0</v>
      </c>
      <c r="I37" s="239">
        <v>0</v>
      </c>
      <c r="J37" s="239">
        <v>0</v>
      </c>
      <c r="K37" s="239">
        <v>0</v>
      </c>
      <c r="L37" s="239">
        <v>0</v>
      </c>
      <c r="M37" s="239">
        <v>0</v>
      </c>
      <c r="N37" s="239">
        <v>0</v>
      </c>
    </row>
    <row r="38" spans="1:14" ht="9" customHeight="1">
      <c r="A38" s="449" t="s">
        <v>330</v>
      </c>
      <c r="B38" s="462"/>
      <c r="C38" s="462"/>
      <c r="D38" s="462"/>
      <c r="E38" s="462"/>
      <c r="F38" s="171"/>
      <c r="G38" s="71"/>
      <c r="H38" s="71"/>
      <c r="I38" s="71"/>
      <c r="J38" s="71"/>
      <c r="K38" s="71"/>
      <c r="L38" s="71"/>
      <c r="M38" s="71"/>
      <c r="N38" s="71"/>
    </row>
    <row r="39" spans="1:14" ht="9" customHeight="1">
      <c r="A39" s="449" t="s">
        <v>304</v>
      </c>
      <c r="B39" s="462"/>
      <c r="C39" s="462"/>
      <c r="D39" s="462"/>
      <c r="E39" s="462"/>
      <c r="F39" s="171"/>
      <c r="G39" s="71"/>
      <c r="H39" s="71"/>
      <c r="I39" s="71"/>
      <c r="J39" s="71"/>
      <c r="K39" s="71"/>
      <c r="L39" s="71"/>
      <c r="M39" s="71"/>
      <c r="N39" s="71"/>
    </row>
    <row r="40" spans="1:14" ht="9" customHeight="1">
      <c r="A40" s="451" t="s">
        <v>303</v>
      </c>
      <c r="B40" s="462"/>
      <c r="C40" s="462"/>
      <c r="D40" s="462"/>
      <c r="E40" s="462"/>
      <c r="F40" s="171"/>
      <c r="G40" s="71"/>
      <c r="H40" s="71"/>
      <c r="I40" s="71"/>
      <c r="J40" s="71"/>
      <c r="K40" s="71"/>
      <c r="L40" s="71"/>
      <c r="M40" s="71"/>
      <c r="N40" s="71"/>
    </row>
    <row r="41" spans="1:14" ht="13.25" customHeight="1">
      <c r="A41" s="11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Hoja67">
    <tabColor theme="9" tint="0.59999389629810485"/>
  </sheetPr>
  <dimension ref="A4:Z46"/>
  <sheetViews>
    <sheetView showGridLines="0" topLeftCell="A3" zoomScaleNormal="100" workbookViewId="0">
      <selection activeCell="C22" sqref="C22"/>
    </sheetView>
  </sheetViews>
  <sheetFormatPr baseColWidth="10" defaultColWidth="7" defaultRowHeight="13.25" customHeight="1"/>
  <cols>
    <col min="1" max="2" width="12" style="67" customWidth="1"/>
    <col min="3" max="14" width="9.19921875" style="67" customWidth="1"/>
    <col min="15" max="21" width="8" style="67" customWidth="1"/>
    <col min="22" max="16384" width="7" style="67"/>
  </cols>
  <sheetData>
    <row r="4" spans="1:16" ht="13" customHeight="1">
      <c r="A4" s="230" t="s">
        <v>586</v>
      </c>
      <c r="B4" s="226"/>
      <c r="C4" s="843"/>
      <c r="D4" s="843"/>
      <c r="E4" s="843"/>
      <c r="F4" s="843"/>
      <c r="G4" s="843"/>
      <c r="H4" s="843"/>
      <c r="I4" s="843"/>
      <c r="J4" s="843"/>
      <c r="K4" s="843"/>
      <c r="L4" s="843"/>
      <c r="M4" s="843"/>
      <c r="N4" s="843"/>
      <c r="O4" s="843"/>
      <c r="P4" s="843"/>
    </row>
    <row r="5" spans="1:16" ht="12" customHeight="1">
      <c r="A5" s="233" t="s">
        <v>210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3"/>
      <c r="P5" s="843"/>
    </row>
    <row r="6" spans="1:16" ht="6" customHeight="1" thickBot="1"/>
    <row r="7" spans="1:16" ht="18" customHeight="1">
      <c r="A7" s="732" t="s">
        <v>16</v>
      </c>
      <c r="B7" s="744" t="s">
        <v>103</v>
      </c>
      <c r="C7" s="732" t="s">
        <v>53</v>
      </c>
      <c r="D7" s="732" t="s">
        <v>54</v>
      </c>
      <c r="E7" s="732" t="s">
        <v>55</v>
      </c>
      <c r="F7" s="732" t="s">
        <v>56</v>
      </c>
      <c r="G7" s="732" t="s">
        <v>57</v>
      </c>
      <c r="H7" s="732" t="s">
        <v>58</v>
      </c>
      <c r="I7" s="732" t="s">
        <v>59</v>
      </c>
      <c r="J7" s="732" t="s">
        <v>60</v>
      </c>
      <c r="K7" s="732" t="s">
        <v>61</v>
      </c>
      <c r="L7" s="732" t="s">
        <v>62</v>
      </c>
      <c r="M7" s="732" t="s">
        <v>63</v>
      </c>
      <c r="N7" s="732" t="s">
        <v>64</v>
      </c>
      <c r="O7" s="150"/>
    </row>
    <row r="8" spans="1:16" ht="18" customHeight="1">
      <c r="A8" s="659" t="s">
        <v>93</v>
      </c>
      <c r="B8" s="621">
        <f t="shared" ref="B8:B37" si="0">SUM(C8:N8)</f>
        <v>13009.44632673468</v>
      </c>
      <c r="C8" s="621">
        <f t="shared" ref="C8:N8" si="1">(C9+C10+C11+C12+C13+C17+C18+C19+C20+C21+C22+C23+C24+C25+C26+C27+C28+C29+C32+C33+C34+C35+C36+C37)</f>
        <v>866.21541908996437</v>
      </c>
      <c r="D8" s="621">
        <f t="shared" si="1"/>
        <v>1006.8880344431384</v>
      </c>
      <c r="E8" s="621">
        <f t="shared" si="1"/>
        <v>1090.5192644145</v>
      </c>
      <c r="F8" s="621">
        <f t="shared" si="1"/>
        <v>1317.8786571870751</v>
      </c>
      <c r="G8" s="621">
        <f t="shared" si="1"/>
        <v>1323.7527702999998</v>
      </c>
      <c r="H8" s="621">
        <f t="shared" si="1"/>
        <v>1306.221393</v>
      </c>
      <c r="I8" s="621">
        <f t="shared" si="1"/>
        <v>1282.0574795000002</v>
      </c>
      <c r="J8" s="621">
        <f t="shared" si="1"/>
        <v>1142.4027747999999</v>
      </c>
      <c r="K8" s="621">
        <f t="shared" si="1"/>
        <v>1004.8583614999999</v>
      </c>
      <c r="L8" s="621">
        <f t="shared" si="1"/>
        <v>951.02005599999995</v>
      </c>
      <c r="M8" s="621">
        <f t="shared" si="1"/>
        <v>903.93899450000004</v>
      </c>
      <c r="N8" s="621">
        <f t="shared" si="1"/>
        <v>813.6931219999999</v>
      </c>
    </row>
    <row r="9" spans="1:16" ht="16" customHeight="1">
      <c r="A9" s="75" t="s">
        <v>19</v>
      </c>
      <c r="B9" s="660">
        <f t="shared" si="0"/>
        <v>0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2">
        <v>0</v>
      </c>
      <c r="L9" s="242">
        <v>0</v>
      </c>
      <c r="M9" s="242">
        <v>0</v>
      </c>
      <c r="N9" s="242">
        <v>0</v>
      </c>
      <c r="O9" s="149"/>
    </row>
    <row r="10" spans="1:16" ht="16" customHeight="1">
      <c r="A10" s="75" t="s">
        <v>20</v>
      </c>
      <c r="B10" s="660">
        <f t="shared" si="0"/>
        <v>0</v>
      </c>
      <c r="C10" s="242">
        <v>0</v>
      </c>
      <c r="D10" s="242">
        <v>0</v>
      </c>
      <c r="E10" s="242">
        <v>0</v>
      </c>
      <c r="F10" s="242">
        <v>0</v>
      </c>
      <c r="G10" s="242">
        <v>0</v>
      </c>
      <c r="H10" s="242">
        <v>0</v>
      </c>
      <c r="I10" s="242">
        <v>0</v>
      </c>
      <c r="J10" s="242">
        <v>0</v>
      </c>
      <c r="K10" s="242">
        <v>0</v>
      </c>
      <c r="L10" s="242">
        <v>0</v>
      </c>
      <c r="M10" s="242">
        <v>0</v>
      </c>
      <c r="N10" s="242">
        <v>0</v>
      </c>
    </row>
    <row r="11" spans="1:16" ht="16" customHeight="1">
      <c r="A11" s="75" t="s">
        <v>21</v>
      </c>
      <c r="B11" s="660">
        <f t="shared" si="0"/>
        <v>0</v>
      </c>
      <c r="C11" s="242">
        <v>0</v>
      </c>
      <c r="D11" s="242">
        <v>0</v>
      </c>
      <c r="E11" s="242">
        <v>0</v>
      </c>
      <c r="F11" s="242">
        <v>0</v>
      </c>
      <c r="G11" s="242">
        <v>0</v>
      </c>
      <c r="H11" s="242">
        <v>0</v>
      </c>
      <c r="I11" s="242">
        <v>0</v>
      </c>
      <c r="J11" s="242">
        <v>0</v>
      </c>
      <c r="K11" s="242">
        <v>0</v>
      </c>
      <c r="L11" s="242">
        <v>0</v>
      </c>
      <c r="M11" s="242">
        <v>0</v>
      </c>
      <c r="N11" s="242">
        <v>0</v>
      </c>
    </row>
    <row r="12" spans="1:16" ht="16" customHeight="1">
      <c r="A12" s="67" t="s">
        <v>22</v>
      </c>
      <c r="B12" s="660">
        <f t="shared" si="0"/>
        <v>51.194551500000003</v>
      </c>
      <c r="C12" s="242">
        <v>1.1164320000000001</v>
      </c>
      <c r="D12" s="242">
        <v>0</v>
      </c>
      <c r="E12" s="242">
        <v>0</v>
      </c>
      <c r="F12" s="242">
        <v>2.6484210000000004</v>
      </c>
      <c r="G12" s="242">
        <v>10.629972</v>
      </c>
      <c r="H12" s="242">
        <v>7.5788729999999997</v>
      </c>
      <c r="I12" s="242">
        <v>10.465587000000001</v>
      </c>
      <c r="J12" s="242">
        <v>7.7703794999999989</v>
      </c>
      <c r="K12" s="242">
        <v>4.0153004999999995</v>
      </c>
      <c r="L12" s="242">
        <v>1.8014175000000001</v>
      </c>
      <c r="M12" s="242">
        <v>1.8480015000000001</v>
      </c>
      <c r="N12" s="242">
        <v>3.3201675000000006</v>
      </c>
    </row>
    <row r="13" spans="1:16" ht="16" customHeight="1">
      <c r="A13" s="67" t="s">
        <v>23</v>
      </c>
      <c r="B13" s="660">
        <f t="shared" si="0"/>
        <v>0</v>
      </c>
      <c r="C13" s="242">
        <v>0</v>
      </c>
      <c r="D13" s="242">
        <v>0</v>
      </c>
      <c r="E13" s="242">
        <v>0</v>
      </c>
      <c r="F13" s="242">
        <v>0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</row>
    <row r="14" spans="1:16" ht="16" customHeight="1">
      <c r="A14" s="97" t="s">
        <v>94</v>
      </c>
      <c r="B14" s="660">
        <f t="shared" si="0"/>
        <v>0</v>
      </c>
      <c r="C14" s="242">
        <v>0</v>
      </c>
      <c r="D14" s="242">
        <v>0</v>
      </c>
      <c r="E14" s="242">
        <v>0</v>
      </c>
      <c r="F14" s="242">
        <v>0</v>
      </c>
      <c r="G14" s="242">
        <v>0</v>
      </c>
      <c r="H14" s="242">
        <v>0</v>
      </c>
      <c r="I14" s="242">
        <v>0</v>
      </c>
      <c r="J14" s="242">
        <v>0</v>
      </c>
      <c r="K14" s="242">
        <v>0</v>
      </c>
      <c r="L14" s="242">
        <v>0</v>
      </c>
      <c r="M14" s="242">
        <v>0</v>
      </c>
      <c r="N14" s="242">
        <v>0</v>
      </c>
    </row>
    <row r="15" spans="1:16" ht="16" customHeight="1">
      <c r="A15" s="97" t="s">
        <v>95</v>
      </c>
      <c r="B15" s="660">
        <f t="shared" si="0"/>
        <v>0</v>
      </c>
      <c r="C15" s="242">
        <v>0</v>
      </c>
      <c r="D15" s="242">
        <v>0</v>
      </c>
      <c r="E15" s="242">
        <v>0</v>
      </c>
      <c r="F15" s="242">
        <v>0</v>
      </c>
      <c r="G15" s="242">
        <v>0</v>
      </c>
      <c r="H15" s="242">
        <v>0</v>
      </c>
      <c r="I15" s="242">
        <v>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</row>
    <row r="16" spans="1:16" ht="16" customHeight="1">
      <c r="A16" s="97" t="s">
        <v>96</v>
      </c>
      <c r="B16" s="660">
        <f t="shared" si="0"/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</row>
    <row r="17" spans="1:26" ht="16" customHeight="1">
      <c r="A17" s="75" t="s">
        <v>27</v>
      </c>
      <c r="B17" s="660">
        <f t="shared" si="0"/>
        <v>0</v>
      </c>
      <c r="C17" s="242">
        <v>0</v>
      </c>
      <c r="D17" s="242">
        <v>0</v>
      </c>
      <c r="E17" s="242">
        <v>0</v>
      </c>
      <c r="F17" s="242">
        <v>0</v>
      </c>
      <c r="G17" s="242">
        <v>0</v>
      </c>
      <c r="H17" s="242">
        <v>0</v>
      </c>
      <c r="I17" s="242">
        <v>0</v>
      </c>
      <c r="J17" s="242">
        <v>0</v>
      </c>
      <c r="K17" s="242">
        <v>0</v>
      </c>
      <c r="L17" s="242">
        <v>0</v>
      </c>
      <c r="M17" s="242">
        <v>0</v>
      </c>
      <c r="N17" s="242">
        <v>0</v>
      </c>
    </row>
    <row r="18" spans="1:26" ht="16" customHeight="1">
      <c r="A18" s="67" t="s">
        <v>28</v>
      </c>
      <c r="B18" s="660">
        <f t="shared" si="0"/>
        <v>13.808943858038459</v>
      </c>
      <c r="C18" s="242">
        <v>1.2191401820000001</v>
      </c>
      <c r="D18" s="242">
        <v>1.3883184615384592</v>
      </c>
      <c r="E18" s="407">
        <v>1.2212319144999999</v>
      </c>
      <c r="F18" s="242">
        <v>0.97200799999999998</v>
      </c>
      <c r="G18" s="242">
        <v>1.02796</v>
      </c>
      <c r="H18" s="242">
        <v>0.94120000000000004</v>
      </c>
      <c r="I18" s="242">
        <v>1.0353000000000001</v>
      </c>
      <c r="J18" s="242">
        <v>1.3165853000000001</v>
      </c>
      <c r="K18" s="242">
        <v>1.232</v>
      </c>
      <c r="L18" s="242">
        <v>1.0840000000000001</v>
      </c>
      <c r="M18" s="242">
        <v>1.224</v>
      </c>
      <c r="N18" s="242">
        <v>1.1472</v>
      </c>
      <c r="O18" s="386"/>
      <c r="P18" s="386"/>
      <c r="Q18" s="386"/>
      <c r="R18" s="386"/>
      <c r="S18" s="386"/>
      <c r="T18" s="386"/>
      <c r="U18" s="386"/>
      <c r="V18" s="386"/>
      <c r="W18" s="386"/>
      <c r="X18" s="386"/>
      <c r="Y18" s="386"/>
      <c r="Z18" s="386"/>
    </row>
    <row r="19" spans="1:26" ht="16" customHeight="1">
      <c r="A19" s="67" t="s">
        <v>29</v>
      </c>
      <c r="B19" s="660">
        <f t="shared" si="0"/>
        <v>103.11423000000001</v>
      </c>
      <c r="C19" s="242">
        <v>6.3535500000000003</v>
      </c>
      <c r="D19" s="242">
        <v>7.1926500000000004</v>
      </c>
      <c r="E19" s="242">
        <v>9.1229399999999998</v>
      </c>
      <c r="F19" s="242">
        <v>9.1690650000000016</v>
      </c>
      <c r="G19" s="242">
        <v>8.27684</v>
      </c>
      <c r="H19" s="242">
        <v>8.5804200000000002</v>
      </c>
      <c r="I19" s="242">
        <v>10.01629</v>
      </c>
      <c r="J19" s="242">
        <v>9.2178900000000006</v>
      </c>
      <c r="K19" s="242">
        <v>9.3402000000000012</v>
      </c>
      <c r="L19" s="242">
        <v>10.290844999999999</v>
      </c>
      <c r="M19" s="242">
        <v>8.4090000000000007</v>
      </c>
      <c r="N19" s="242">
        <v>7.1445400000000001</v>
      </c>
      <c r="O19" s="386"/>
      <c r="P19" s="386"/>
      <c r="Q19" s="386"/>
      <c r="R19" s="386"/>
      <c r="S19" s="386"/>
      <c r="T19" s="386"/>
      <c r="U19" s="386"/>
      <c r="V19" s="386"/>
      <c r="W19" s="386"/>
      <c r="X19" s="386"/>
      <c r="Y19" s="386"/>
      <c r="Z19" s="386"/>
    </row>
    <row r="20" spans="1:26" ht="16" customHeight="1">
      <c r="A20" s="75" t="s">
        <v>30</v>
      </c>
      <c r="B20" s="660">
        <f t="shared" si="0"/>
        <v>0</v>
      </c>
      <c r="C20" s="242">
        <v>0</v>
      </c>
      <c r="D20" s="242">
        <v>0</v>
      </c>
      <c r="E20" s="242">
        <v>0</v>
      </c>
      <c r="F20" s="242">
        <v>0</v>
      </c>
      <c r="G20" s="242">
        <v>0</v>
      </c>
      <c r="H20" s="242">
        <v>0</v>
      </c>
      <c r="I20" s="242">
        <v>0</v>
      </c>
      <c r="J20" s="242">
        <v>0</v>
      </c>
      <c r="K20" s="242">
        <v>0</v>
      </c>
      <c r="L20" s="242">
        <v>0</v>
      </c>
      <c r="M20" s="242">
        <v>0</v>
      </c>
      <c r="N20" s="242">
        <v>0</v>
      </c>
      <c r="O20" s="386"/>
      <c r="P20" s="386"/>
      <c r="Q20" s="386"/>
      <c r="R20" s="386"/>
      <c r="S20" s="386"/>
      <c r="T20" s="386"/>
      <c r="U20" s="386"/>
      <c r="V20" s="386"/>
      <c r="W20" s="386"/>
      <c r="X20" s="386"/>
      <c r="Y20" s="386"/>
      <c r="Z20" s="386"/>
    </row>
    <row r="21" spans="1:26" ht="16" customHeight="1">
      <c r="A21" s="75" t="s">
        <v>31</v>
      </c>
      <c r="B21" s="660">
        <f t="shared" si="0"/>
        <v>44.585474999999995</v>
      </c>
      <c r="C21" s="242">
        <v>3.2719999999999998</v>
      </c>
      <c r="D21" s="242">
        <v>3.4024999999999999</v>
      </c>
      <c r="E21" s="242">
        <v>3.9967999999999999</v>
      </c>
      <c r="F21" s="242">
        <v>3.86225</v>
      </c>
      <c r="G21" s="242">
        <v>3.2179500000000001</v>
      </c>
      <c r="H21" s="242">
        <v>3.0781000000000001</v>
      </c>
      <c r="I21" s="242">
        <v>3.5313500000000002</v>
      </c>
      <c r="J21" s="242">
        <v>4.3135000000000003</v>
      </c>
      <c r="K21" s="242">
        <v>4.1959999999999997</v>
      </c>
      <c r="L21" s="242">
        <v>3.5762749999999999</v>
      </c>
      <c r="M21" s="242">
        <v>4.2876000000000003</v>
      </c>
      <c r="N21" s="242">
        <v>3.8511500000000001</v>
      </c>
      <c r="O21" s="386"/>
      <c r="P21" s="386"/>
      <c r="Q21" s="386"/>
      <c r="R21" s="386"/>
      <c r="S21" s="386"/>
      <c r="T21" s="386"/>
      <c r="U21" s="386"/>
      <c r="V21" s="386"/>
      <c r="W21" s="386"/>
      <c r="X21" s="386"/>
      <c r="Y21" s="386"/>
      <c r="Z21" s="386"/>
    </row>
    <row r="22" spans="1:26" ht="16" customHeight="1">
      <c r="A22" s="75" t="s">
        <v>32</v>
      </c>
      <c r="B22" s="660">
        <f t="shared" si="0"/>
        <v>437.85560234798965</v>
      </c>
      <c r="C22" s="242">
        <v>23.397990427964199</v>
      </c>
      <c r="D22" s="242">
        <v>26.423653000000002</v>
      </c>
      <c r="E22" s="242">
        <v>33.738560499999998</v>
      </c>
      <c r="F22" s="242">
        <v>40.486848620025398</v>
      </c>
      <c r="G22" s="242">
        <v>40.4421143</v>
      </c>
      <c r="H22" s="242">
        <v>38.768999999999998</v>
      </c>
      <c r="I22" s="242">
        <v>46.209452499999998</v>
      </c>
      <c r="J22" s="242">
        <v>35.292520000000003</v>
      </c>
      <c r="K22" s="242">
        <v>30.937161</v>
      </c>
      <c r="L22" s="242">
        <v>31.644368499999999</v>
      </c>
      <c r="M22" s="242">
        <v>38.182169000000002</v>
      </c>
      <c r="N22" s="242">
        <v>52.331764499999998</v>
      </c>
      <c r="O22" s="386"/>
      <c r="P22" s="386"/>
      <c r="Q22" s="386"/>
      <c r="R22" s="386"/>
      <c r="S22" s="386"/>
      <c r="T22" s="386"/>
      <c r="U22" s="386"/>
      <c r="V22" s="386"/>
      <c r="W22" s="386"/>
      <c r="X22" s="386"/>
      <c r="Y22" s="386"/>
      <c r="Z22" s="386"/>
    </row>
    <row r="23" spans="1:26" ht="16" customHeight="1">
      <c r="A23" s="75" t="s">
        <v>33</v>
      </c>
      <c r="B23" s="660">
        <f t="shared" si="0"/>
        <v>339.03090000000003</v>
      </c>
      <c r="C23" s="242">
        <v>28.997549999999997</v>
      </c>
      <c r="D23" s="242">
        <v>28.184849999999994</v>
      </c>
      <c r="E23" s="242">
        <v>27.451800000000009</v>
      </c>
      <c r="F23" s="242">
        <v>25.447049999999994</v>
      </c>
      <c r="G23" s="242">
        <v>26.926200000000005</v>
      </c>
      <c r="H23" s="242">
        <v>27.555300000000006</v>
      </c>
      <c r="I23" s="242">
        <v>27.919800000000006</v>
      </c>
      <c r="J23" s="242">
        <v>28.194299999999998</v>
      </c>
      <c r="K23" s="242">
        <v>29.509199999999996</v>
      </c>
      <c r="L23" s="242">
        <v>31.571550000000002</v>
      </c>
      <c r="M23" s="242">
        <v>25.960500000000003</v>
      </c>
      <c r="N23" s="242">
        <v>31.312799999999996</v>
      </c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6"/>
      <c r="Z23" s="386"/>
    </row>
    <row r="24" spans="1:26" ht="16" customHeight="1">
      <c r="A24" s="75" t="s">
        <v>34</v>
      </c>
      <c r="B24" s="660">
        <f t="shared" si="0"/>
        <v>495.65520000000004</v>
      </c>
      <c r="C24" s="242">
        <v>38.601999999999997</v>
      </c>
      <c r="D24" s="242">
        <v>36.0458</v>
      </c>
      <c r="E24" s="242">
        <v>38.457999999999998</v>
      </c>
      <c r="F24" s="242">
        <v>37.805999999999997</v>
      </c>
      <c r="G24" s="242">
        <v>46.325400000000002</v>
      </c>
      <c r="H24" s="242">
        <v>47.691000000000003</v>
      </c>
      <c r="I24" s="242">
        <v>40.320999999999998</v>
      </c>
      <c r="J24" s="242">
        <v>42.307000000000002</v>
      </c>
      <c r="K24" s="242">
        <v>44.581000000000003</v>
      </c>
      <c r="L24" s="242">
        <v>41.482999999999997</v>
      </c>
      <c r="M24" s="242">
        <v>40.506999999999998</v>
      </c>
      <c r="N24" s="242">
        <v>41.527999999999999</v>
      </c>
      <c r="O24" s="386"/>
      <c r="P24" s="386"/>
      <c r="Q24" s="386"/>
      <c r="R24" s="386"/>
      <c r="S24" s="386"/>
      <c r="T24" s="386"/>
      <c r="U24" s="386"/>
      <c r="V24" s="386"/>
      <c r="W24" s="386"/>
      <c r="X24" s="386"/>
      <c r="Y24" s="386"/>
      <c r="Z24" s="386"/>
    </row>
    <row r="25" spans="1:26" ht="16" customHeight="1">
      <c r="A25" s="67" t="s">
        <v>35</v>
      </c>
      <c r="B25" s="660">
        <f t="shared" si="0"/>
        <v>1216.3823</v>
      </c>
      <c r="C25" s="242">
        <v>101.9008</v>
      </c>
      <c r="D25" s="242">
        <v>90.761400000000009</v>
      </c>
      <c r="E25" s="242">
        <v>96.248999999999995</v>
      </c>
      <c r="F25" s="242">
        <v>98.002899999999983</v>
      </c>
      <c r="G25" s="242">
        <v>99.375</v>
      </c>
      <c r="H25" s="242">
        <v>106.05</v>
      </c>
      <c r="I25" s="242">
        <v>106.27500000000003</v>
      </c>
      <c r="J25" s="242">
        <v>105.8644</v>
      </c>
      <c r="K25" s="242">
        <v>102.88180000000001</v>
      </c>
      <c r="L25" s="242">
        <v>102.00819999999999</v>
      </c>
      <c r="M25" s="242">
        <v>101.97279999999999</v>
      </c>
      <c r="N25" s="242">
        <v>105.04100000000001</v>
      </c>
      <c r="O25" s="386"/>
      <c r="P25" s="386"/>
      <c r="Q25" s="386"/>
      <c r="R25" s="386"/>
      <c r="S25" s="386"/>
      <c r="T25" s="386"/>
      <c r="U25" s="386"/>
      <c r="V25" s="386"/>
      <c r="W25" s="386"/>
      <c r="X25" s="386"/>
      <c r="Y25" s="386"/>
      <c r="Z25" s="386"/>
    </row>
    <row r="26" spans="1:26" ht="16" customHeight="1">
      <c r="A26" s="75" t="s">
        <v>36</v>
      </c>
      <c r="B26" s="660">
        <f t="shared" si="0"/>
        <v>142.26160002865004</v>
      </c>
      <c r="C26" s="242">
        <v>9.4492564800000007</v>
      </c>
      <c r="D26" s="242">
        <v>11.2024629816</v>
      </c>
      <c r="E26" s="242">
        <v>11.011032</v>
      </c>
      <c r="F26" s="242">
        <v>9.6881145670500004</v>
      </c>
      <c r="G26" s="242">
        <v>12.372334</v>
      </c>
      <c r="H26" s="242">
        <v>11.565</v>
      </c>
      <c r="I26" s="242">
        <v>11.642200000000001</v>
      </c>
      <c r="J26" s="242">
        <v>11.8422</v>
      </c>
      <c r="K26" s="242">
        <v>13.3422</v>
      </c>
      <c r="L26" s="242">
        <v>12.4244</v>
      </c>
      <c r="M26" s="242">
        <v>11.5944</v>
      </c>
      <c r="N26" s="242">
        <v>16.128</v>
      </c>
      <c r="O26" s="386"/>
      <c r="P26" s="386"/>
      <c r="Q26" s="386"/>
      <c r="R26" s="386"/>
      <c r="S26" s="386"/>
      <c r="T26" s="386"/>
      <c r="U26" s="386"/>
      <c r="V26" s="386"/>
      <c r="W26" s="386"/>
      <c r="X26" s="386"/>
      <c r="Y26" s="386"/>
      <c r="Z26" s="386"/>
    </row>
    <row r="27" spans="1:26" ht="16" customHeight="1">
      <c r="A27" s="75" t="s">
        <v>37</v>
      </c>
      <c r="B27" s="660">
        <f t="shared" si="0"/>
        <v>284.17292400000002</v>
      </c>
      <c r="C27" s="242">
        <v>20.195999999999998</v>
      </c>
      <c r="D27" s="242">
        <v>21.377700000000001</v>
      </c>
      <c r="E27" s="242">
        <v>20.135999999999999</v>
      </c>
      <c r="F27" s="242">
        <v>21.256</v>
      </c>
      <c r="G27" s="242">
        <v>23.692499999999999</v>
      </c>
      <c r="H27" s="242">
        <v>26.3565</v>
      </c>
      <c r="I27" s="242">
        <v>26.608499999999999</v>
      </c>
      <c r="J27" s="242">
        <v>25.794</v>
      </c>
      <c r="K27" s="242">
        <v>25.128</v>
      </c>
      <c r="L27" s="242">
        <v>23.507999999999999</v>
      </c>
      <c r="M27" s="242">
        <v>24.960224</v>
      </c>
      <c r="N27" s="242">
        <v>25.159500000000001</v>
      </c>
      <c r="O27" s="386"/>
      <c r="P27" s="386"/>
      <c r="Q27" s="386"/>
      <c r="R27" s="386"/>
      <c r="S27" s="386"/>
      <c r="T27" s="386"/>
      <c r="U27" s="386"/>
      <c r="V27" s="386"/>
      <c r="W27" s="386"/>
      <c r="X27" s="386"/>
      <c r="Y27" s="386"/>
      <c r="Z27" s="386"/>
    </row>
    <row r="28" spans="1:26" ht="16" customHeight="1">
      <c r="A28" s="75" t="s">
        <v>38</v>
      </c>
      <c r="B28" s="660">
        <f t="shared" si="0"/>
        <v>751.07140000000004</v>
      </c>
      <c r="C28" s="242">
        <v>68.164699999999996</v>
      </c>
      <c r="D28" s="242">
        <v>61.567999999999998</v>
      </c>
      <c r="E28" s="242">
        <v>56.207999999999998</v>
      </c>
      <c r="F28" s="242">
        <v>68.183000000000007</v>
      </c>
      <c r="G28" s="242">
        <v>76.468000000000004</v>
      </c>
      <c r="H28" s="242">
        <v>77.168999999999997</v>
      </c>
      <c r="I28" s="242">
        <v>73.037999999999997</v>
      </c>
      <c r="J28" s="242">
        <v>55.048000000000002</v>
      </c>
      <c r="K28" s="242">
        <v>44.431699999999999</v>
      </c>
      <c r="L28" s="242">
        <v>55.838999999999999</v>
      </c>
      <c r="M28" s="242">
        <v>54.606999999999999</v>
      </c>
      <c r="N28" s="242">
        <v>60.347000000000001</v>
      </c>
      <c r="O28" s="386"/>
      <c r="P28" s="386"/>
      <c r="Q28" s="386"/>
      <c r="R28" s="386"/>
      <c r="S28" s="386"/>
      <c r="T28" s="386"/>
      <c r="U28" s="386"/>
      <c r="V28" s="386"/>
      <c r="W28" s="386"/>
      <c r="X28" s="386"/>
      <c r="Y28" s="386"/>
      <c r="Z28" s="386"/>
    </row>
    <row r="29" spans="1:26" ht="16" customHeight="1">
      <c r="A29" s="67" t="s">
        <v>39</v>
      </c>
      <c r="B29" s="660">
        <f t="shared" si="0"/>
        <v>489.25589999999994</v>
      </c>
      <c r="C29" s="242">
        <v>42.296999999999997</v>
      </c>
      <c r="D29" s="242">
        <v>44.017699999999998</v>
      </c>
      <c r="E29" s="242">
        <v>44.023899999999998</v>
      </c>
      <c r="F29" s="242">
        <v>41.116</v>
      </c>
      <c r="G29" s="242">
        <v>39.170500000000004</v>
      </c>
      <c r="H29" s="242">
        <v>41.189</v>
      </c>
      <c r="I29" s="242">
        <v>41.872</v>
      </c>
      <c r="J29" s="242">
        <v>41.373999999999995</v>
      </c>
      <c r="K29" s="242">
        <v>38.876800000000003</v>
      </c>
      <c r="L29" s="242">
        <v>38.902000000000001</v>
      </c>
      <c r="M29" s="242">
        <v>37.852999999999994</v>
      </c>
      <c r="N29" s="242">
        <v>38.564</v>
      </c>
      <c r="O29" s="386"/>
      <c r="P29" s="386"/>
      <c r="Q29" s="386"/>
      <c r="R29" s="386"/>
      <c r="S29" s="386"/>
      <c r="T29" s="386"/>
      <c r="U29" s="386"/>
      <c r="V29" s="386"/>
      <c r="W29" s="386"/>
      <c r="X29" s="386"/>
      <c r="Y29" s="386"/>
      <c r="Z29" s="386"/>
    </row>
    <row r="30" spans="1:26" ht="16" customHeight="1">
      <c r="A30" s="97" t="s">
        <v>97</v>
      </c>
      <c r="B30" s="660">
        <f t="shared" si="0"/>
        <v>333.66539999999998</v>
      </c>
      <c r="C30" s="242">
        <v>26.628</v>
      </c>
      <c r="D30" s="242">
        <v>29.648</v>
      </c>
      <c r="E30" s="242">
        <v>29.5047</v>
      </c>
      <c r="F30" s="242">
        <v>27.058</v>
      </c>
      <c r="G30" s="242">
        <v>26.124700000000001</v>
      </c>
      <c r="H30" s="242">
        <v>27.370999999999999</v>
      </c>
      <c r="I30" s="242">
        <v>27.068000000000001</v>
      </c>
      <c r="J30" s="242">
        <v>27.306999999999999</v>
      </c>
      <c r="K30" s="242">
        <v>25.344000000000001</v>
      </c>
      <c r="L30" s="242">
        <v>25.658000000000001</v>
      </c>
      <c r="M30" s="242">
        <v>29.806999999999999</v>
      </c>
      <c r="N30" s="242">
        <v>32.146999999999998</v>
      </c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</row>
    <row r="31" spans="1:26" ht="16" customHeight="1">
      <c r="A31" s="97" t="s">
        <v>98</v>
      </c>
      <c r="B31" s="660">
        <f t="shared" si="0"/>
        <v>155.59049999999999</v>
      </c>
      <c r="C31" s="242">
        <v>15.669</v>
      </c>
      <c r="D31" s="242">
        <v>14.3697</v>
      </c>
      <c r="E31" s="242">
        <v>14.5192</v>
      </c>
      <c r="F31" s="242">
        <v>14.058</v>
      </c>
      <c r="G31" s="242">
        <v>13.0458</v>
      </c>
      <c r="H31" s="242">
        <v>13.818</v>
      </c>
      <c r="I31" s="242">
        <v>14.804</v>
      </c>
      <c r="J31" s="242">
        <v>14.067</v>
      </c>
      <c r="K31" s="242">
        <v>13.5328</v>
      </c>
      <c r="L31" s="242">
        <v>13.244</v>
      </c>
      <c r="M31" s="242">
        <v>8.0459999999999994</v>
      </c>
      <c r="N31" s="242">
        <v>6.4169999999999998</v>
      </c>
      <c r="O31" s="386"/>
      <c r="P31" s="386"/>
      <c r="Q31" s="386"/>
      <c r="R31" s="386"/>
      <c r="S31" s="386"/>
      <c r="T31" s="386"/>
      <c r="U31" s="386"/>
      <c r="V31" s="386"/>
      <c r="W31" s="386"/>
      <c r="X31" s="386"/>
      <c r="Y31" s="386"/>
      <c r="Z31" s="386"/>
    </row>
    <row r="32" spans="1:26" ht="16" customHeight="1">
      <c r="A32" s="75" t="s">
        <v>42</v>
      </c>
      <c r="B32" s="660">
        <f t="shared" si="0"/>
        <v>2615.3732999999993</v>
      </c>
      <c r="C32" s="242">
        <v>180.339</v>
      </c>
      <c r="D32" s="242">
        <v>201.30799999999999</v>
      </c>
      <c r="E32" s="242">
        <v>217.19200000000001</v>
      </c>
      <c r="F32" s="242">
        <v>237.398</v>
      </c>
      <c r="G32" s="242">
        <v>253.428</v>
      </c>
      <c r="H32" s="242">
        <v>264.34800000000001</v>
      </c>
      <c r="I32" s="242">
        <v>259.61799999999999</v>
      </c>
      <c r="J32" s="242">
        <v>239.40799999999999</v>
      </c>
      <c r="K32" s="242">
        <v>221.80699999999999</v>
      </c>
      <c r="L32" s="242">
        <v>200.14699999999999</v>
      </c>
      <c r="M32" s="242">
        <v>180.04329999999999</v>
      </c>
      <c r="N32" s="242">
        <v>160.33699999999999</v>
      </c>
      <c r="O32" s="386"/>
      <c r="P32" s="386"/>
      <c r="Q32" s="386"/>
      <c r="R32" s="386"/>
      <c r="S32" s="386"/>
      <c r="T32" s="386"/>
      <c r="U32" s="386"/>
      <c r="V32" s="386"/>
      <c r="W32" s="386"/>
      <c r="X32" s="386"/>
      <c r="Y32" s="386"/>
      <c r="Z32" s="386"/>
    </row>
    <row r="33" spans="1:26" ht="16" customHeight="1">
      <c r="A33" s="75" t="s">
        <v>43</v>
      </c>
      <c r="B33" s="660">
        <f t="shared" si="0"/>
        <v>6025.6839999999993</v>
      </c>
      <c r="C33" s="242">
        <v>340.91</v>
      </c>
      <c r="D33" s="242">
        <v>474.01499999999993</v>
      </c>
      <c r="E33" s="242">
        <v>531.71</v>
      </c>
      <c r="F33" s="242">
        <v>721.84299999999985</v>
      </c>
      <c r="G33" s="242">
        <v>682.39999999999986</v>
      </c>
      <c r="H33" s="242">
        <v>645.35</v>
      </c>
      <c r="I33" s="242">
        <v>623.505</v>
      </c>
      <c r="J33" s="242">
        <v>534.66</v>
      </c>
      <c r="K33" s="242">
        <v>434.57999999999993</v>
      </c>
      <c r="L33" s="242">
        <v>396.74</v>
      </c>
      <c r="M33" s="242">
        <v>372.49</v>
      </c>
      <c r="N33" s="242">
        <v>267.48099999999999</v>
      </c>
      <c r="O33" s="386"/>
      <c r="P33" s="386"/>
      <c r="Q33" s="386"/>
      <c r="R33" s="386"/>
      <c r="S33" s="386"/>
      <c r="T33" s="386"/>
      <c r="U33" s="386"/>
      <c r="V33" s="386"/>
      <c r="W33" s="386"/>
      <c r="X33" s="386"/>
      <c r="Y33" s="386"/>
      <c r="Z33" s="386"/>
    </row>
    <row r="34" spans="1:26" ht="16" customHeight="1">
      <c r="A34" s="67" t="s">
        <v>44</v>
      </c>
      <c r="B34" s="660">
        <f t="shared" si="0"/>
        <v>0</v>
      </c>
      <c r="C34" s="242">
        <v>0</v>
      </c>
      <c r="D34" s="242">
        <v>0</v>
      </c>
      <c r="E34" s="242">
        <v>0</v>
      </c>
      <c r="F34" s="242">
        <v>0</v>
      </c>
      <c r="G34" s="242">
        <v>0</v>
      </c>
      <c r="H34" s="242">
        <v>0</v>
      </c>
      <c r="I34" s="242">
        <v>0</v>
      </c>
      <c r="J34" s="242">
        <v>0</v>
      </c>
      <c r="K34" s="242">
        <v>0</v>
      </c>
      <c r="L34" s="242">
        <v>0</v>
      </c>
      <c r="M34" s="242">
        <v>0</v>
      </c>
      <c r="N34" s="242">
        <v>0</v>
      </c>
    </row>
    <row r="35" spans="1:26" ht="16" customHeight="1">
      <c r="A35" s="67" t="s">
        <v>45</v>
      </c>
      <c r="B35" s="660">
        <f t="shared" si="0"/>
        <v>0</v>
      </c>
      <c r="C35" s="242">
        <v>0</v>
      </c>
      <c r="D35" s="242">
        <v>0</v>
      </c>
      <c r="E35" s="242">
        <v>0</v>
      </c>
      <c r="F35" s="242">
        <v>0</v>
      </c>
      <c r="G35" s="242">
        <v>0</v>
      </c>
      <c r="H35" s="242">
        <v>0</v>
      </c>
      <c r="I35" s="242">
        <v>0</v>
      </c>
      <c r="J35" s="242">
        <v>0</v>
      </c>
      <c r="K35" s="242">
        <v>0</v>
      </c>
      <c r="L35" s="242">
        <v>0</v>
      </c>
      <c r="M35" s="242">
        <v>0</v>
      </c>
      <c r="N35" s="242">
        <v>0</v>
      </c>
    </row>
    <row r="36" spans="1:26" ht="16" customHeight="1">
      <c r="A36" s="67" t="s">
        <v>46</v>
      </c>
      <c r="B36" s="660">
        <f t="shared" si="0"/>
        <v>0</v>
      </c>
      <c r="C36" s="242">
        <v>0</v>
      </c>
      <c r="D36" s="242">
        <v>0</v>
      </c>
      <c r="E36" s="242">
        <v>0</v>
      </c>
      <c r="F36" s="242">
        <v>0</v>
      </c>
      <c r="G36" s="242">
        <v>0</v>
      </c>
      <c r="H36" s="242">
        <v>0</v>
      </c>
      <c r="I36" s="242">
        <v>0</v>
      </c>
      <c r="J36" s="242">
        <v>0</v>
      </c>
      <c r="K36" s="242">
        <v>0</v>
      </c>
      <c r="L36" s="242">
        <v>0</v>
      </c>
      <c r="M36" s="242">
        <v>0</v>
      </c>
      <c r="N36" s="242">
        <v>0</v>
      </c>
    </row>
    <row r="37" spans="1:26" ht="16" customHeight="1" thickBot="1">
      <c r="A37" s="145" t="s">
        <v>47</v>
      </c>
      <c r="B37" s="661">
        <f t="shared" si="0"/>
        <v>0</v>
      </c>
      <c r="C37" s="243">
        <v>0</v>
      </c>
      <c r="D37" s="243">
        <v>0</v>
      </c>
      <c r="E37" s="243">
        <v>0</v>
      </c>
      <c r="F37" s="243">
        <v>0</v>
      </c>
      <c r="G37" s="243">
        <v>0</v>
      </c>
      <c r="H37" s="243">
        <v>0</v>
      </c>
      <c r="I37" s="243">
        <v>0</v>
      </c>
      <c r="J37" s="243">
        <v>0</v>
      </c>
      <c r="K37" s="243">
        <v>0</v>
      </c>
      <c r="L37" s="243">
        <v>0</v>
      </c>
      <c r="M37" s="243">
        <v>0</v>
      </c>
      <c r="N37" s="243">
        <v>0</v>
      </c>
    </row>
    <row r="38" spans="1:26" ht="9" customHeight="1">
      <c r="A38" s="449" t="s">
        <v>330</v>
      </c>
      <c r="B38" s="462"/>
      <c r="C38" s="462"/>
      <c r="D38" s="462"/>
      <c r="E38" s="462"/>
      <c r="F38" s="171"/>
      <c r="G38" s="71"/>
      <c r="H38" s="71"/>
      <c r="I38" s="71"/>
      <c r="J38" s="71"/>
      <c r="K38" s="71"/>
      <c r="L38" s="71"/>
      <c r="M38" s="71"/>
      <c r="N38" s="71"/>
    </row>
    <row r="39" spans="1:26" ht="9" customHeight="1">
      <c r="A39" s="449" t="s">
        <v>304</v>
      </c>
      <c r="B39" s="462"/>
      <c r="C39" s="462"/>
      <c r="D39" s="462"/>
      <c r="E39" s="462"/>
      <c r="F39" s="171"/>
      <c r="G39" s="71"/>
      <c r="H39" s="71"/>
      <c r="I39" s="71"/>
      <c r="J39" s="71"/>
      <c r="K39" s="71"/>
      <c r="L39" s="71"/>
      <c r="M39" s="71"/>
      <c r="N39" s="71"/>
    </row>
    <row r="40" spans="1:26" ht="9" customHeight="1">
      <c r="A40" s="451" t="s">
        <v>303</v>
      </c>
      <c r="B40" s="462"/>
      <c r="C40" s="462"/>
      <c r="D40" s="462"/>
      <c r="E40" s="462"/>
      <c r="F40" s="171"/>
      <c r="G40" s="71"/>
      <c r="H40" s="71"/>
      <c r="I40" s="71"/>
      <c r="J40" s="71"/>
      <c r="K40" s="71"/>
      <c r="L40" s="71"/>
      <c r="M40" s="71"/>
      <c r="N40" s="71"/>
    </row>
    <row r="41" spans="1:26" ht="13.25" customHeight="1">
      <c r="A41" s="11"/>
    </row>
    <row r="44" spans="1:26" ht="13.25" customHeight="1">
      <c r="A44" s="22"/>
    </row>
    <row r="45" spans="1:26" ht="13.25" customHeight="1">
      <c r="A45" s="30"/>
    </row>
    <row r="46" spans="1:26" ht="13.25" customHeight="1">
      <c r="A46" s="22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Hoja68">
    <tabColor theme="9" tint="0.59999389629810485"/>
  </sheetPr>
  <dimension ref="A4:P46"/>
  <sheetViews>
    <sheetView showGridLines="0" zoomScaleNormal="100" workbookViewId="0">
      <selection activeCell="E26" sqref="E26"/>
    </sheetView>
  </sheetViews>
  <sheetFormatPr baseColWidth="10" defaultColWidth="7" defaultRowHeight="13.25" customHeight="1"/>
  <cols>
    <col min="1" max="2" width="12" style="67" customWidth="1"/>
    <col min="3" max="14" width="9.19921875" style="67" customWidth="1"/>
    <col min="15" max="21" width="8" style="67" customWidth="1"/>
    <col min="22" max="16384" width="7" style="67"/>
  </cols>
  <sheetData>
    <row r="4" spans="1:16" ht="13" customHeight="1">
      <c r="A4" s="230" t="s">
        <v>587</v>
      </c>
      <c r="B4" s="226"/>
      <c r="C4" s="843"/>
      <c r="D4" s="843"/>
      <c r="E4" s="843"/>
      <c r="F4" s="843"/>
      <c r="G4" s="843"/>
      <c r="H4" s="843"/>
      <c r="I4" s="843"/>
      <c r="J4" s="843"/>
      <c r="K4" s="843"/>
      <c r="L4" s="843"/>
      <c r="M4" s="843"/>
      <c r="N4" s="843"/>
      <c r="O4" s="843"/>
      <c r="P4" s="843"/>
    </row>
    <row r="5" spans="1:16" ht="12" customHeight="1">
      <c r="A5" s="232" t="s">
        <v>382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3"/>
      <c r="P5" s="843"/>
    </row>
    <row r="6" spans="1:16" ht="6" customHeight="1" thickBot="1">
      <c r="A6" s="121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16" ht="18" customHeight="1">
      <c r="A7" s="732" t="s">
        <v>16</v>
      </c>
      <c r="B7" s="744" t="s">
        <v>103</v>
      </c>
      <c r="C7" s="732" t="s">
        <v>53</v>
      </c>
      <c r="D7" s="732" t="s">
        <v>54</v>
      </c>
      <c r="E7" s="732" t="s">
        <v>55</v>
      </c>
      <c r="F7" s="732" t="s">
        <v>56</v>
      </c>
      <c r="G7" s="732" t="s">
        <v>57</v>
      </c>
      <c r="H7" s="732" t="s">
        <v>58</v>
      </c>
      <c r="I7" s="732" t="s">
        <v>59</v>
      </c>
      <c r="J7" s="732" t="s">
        <v>60</v>
      </c>
      <c r="K7" s="732" t="s">
        <v>61</v>
      </c>
      <c r="L7" s="732" t="s">
        <v>62</v>
      </c>
      <c r="M7" s="732" t="s">
        <v>63</v>
      </c>
      <c r="N7" s="732" t="s">
        <v>64</v>
      </c>
    </row>
    <row r="8" spans="1:16" ht="18" customHeight="1">
      <c r="A8" s="659" t="s">
        <v>93</v>
      </c>
      <c r="B8" s="622">
        <v>27.035710372518835</v>
      </c>
      <c r="C8" s="622">
        <v>26.146742101782859</v>
      </c>
      <c r="D8" s="622">
        <v>26.777512750469082</v>
      </c>
      <c r="E8" s="622">
        <v>27.462464557196014</v>
      </c>
      <c r="F8" s="622">
        <v>27.635744242676083</v>
      </c>
      <c r="G8" s="622">
        <v>27.813438044711514</v>
      </c>
      <c r="H8" s="622">
        <v>27.678873389557552</v>
      </c>
      <c r="I8" s="622">
        <v>27.527912728404875</v>
      </c>
      <c r="J8" s="622">
        <v>26.97590910765307</v>
      </c>
      <c r="K8" s="622">
        <v>26.879369823988871</v>
      </c>
      <c r="L8" s="622">
        <v>26.076061967042303</v>
      </c>
      <c r="M8" s="622">
        <v>26.236873262125215</v>
      </c>
      <c r="N8" s="622">
        <v>26.205053685871626</v>
      </c>
    </row>
    <row r="9" spans="1:16" ht="16" customHeight="1">
      <c r="A9" s="75" t="s">
        <v>19</v>
      </c>
      <c r="B9" s="662">
        <v>0</v>
      </c>
      <c r="C9" s="246">
        <v>0</v>
      </c>
      <c r="D9" s="246">
        <v>0</v>
      </c>
      <c r="E9" s="246">
        <v>0</v>
      </c>
      <c r="F9" s="246">
        <v>0</v>
      </c>
      <c r="G9" s="246">
        <v>0</v>
      </c>
      <c r="H9" s="246">
        <v>0</v>
      </c>
      <c r="I9" s="246">
        <v>0</v>
      </c>
      <c r="J9" s="246">
        <v>0</v>
      </c>
      <c r="K9" s="246">
        <v>0</v>
      </c>
      <c r="L9" s="246">
        <v>0</v>
      </c>
      <c r="M9" s="246">
        <v>0</v>
      </c>
      <c r="N9" s="246">
        <v>0</v>
      </c>
      <c r="O9" s="149"/>
    </row>
    <row r="10" spans="1:16" ht="16" customHeight="1">
      <c r="A10" s="75" t="s">
        <v>20</v>
      </c>
      <c r="B10" s="662">
        <v>0</v>
      </c>
      <c r="C10" s="246">
        <v>0</v>
      </c>
      <c r="D10" s="246">
        <v>0</v>
      </c>
      <c r="E10" s="246">
        <v>0</v>
      </c>
      <c r="F10" s="246">
        <v>0</v>
      </c>
      <c r="G10" s="246">
        <v>0</v>
      </c>
      <c r="H10" s="246">
        <v>0</v>
      </c>
      <c r="I10" s="246">
        <v>0</v>
      </c>
      <c r="J10" s="246">
        <v>0</v>
      </c>
      <c r="K10" s="246">
        <v>0</v>
      </c>
      <c r="L10" s="246">
        <v>0</v>
      </c>
      <c r="M10" s="246">
        <v>0</v>
      </c>
      <c r="N10" s="246">
        <v>0</v>
      </c>
    </row>
    <row r="11" spans="1:16" ht="16" customHeight="1">
      <c r="A11" s="75" t="s">
        <v>21</v>
      </c>
      <c r="B11" s="662">
        <v>0</v>
      </c>
      <c r="C11" s="246">
        <v>0</v>
      </c>
      <c r="D11" s="246">
        <v>0</v>
      </c>
      <c r="E11" s="246">
        <v>0</v>
      </c>
      <c r="F11" s="246">
        <v>0</v>
      </c>
      <c r="G11" s="246">
        <v>0</v>
      </c>
      <c r="H11" s="246">
        <v>0</v>
      </c>
      <c r="I11" s="246">
        <v>0</v>
      </c>
      <c r="J11" s="246">
        <v>0</v>
      </c>
      <c r="K11" s="246">
        <v>0</v>
      </c>
      <c r="L11" s="246">
        <v>0</v>
      </c>
      <c r="M11" s="246">
        <v>0</v>
      </c>
      <c r="N11" s="246">
        <v>0</v>
      </c>
    </row>
    <row r="12" spans="1:16" ht="16" customHeight="1">
      <c r="A12" s="67" t="s">
        <v>22</v>
      </c>
      <c r="B12" s="662">
        <v>31.045816555488177</v>
      </c>
      <c r="C12" s="246">
        <v>29.379789473684212</v>
      </c>
      <c r="D12" s="246">
        <v>0</v>
      </c>
      <c r="E12" s="246">
        <v>0</v>
      </c>
      <c r="F12" s="246">
        <v>28.787184782608701</v>
      </c>
      <c r="G12" s="246">
        <v>29.445905817174516</v>
      </c>
      <c r="H12" s="246">
        <v>29.489778210116732</v>
      </c>
      <c r="I12" s="246">
        <v>31.907277439024391</v>
      </c>
      <c r="J12" s="246">
        <v>32.512048117154805</v>
      </c>
      <c r="K12" s="246">
        <v>32.912299180327864</v>
      </c>
      <c r="L12" s="246">
        <v>33.989009433962266</v>
      </c>
      <c r="M12" s="246">
        <v>33.00002678571429</v>
      </c>
      <c r="N12" s="246">
        <v>32.234635922330106</v>
      </c>
    </row>
    <row r="13" spans="1:16" ht="16" customHeight="1">
      <c r="A13" s="67" t="s">
        <v>23</v>
      </c>
      <c r="B13" s="662">
        <v>0</v>
      </c>
      <c r="C13" s="246">
        <v>0</v>
      </c>
      <c r="D13" s="246">
        <v>0</v>
      </c>
      <c r="E13" s="246">
        <v>0</v>
      </c>
      <c r="F13" s="246">
        <v>0</v>
      </c>
      <c r="G13" s="246">
        <v>0</v>
      </c>
      <c r="H13" s="246">
        <v>0</v>
      </c>
      <c r="I13" s="246">
        <v>0</v>
      </c>
      <c r="J13" s="246">
        <v>0</v>
      </c>
      <c r="K13" s="246">
        <v>0</v>
      </c>
      <c r="L13" s="246">
        <v>0</v>
      </c>
      <c r="M13" s="246">
        <v>0</v>
      </c>
      <c r="N13" s="246">
        <v>0</v>
      </c>
    </row>
    <row r="14" spans="1:16" ht="16" customHeight="1">
      <c r="A14" s="97" t="s">
        <v>94</v>
      </c>
      <c r="B14" s="662">
        <v>0</v>
      </c>
      <c r="C14" s="246">
        <v>0</v>
      </c>
      <c r="D14" s="246">
        <v>0</v>
      </c>
      <c r="E14" s="246">
        <v>0</v>
      </c>
      <c r="F14" s="246">
        <v>0</v>
      </c>
      <c r="G14" s="246">
        <v>0</v>
      </c>
      <c r="H14" s="246">
        <v>0</v>
      </c>
      <c r="I14" s="246">
        <v>0</v>
      </c>
      <c r="J14" s="246">
        <v>0</v>
      </c>
      <c r="K14" s="246">
        <v>0</v>
      </c>
      <c r="L14" s="246">
        <v>0</v>
      </c>
      <c r="M14" s="246">
        <v>0</v>
      </c>
      <c r="N14" s="246">
        <v>0</v>
      </c>
    </row>
    <row r="15" spans="1:16" ht="16" customHeight="1">
      <c r="A15" s="97" t="s">
        <v>95</v>
      </c>
      <c r="B15" s="662">
        <v>0</v>
      </c>
      <c r="C15" s="246">
        <v>0</v>
      </c>
      <c r="D15" s="246">
        <v>0</v>
      </c>
      <c r="E15" s="246">
        <v>0</v>
      </c>
      <c r="F15" s="246">
        <v>0</v>
      </c>
      <c r="G15" s="246">
        <v>0</v>
      </c>
      <c r="H15" s="246">
        <v>0</v>
      </c>
      <c r="I15" s="246">
        <v>0</v>
      </c>
      <c r="J15" s="246">
        <v>0</v>
      </c>
      <c r="K15" s="246">
        <v>0</v>
      </c>
      <c r="L15" s="246">
        <v>0</v>
      </c>
      <c r="M15" s="246">
        <v>0</v>
      </c>
      <c r="N15" s="246">
        <v>0</v>
      </c>
    </row>
    <row r="16" spans="1:16" ht="16" customHeight="1">
      <c r="A16" s="97" t="s">
        <v>96</v>
      </c>
      <c r="B16" s="662">
        <v>0</v>
      </c>
      <c r="C16" s="246">
        <v>0</v>
      </c>
      <c r="D16" s="246">
        <v>0</v>
      </c>
      <c r="E16" s="246">
        <v>0</v>
      </c>
      <c r="F16" s="246">
        <v>0</v>
      </c>
      <c r="G16" s="246">
        <v>0</v>
      </c>
      <c r="H16" s="246">
        <v>0</v>
      </c>
      <c r="I16" s="246">
        <v>0</v>
      </c>
      <c r="J16" s="246">
        <v>0</v>
      </c>
      <c r="K16" s="246">
        <v>0</v>
      </c>
      <c r="L16" s="246">
        <v>0</v>
      </c>
      <c r="M16" s="246">
        <v>0</v>
      </c>
      <c r="N16" s="246">
        <v>0</v>
      </c>
    </row>
    <row r="17" spans="1:14" ht="16" customHeight="1">
      <c r="A17" s="75" t="s">
        <v>27</v>
      </c>
      <c r="B17" s="662">
        <v>0</v>
      </c>
      <c r="C17" s="246">
        <v>0</v>
      </c>
      <c r="D17" s="246">
        <v>0</v>
      </c>
      <c r="E17" s="246">
        <v>0</v>
      </c>
      <c r="F17" s="246">
        <v>0</v>
      </c>
      <c r="G17" s="246">
        <v>0</v>
      </c>
      <c r="H17" s="246">
        <v>0</v>
      </c>
      <c r="I17" s="246">
        <v>0</v>
      </c>
      <c r="J17" s="246">
        <v>0</v>
      </c>
      <c r="K17" s="246">
        <v>0</v>
      </c>
      <c r="L17" s="246">
        <v>0</v>
      </c>
      <c r="M17" s="246">
        <v>0</v>
      </c>
      <c r="N17" s="246">
        <v>0</v>
      </c>
    </row>
    <row r="18" spans="1:14" ht="16" customHeight="1">
      <c r="A18" s="67" t="s">
        <v>28</v>
      </c>
      <c r="B18" s="662">
        <v>23.871595766076197</v>
      </c>
      <c r="C18" s="246">
        <v>23.904709450980395</v>
      </c>
      <c r="D18" s="246">
        <v>25.242153846153805</v>
      </c>
      <c r="E18" s="246">
        <v>23.485229125</v>
      </c>
      <c r="F18" s="246">
        <v>23.440199999999997</v>
      </c>
      <c r="G18" s="246">
        <v>22.346956521739127</v>
      </c>
      <c r="H18" s="246">
        <v>23.53</v>
      </c>
      <c r="I18" s="246">
        <v>24.650000000000002</v>
      </c>
      <c r="J18" s="246">
        <v>25.318948076923078</v>
      </c>
      <c r="K18" s="246">
        <v>25.666666666666668</v>
      </c>
      <c r="L18" s="246">
        <v>24.636363636363637</v>
      </c>
      <c r="M18" s="246">
        <v>22.254545454545454</v>
      </c>
      <c r="N18" s="246">
        <v>22.061538461538461</v>
      </c>
    </row>
    <row r="19" spans="1:14" ht="16" customHeight="1">
      <c r="A19" s="67" t="s">
        <v>29</v>
      </c>
      <c r="B19" s="662">
        <v>29.352186165670368</v>
      </c>
      <c r="C19" s="246">
        <v>26.363278008298757</v>
      </c>
      <c r="D19" s="246">
        <v>25.872841726618706</v>
      </c>
      <c r="E19" s="246">
        <v>29.240192307692308</v>
      </c>
      <c r="F19" s="246">
        <v>29.388028846153851</v>
      </c>
      <c r="G19" s="246">
        <v>27.681739130434782</v>
      </c>
      <c r="H19" s="246">
        <v>27.067570977917981</v>
      </c>
      <c r="I19" s="246">
        <v>31.39902821316614</v>
      </c>
      <c r="J19" s="246">
        <v>29.544519230769232</v>
      </c>
      <c r="K19" s="246">
        <v>29.097196261682246</v>
      </c>
      <c r="L19" s="246">
        <v>32.983477564102557</v>
      </c>
      <c r="M19" s="246">
        <v>32.467181467181469</v>
      </c>
      <c r="N19" s="246">
        <v>30.928744588744589</v>
      </c>
    </row>
    <row r="20" spans="1:14" ht="16" customHeight="1">
      <c r="A20" s="75" t="s">
        <v>30</v>
      </c>
      <c r="B20" s="662">
        <v>0</v>
      </c>
      <c r="C20" s="246">
        <v>0</v>
      </c>
      <c r="D20" s="246">
        <v>0</v>
      </c>
      <c r="E20" s="246">
        <v>0</v>
      </c>
      <c r="F20" s="246">
        <v>0</v>
      </c>
      <c r="G20" s="246">
        <v>0</v>
      </c>
      <c r="H20" s="246">
        <v>0</v>
      </c>
      <c r="I20" s="246">
        <v>0</v>
      </c>
      <c r="J20" s="246">
        <v>0</v>
      </c>
      <c r="K20" s="246">
        <v>0</v>
      </c>
      <c r="L20" s="246">
        <v>0</v>
      </c>
      <c r="M20" s="246">
        <v>0</v>
      </c>
      <c r="N20" s="246">
        <v>0</v>
      </c>
    </row>
    <row r="21" spans="1:14" ht="16" customHeight="1">
      <c r="A21" s="75" t="s">
        <v>31</v>
      </c>
      <c r="B21" s="662">
        <v>24.935947986577176</v>
      </c>
      <c r="C21" s="246">
        <v>24.787878787878785</v>
      </c>
      <c r="D21" s="246">
        <v>23.304794520547944</v>
      </c>
      <c r="E21" s="246">
        <v>23.790476190476188</v>
      </c>
      <c r="F21" s="246">
        <v>25.921140939597315</v>
      </c>
      <c r="G21" s="246">
        <v>27.270762711864407</v>
      </c>
      <c r="H21" s="246">
        <v>25.650833333333335</v>
      </c>
      <c r="I21" s="246">
        <v>25.776277372262776</v>
      </c>
      <c r="J21" s="246">
        <v>24.370056497175142</v>
      </c>
      <c r="K21" s="246">
        <v>25.125748502994011</v>
      </c>
      <c r="L21" s="246">
        <v>25.363652482269501</v>
      </c>
      <c r="M21" s="246">
        <v>23.82</v>
      </c>
      <c r="N21" s="246">
        <v>25.170915032679741</v>
      </c>
    </row>
    <row r="22" spans="1:14" ht="16" customHeight="1">
      <c r="A22" s="75" t="s">
        <v>32</v>
      </c>
      <c r="B22" s="662">
        <v>23.597715028185913</v>
      </c>
      <c r="C22" s="246">
        <v>23.189286846347077</v>
      </c>
      <c r="D22" s="246">
        <v>22.917305290546402</v>
      </c>
      <c r="E22" s="246">
        <v>24.936112712490761</v>
      </c>
      <c r="F22" s="246">
        <v>23.295079758357538</v>
      </c>
      <c r="G22" s="246">
        <v>27.344228735632186</v>
      </c>
      <c r="H22" s="246">
        <v>25.289628180039138</v>
      </c>
      <c r="I22" s="246">
        <v>22.740872293307085</v>
      </c>
      <c r="J22" s="246">
        <v>22.493639260675593</v>
      </c>
      <c r="K22" s="246">
        <v>22.747912499999998</v>
      </c>
      <c r="L22" s="246">
        <v>20.481791909385112</v>
      </c>
      <c r="M22" s="246">
        <v>24.0139427672956</v>
      </c>
      <c r="N22" s="246">
        <v>23.85221718322698</v>
      </c>
    </row>
    <row r="23" spans="1:14" ht="16" customHeight="1">
      <c r="A23" s="75" t="s">
        <v>33</v>
      </c>
      <c r="B23" s="662">
        <v>22.093900293255135</v>
      </c>
      <c r="C23" s="246">
        <v>22.426566125290019</v>
      </c>
      <c r="D23" s="246">
        <v>22.565932746196953</v>
      </c>
      <c r="E23" s="246">
        <v>22.300406173842411</v>
      </c>
      <c r="F23" s="246">
        <v>21.786857876712325</v>
      </c>
      <c r="G23" s="246">
        <v>22.234682080924859</v>
      </c>
      <c r="H23" s="246">
        <v>21.662971698113214</v>
      </c>
      <c r="I23" s="246">
        <v>21.576352395672338</v>
      </c>
      <c r="J23" s="246">
        <v>21.538808250572956</v>
      </c>
      <c r="K23" s="246">
        <v>21.761946902654866</v>
      </c>
      <c r="L23" s="246">
        <v>22.39117021276596</v>
      </c>
      <c r="M23" s="246">
        <v>22.341222030981069</v>
      </c>
      <c r="N23" s="246">
        <v>22.527194244604313</v>
      </c>
    </row>
    <row r="24" spans="1:14" ht="16" customHeight="1">
      <c r="A24" s="75" t="s">
        <v>34</v>
      </c>
      <c r="B24" s="662">
        <v>25.550554152275893</v>
      </c>
      <c r="C24" s="246">
        <v>23.552165954850519</v>
      </c>
      <c r="D24" s="246">
        <v>23.698750821827744</v>
      </c>
      <c r="E24" s="246">
        <v>24.081402629931119</v>
      </c>
      <c r="F24" s="246">
        <v>26.493342676944639</v>
      </c>
      <c r="G24" s="246">
        <v>25.190538336052203</v>
      </c>
      <c r="H24" s="246">
        <v>25.462359850507209</v>
      </c>
      <c r="I24" s="246">
        <v>25.247964934251723</v>
      </c>
      <c r="J24" s="246">
        <v>26.326695706285005</v>
      </c>
      <c r="K24" s="246">
        <v>26.086015213575195</v>
      </c>
      <c r="L24" s="246">
        <v>26.255063291139241</v>
      </c>
      <c r="M24" s="246">
        <v>27.314227916385704</v>
      </c>
      <c r="N24" s="246">
        <v>27.195808775376552</v>
      </c>
    </row>
    <row r="25" spans="1:14" ht="16" customHeight="1">
      <c r="A25" s="67" t="s">
        <v>35</v>
      </c>
      <c r="B25" s="662">
        <v>24.567424058814023</v>
      </c>
      <c r="C25" s="246">
        <v>24.501274344794421</v>
      </c>
      <c r="D25" s="246">
        <v>24.042754966887422</v>
      </c>
      <c r="E25" s="246">
        <v>24.509549274255157</v>
      </c>
      <c r="F25" s="246">
        <v>24.981621208258982</v>
      </c>
      <c r="G25" s="246">
        <v>25</v>
      </c>
      <c r="H25" s="246">
        <v>24.999999999999996</v>
      </c>
      <c r="I25" s="246">
        <v>25.000000000000007</v>
      </c>
      <c r="J25" s="246">
        <v>24.804217432052486</v>
      </c>
      <c r="K25" s="246">
        <v>24.571721996656322</v>
      </c>
      <c r="L25" s="246">
        <v>24.322412970910822</v>
      </c>
      <c r="M25" s="246">
        <v>24.033184067876501</v>
      </c>
      <c r="N25" s="246">
        <v>24.047847985347989</v>
      </c>
    </row>
    <row r="26" spans="1:14" ht="16" customHeight="1">
      <c r="A26" s="75" t="s">
        <v>36</v>
      </c>
      <c r="B26" s="662">
        <v>27.084826598319683</v>
      </c>
      <c r="C26" s="246">
        <v>29.808380063091487</v>
      </c>
      <c r="D26" s="246">
        <v>30.114147800000001</v>
      </c>
      <c r="E26" s="246">
        <v>24.774712851968438</v>
      </c>
      <c r="F26" s="246">
        <v>26.184093424459459</v>
      </c>
      <c r="G26" s="246">
        <v>27.013829694323142</v>
      </c>
      <c r="H26" s="246">
        <v>27.667464114832534</v>
      </c>
      <c r="I26" s="246">
        <v>25.419650655021837</v>
      </c>
      <c r="J26" s="246">
        <v>26.199557522123893</v>
      </c>
      <c r="K26" s="246">
        <v>28.87922077922078</v>
      </c>
      <c r="L26" s="246">
        <v>26.322881355932203</v>
      </c>
      <c r="M26" s="246">
        <v>26.471232876712328</v>
      </c>
      <c r="N26" s="246">
        <v>27.289340101522843</v>
      </c>
    </row>
    <row r="27" spans="1:14" ht="16" customHeight="1">
      <c r="A27" s="75" t="s">
        <v>37</v>
      </c>
      <c r="B27" s="662">
        <v>27.945021536040912</v>
      </c>
      <c r="C27" s="246">
        <v>28.565770862800566</v>
      </c>
      <c r="D27" s="246">
        <v>28.503599999999999</v>
      </c>
      <c r="E27" s="246">
        <v>25.392181588902897</v>
      </c>
      <c r="F27" s="246">
        <v>26.113022113022112</v>
      </c>
      <c r="G27" s="246">
        <v>28.545180722891565</v>
      </c>
      <c r="H27" s="246">
        <v>27.171649484536083</v>
      </c>
      <c r="I27" s="246">
        <v>28.427884615384617</v>
      </c>
      <c r="J27" s="246">
        <v>28.282894736842103</v>
      </c>
      <c r="K27" s="246">
        <v>28.587030716723547</v>
      </c>
      <c r="L27" s="246">
        <v>28.288808664259928</v>
      </c>
      <c r="M27" s="246">
        <v>28.956176334106729</v>
      </c>
      <c r="N27" s="246">
        <v>28.428813559322034</v>
      </c>
    </row>
    <row r="28" spans="1:14" ht="16" customHeight="1">
      <c r="A28" s="75" t="s">
        <v>38</v>
      </c>
      <c r="B28" s="662">
        <v>25.596271683195312</v>
      </c>
      <c r="C28" s="246">
        <v>25.255539088551313</v>
      </c>
      <c r="D28" s="246">
        <v>25.685440133500208</v>
      </c>
      <c r="E28" s="246">
        <v>26.804005722460655</v>
      </c>
      <c r="F28" s="246">
        <v>26.23432089265102</v>
      </c>
      <c r="G28" s="246">
        <v>26.036091249574397</v>
      </c>
      <c r="H28" s="246">
        <v>25.869594368085817</v>
      </c>
      <c r="I28" s="246">
        <v>25.573529411764703</v>
      </c>
      <c r="J28" s="246">
        <v>24.818755635707845</v>
      </c>
      <c r="K28" s="246">
        <v>25.131052036199094</v>
      </c>
      <c r="L28" s="246">
        <v>25.744121715076073</v>
      </c>
      <c r="M28" s="246">
        <v>24.664408310749774</v>
      </c>
      <c r="N28" s="246">
        <v>25.081878636741482</v>
      </c>
    </row>
    <row r="29" spans="1:14" ht="16" customHeight="1">
      <c r="A29" s="67" t="s">
        <v>39</v>
      </c>
      <c r="B29" s="662">
        <v>25.238890895021921</v>
      </c>
      <c r="C29" s="246">
        <v>23.775716694772342</v>
      </c>
      <c r="D29" s="246">
        <v>25.08131054131054</v>
      </c>
      <c r="E29" s="246">
        <v>25.388638985005766</v>
      </c>
      <c r="F29" s="246">
        <v>25.506203473945408</v>
      </c>
      <c r="G29" s="246">
        <v>25.303940568475454</v>
      </c>
      <c r="H29" s="246">
        <v>24.372189349112425</v>
      </c>
      <c r="I29" s="246">
        <v>25.438639125151884</v>
      </c>
      <c r="J29" s="246">
        <v>25.12082574377656</v>
      </c>
      <c r="K29" s="246">
        <v>24.985089974293061</v>
      </c>
      <c r="L29" s="246">
        <v>25.310344827586206</v>
      </c>
      <c r="M29" s="246">
        <v>26.526278906797476</v>
      </c>
      <c r="N29" s="246">
        <v>26.522696011004125</v>
      </c>
    </row>
    <row r="30" spans="1:14" ht="16" customHeight="1">
      <c r="A30" s="97" t="s">
        <v>97</v>
      </c>
      <c r="B30" s="662">
        <v>26.077796014067992</v>
      </c>
      <c r="C30" s="246">
        <v>24.273473108477667</v>
      </c>
      <c r="D30" s="246">
        <v>25.825783972125432</v>
      </c>
      <c r="E30" s="246">
        <v>26.676943942133818</v>
      </c>
      <c r="F30" s="246">
        <v>26.843253968253968</v>
      </c>
      <c r="G30" s="246">
        <v>26.630682976554539</v>
      </c>
      <c r="H30" s="246">
        <v>24.950774840474018</v>
      </c>
      <c r="I30" s="246">
        <v>26.43359375</v>
      </c>
      <c r="J30" s="246">
        <v>26.181208053691275</v>
      </c>
      <c r="K30" s="246">
        <v>25.861224489795923</v>
      </c>
      <c r="L30" s="246">
        <v>25.735205616850553</v>
      </c>
      <c r="M30" s="246">
        <v>26.925925925925927</v>
      </c>
      <c r="N30" s="246">
        <v>26.633802816901404</v>
      </c>
    </row>
    <row r="31" spans="1:14" ht="16" customHeight="1">
      <c r="A31" s="97" t="s">
        <v>98</v>
      </c>
      <c r="B31" s="662">
        <v>23.610091047040971</v>
      </c>
      <c r="C31" s="246">
        <v>22.975073313782993</v>
      </c>
      <c r="D31" s="246">
        <v>23.67331136738056</v>
      </c>
      <c r="E31" s="246">
        <v>23.119745222929936</v>
      </c>
      <c r="F31" s="246">
        <v>23.274834437086092</v>
      </c>
      <c r="G31" s="246">
        <v>23.008465608465606</v>
      </c>
      <c r="H31" s="246">
        <v>23.301854974704892</v>
      </c>
      <c r="I31" s="246">
        <v>23.80064308681672</v>
      </c>
      <c r="J31" s="246">
        <v>23.289735099337747</v>
      </c>
      <c r="K31" s="246">
        <v>23.494444444444444</v>
      </c>
      <c r="L31" s="246">
        <v>24.525925925925925</v>
      </c>
      <c r="M31" s="246">
        <v>25.143750000000001</v>
      </c>
      <c r="N31" s="246">
        <v>25.979757085020243</v>
      </c>
    </row>
    <row r="32" spans="1:14" ht="16" customHeight="1">
      <c r="A32" s="75" t="s">
        <v>42</v>
      </c>
      <c r="B32" s="662">
        <v>27.47356296483045</v>
      </c>
      <c r="C32" s="246">
        <v>26.876154992548436</v>
      </c>
      <c r="D32" s="246">
        <v>26.873314644239755</v>
      </c>
      <c r="E32" s="246">
        <v>27.913121706721505</v>
      </c>
      <c r="F32" s="246">
        <v>27.001592356687901</v>
      </c>
      <c r="G32" s="246">
        <v>27.110397946084721</v>
      </c>
      <c r="H32" s="246">
        <v>28.071360305829881</v>
      </c>
      <c r="I32" s="246">
        <v>28.760163952586684</v>
      </c>
      <c r="J32" s="246">
        <v>27.751014257563462</v>
      </c>
      <c r="K32" s="246">
        <v>28.623951477610014</v>
      </c>
      <c r="L32" s="246">
        <v>26.74689295737004</v>
      </c>
      <c r="M32" s="246">
        <v>26.461390358612579</v>
      </c>
      <c r="N32" s="246">
        <v>26.870621752974692</v>
      </c>
    </row>
    <row r="33" spans="1:14" ht="16" customHeight="1">
      <c r="A33" s="75" t="s">
        <v>43</v>
      </c>
      <c r="B33" s="662">
        <v>28.488884686303248</v>
      </c>
      <c r="C33" s="246">
        <v>27.592877377579931</v>
      </c>
      <c r="D33" s="246">
        <v>28.452280912364941</v>
      </c>
      <c r="E33" s="246">
        <v>29.182766190998905</v>
      </c>
      <c r="F33" s="246">
        <v>29.283691683569973</v>
      </c>
      <c r="G33" s="246">
        <v>29.483689781810323</v>
      </c>
      <c r="H33" s="246">
        <v>29.254306436990028</v>
      </c>
      <c r="I33" s="246">
        <v>28.799307159353351</v>
      </c>
      <c r="J33" s="246">
        <v>28.199367088607595</v>
      </c>
      <c r="K33" s="246">
        <v>27.680254777070058</v>
      </c>
      <c r="L33" s="246">
        <v>26.989115646258501</v>
      </c>
      <c r="M33" s="246">
        <v>27.228801169590643</v>
      </c>
      <c r="N33" s="246">
        <v>27.490339157245632</v>
      </c>
    </row>
    <row r="34" spans="1:14" ht="16" customHeight="1">
      <c r="A34" s="67" t="s">
        <v>44</v>
      </c>
      <c r="B34" s="662">
        <v>0</v>
      </c>
      <c r="C34" s="246">
        <v>0</v>
      </c>
      <c r="D34" s="246">
        <v>0</v>
      </c>
      <c r="E34" s="246">
        <v>0</v>
      </c>
      <c r="F34" s="246">
        <v>0</v>
      </c>
      <c r="G34" s="246">
        <v>0</v>
      </c>
      <c r="H34" s="246">
        <v>0</v>
      </c>
      <c r="I34" s="246">
        <v>0</v>
      </c>
      <c r="J34" s="246">
        <v>0</v>
      </c>
      <c r="K34" s="246">
        <v>0</v>
      </c>
      <c r="L34" s="246">
        <v>0</v>
      </c>
      <c r="M34" s="246">
        <v>0</v>
      </c>
      <c r="N34" s="246">
        <v>0</v>
      </c>
    </row>
    <row r="35" spans="1:14" ht="16" customHeight="1">
      <c r="A35" s="67" t="s">
        <v>45</v>
      </c>
      <c r="B35" s="662">
        <v>0</v>
      </c>
      <c r="C35" s="246">
        <v>0</v>
      </c>
      <c r="D35" s="246">
        <v>0</v>
      </c>
      <c r="E35" s="246">
        <v>0</v>
      </c>
      <c r="F35" s="246">
        <v>0</v>
      </c>
      <c r="G35" s="246">
        <v>0</v>
      </c>
      <c r="H35" s="246">
        <v>0</v>
      </c>
      <c r="I35" s="246">
        <v>0</v>
      </c>
      <c r="J35" s="246">
        <v>0</v>
      </c>
      <c r="K35" s="246">
        <v>0</v>
      </c>
      <c r="L35" s="246">
        <v>0</v>
      </c>
      <c r="M35" s="246">
        <v>0</v>
      </c>
      <c r="N35" s="246">
        <v>0</v>
      </c>
    </row>
    <row r="36" spans="1:14" ht="16" customHeight="1">
      <c r="A36" s="67" t="s">
        <v>46</v>
      </c>
      <c r="B36" s="662">
        <v>0</v>
      </c>
      <c r="C36" s="246">
        <v>0</v>
      </c>
      <c r="D36" s="246">
        <v>0</v>
      </c>
      <c r="E36" s="246">
        <v>0</v>
      </c>
      <c r="F36" s="246">
        <v>0</v>
      </c>
      <c r="G36" s="246">
        <v>0</v>
      </c>
      <c r="H36" s="246">
        <v>0</v>
      </c>
      <c r="I36" s="246">
        <v>0</v>
      </c>
      <c r="J36" s="246">
        <v>0</v>
      </c>
      <c r="K36" s="246">
        <v>0</v>
      </c>
      <c r="L36" s="246">
        <v>0</v>
      </c>
      <c r="M36" s="246">
        <v>0</v>
      </c>
      <c r="N36" s="246">
        <v>0</v>
      </c>
    </row>
    <row r="37" spans="1:14" ht="16" customHeight="1" thickBot="1">
      <c r="A37" s="145" t="s">
        <v>47</v>
      </c>
      <c r="B37" s="663">
        <v>0</v>
      </c>
      <c r="C37" s="247">
        <v>0</v>
      </c>
      <c r="D37" s="247">
        <v>0</v>
      </c>
      <c r="E37" s="247">
        <v>0</v>
      </c>
      <c r="F37" s="247">
        <v>0</v>
      </c>
      <c r="G37" s="247">
        <v>0</v>
      </c>
      <c r="H37" s="247">
        <v>0</v>
      </c>
      <c r="I37" s="247">
        <v>0</v>
      </c>
      <c r="J37" s="247">
        <v>0</v>
      </c>
      <c r="K37" s="247">
        <v>0</v>
      </c>
      <c r="L37" s="247">
        <v>0</v>
      </c>
      <c r="M37" s="247">
        <v>0</v>
      </c>
      <c r="N37" s="247">
        <v>0</v>
      </c>
    </row>
    <row r="38" spans="1:14" ht="9" customHeight="1">
      <c r="A38" s="449" t="s">
        <v>330</v>
      </c>
      <c r="B38" s="464"/>
      <c r="C38" s="464"/>
      <c r="D38" s="464"/>
      <c r="E38" s="464"/>
      <c r="F38" s="173"/>
    </row>
    <row r="39" spans="1:14" ht="9" customHeight="1">
      <c r="A39" s="449" t="s">
        <v>304</v>
      </c>
      <c r="B39" s="464"/>
      <c r="C39" s="464"/>
      <c r="D39" s="464"/>
      <c r="E39" s="464"/>
      <c r="F39" s="173"/>
    </row>
    <row r="40" spans="1:14" ht="9" customHeight="1">
      <c r="A40" s="451" t="s">
        <v>303</v>
      </c>
      <c r="B40" s="464"/>
      <c r="C40" s="464"/>
      <c r="D40" s="464"/>
      <c r="E40" s="464"/>
      <c r="F40" s="173"/>
    </row>
    <row r="41" spans="1:14" ht="13.25" customHeight="1">
      <c r="A41" s="11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Hoja69">
    <tabColor theme="9" tint="0.59999389629810485"/>
  </sheetPr>
  <dimension ref="A4:P54"/>
  <sheetViews>
    <sheetView showGridLines="0" zoomScaleNormal="100" workbookViewId="0">
      <selection activeCell="N28" sqref="N28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588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3" t="s">
        <v>211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2"/>
      <c r="P5" s="842"/>
    </row>
    <row r="6" spans="1:16" ht="6" customHeight="1" thickBo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</row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16" ht="18" customHeight="1">
      <c r="A8" s="647" t="s">
        <v>87</v>
      </c>
      <c r="B8" s="648">
        <f t="shared" ref="B8:B37" si="0">SUM(C8:N8)</f>
        <v>115666.27778732296</v>
      </c>
      <c r="C8" s="650">
        <f t="shared" ref="C8:N8" si="1">(C9+C10+C11+C12+C13+C17+C18+C19+C20+C21+C22+C23+C24+C25+C26+C27+C28+C29+C32+C33+C34+C35+C36+C37)</f>
        <v>8918</v>
      </c>
      <c r="D8" s="650">
        <f t="shared" si="1"/>
        <v>9252</v>
      </c>
      <c r="E8" s="650">
        <f t="shared" si="1"/>
        <v>9427.2777873229552</v>
      </c>
      <c r="F8" s="650">
        <f t="shared" si="1"/>
        <v>10711</v>
      </c>
      <c r="G8" s="650">
        <f t="shared" si="1"/>
        <v>10772</v>
      </c>
      <c r="H8" s="650">
        <f t="shared" si="1"/>
        <v>11034</v>
      </c>
      <c r="I8" s="650">
        <f t="shared" si="1"/>
        <v>10568</v>
      </c>
      <c r="J8" s="650">
        <f t="shared" si="1"/>
        <v>9822</v>
      </c>
      <c r="K8" s="650">
        <f t="shared" si="1"/>
        <v>9070</v>
      </c>
      <c r="L8" s="650">
        <f t="shared" si="1"/>
        <v>8828</v>
      </c>
      <c r="M8" s="650">
        <f t="shared" si="1"/>
        <v>8227</v>
      </c>
      <c r="N8" s="650">
        <f t="shared" si="1"/>
        <v>9037</v>
      </c>
    </row>
    <row r="9" spans="1:16" ht="16" customHeight="1">
      <c r="A9" s="143" t="s">
        <v>19</v>
      </c>
      <c r="B9" s="642">
        <f t="shared" si="0"/>
        <v>0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2">
        <v>0</v>
      </c>
      <c r="L9" s="242">
        <v>0</v>
      </c>
      <c r="M9" s="242">
        <v>0</v>
      </c>
      <c r="N9" s="242">
        <v>0</v>
      </c>
      <c r="O9" s="149"/>
    </row>
    <row r="10" spans="1:16" ht="16" customHeight="1">
      <c r="A10" s="143" t="s">
        <v>20</v>
      </c>
      <c r="B10" s="642">
        <f t="shared" si="0"/>
        <v>0</v>
      </c>
      <c r="C10" s="242">
        <v>0</v>
      </c>
      <c r="D10" s="242">
        <v>0</v>
      </c>
      <c r="E10" s="242">
        <v>0</v>
      </c>
      <c r="F10" s="242">
        <v>0</v>
      </c>
      <c r="G10" s="242">
        <v>0</v>
      </c>
      <c r="H10" s="242">
        <v>0</v>
      </c>
      <c r="I10" s="242">
        <v>0</v>
      </c>
      <c r="J10" s="242">
        <v>0</v>
      </c>
      <c r="K10" s="242">
        <v>0</v>
      </c>
      <c r="L10" s="242">
        <v>0</v>
      </c>
      <c r="M10" s="242">
        <v>0</v>
      </c>
      <c r="N10" s="242">
        <v>0</v>
      </c>
    </row>
    <row r="11" spans="1:16" ht="16" customHeight="1">
      <c r="A11" s="143" t="s">
        <v>21</v>
      </c>
      <c r="B11" s="642">
        <f t="shared" si="0"/>
        <v>0</v>
      </c>
      <c r="C11" s="242">
        <v>0</v>
      </c>
      <c r="D11" s="242">
        <v>0</v>
      </c>
      <c r="E11" s="242">
        <v>0</v>
      </c>
      <c r="F11" s="242">
        <v>0</v>
      </c>
      <c r="G11" s="242">
        <v>0</v>
      </c>
      <c r="H11" s="242">
        <v>0</v>
      </c>
      <c r="I11" s="242">
        <v>0</v>
      </c>
      <c r="J11" s="242">
        <v>0</v>
      </c>
      <c r="K11" s="242">
        <v>0</v>
      </c>
      <c r="L11" s="242">
        <v>0</v>
      </c>
      <c r="M11" s="242">
        <v>0</v>
      </c>
      <c r="N11" s="242">
        <v>0</v>
      </c>
    </row>
    <row r="12" spans="1:16" ht="16" customHeight="1">
      <c r="A12" s="121" t="s">
        <v>22</v>
      </c>
      <c r="B12" s="642">
        <f t="shared" si="0"/>
        <v>0</v>
      </c>
      <c r="C12" s="242">
        <v>0</v>
      </c>
      <c r="D12" s="242">
        <v>0</v>
      </c>
      <c r="E12" s="242">
        <v>0</v>
      </c>
      <c r="F12" s="242">
        <v>0</v>
      </c>
      <c r="G12" s="242">
        <v>0</v>
      </c>
      <c r="H12" s="242">
        <v>0</v>
      </c>
      <c r="I12" s="242">
        <v>0</v>
      </c>
      <c r="J12" s="242">
        <v>0</v>
      </c>
      <c r="K12" s="242">
        <v>0</v>
      </c>
      <c r="L12" s="242">
        <v>0</v>
      </c>
      <c r="M12" s="242">
        <v>0</v>
      </c>
      <c r="N12" s="242">
        <v>0</v>
      </c>
    </row>
    <row r="13" spans="1:16" ht="16" customHeight="1">
      <c r="A13" s="121" t="s">
        <v>23</v>
      </c>
      <c r="B13" s="642">
        <f t="shared" si="0"/>
        <v>0</v>
      </c>
      <c r="C13" s="242">
        <v>0</v>
      </c>
      <c r="D13" s="242">
        <v>0</v>
      </c>
      <c r="E13" s="242">
        <v>0</v>
      </c>
      <c r="F13" s="242">
        <v>0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</row>
    <row r="14" spans="1:16" ht="16" customHeight="1">
      <c r="A14" s="119" t="s">
        <v>94</v>
      </c>
      <c r="B14" s="642">
        <f t="shared" si="0"/>
        <v>0</v>
      </c>
      <c r="C14" s="242">
        <v>0</v>
      </c>
      <c r="D14" s="242">
        <v>0</v>
      </c>
      <c r="E14" s="242">
        <v>0</v>
      </c>
      <c r="F14" s="242">
        <v>0</v>
      </c>
      <c r="G14" s="242">
        <v>0</v>
      </c>
      <c r="H14" s="242">
        <v>0</v>
      </c>
      <c r="I14" s="242">
        <v>0</v>
      </c>
      <c r="J14" s="242">
        <v>0</v>
      </c>
      <c r="K14" s="242">
        <v>0</v>
      </c>
      <c r="L14" s="242">
        <v>0</v>
      </c>
      <c r="M14" s="242">
        <v>0</v>
      </c>
      <c r="N14" s="242">
        <v>0</v>
      </c>
    </row>
    <row r="15" spans="1:16" ht="16" customHeight="1">
      <c r="A15" s="119" t="s">
        <v>95</v>
      </c>
      <c r="B15" s="642">
        <f t="shared" si="0"/>
        <v>0</v>
      </c>
      <c r="C15" s="242">
        <v>0</v>
      </c>
      <c r="D15" s="242">
        <v>0</v>
      </c>
      <c r="E15" s="242">
        <v>0</v>
      </c>
      <c r="F15" s="242">
        <v>0</v>
      </c>
      <c r="G15" s="242">
        <v>0</v>
      </c>
      <c r="H15" s="242">
        <v>0</v>
      </c>
      <c r="I15" s="242">
        <v>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</row>
    <row r="16" spans="1:16" ht="16" customHeight="1">
      <c r="A16" s="119" t="s">
        <v>96</v>
      </c>
      <c r="B16" s="642">
        <f t="shared" si="0"/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</row>
    <row r="17" spans="1:14" ht="16" customHeight="1">
      <c r="A17" s="143" t="s">
        <v>27</v>
      </c>
      <c r="B17" s="642">
        <f t="shared" si="0"/>
        <v>0</v>
      </c>
      <c r="C17" s="242">
        <v>0</v>
      </c>
      <c r="D17" s="242">
        <v>0</v>
      </c>
      <c r="E17" s="242">
        <v>0</v>
      </c>
      <c r="F17" s="242">
        <v>0</v>
      </c>
      <c r="G17" s="242">
        <v>0</v>
      </c>
      <c r="H17" s="242">
        <v>0</v>
      </c>
      <c r="I17" s="242">
        <v>0</v>
      </c>
      <c r="J17" s="242">
        <v>0</v>
      </c>
      <c r="K17" s="242">
        <v>0</v>
      </c>
      <c r="L17" s="242">
        <v>0</v>
      </c>
      <c r="M17" s="242">
        <v>0</v>
      </c>
      <c r="N17" s="242">
        <v>0</v>
      </c>
    </row>
    <row r="18" spans="1:14" ht="16" customHeight="1">
      <c r="A18" s="121" t="s">
        <v>28</v>
      </c>
      <c r="B18" s="642">
        <f t="shared" si="0"/>
        <v>0</v>
      </c>
      <c r="C18" s="242">
        <v>0</v>
      </c>
      <c r="D18" s="242">
        <v>0</v>
      </c>
      <c r="E18" s="242">
        <v>0</v>
      </c>
      <c r="F18" s="242">
        <v>0</v>
      </c>
      <c r="G18" s="242">
        <v>0</v>
      </c>
      <c r="H18" s="242">
        <v>0</v>
      </c>
      <c r="I18" s="242">
        <v>0</v>
      </c>
      <c r="J18" s="242">
        <v>0</v>
      </c>
      <c r="K18" s="242">
        <v>0</v>
      </c>
      <c r="L18" s="242">
        <v>0</v>
      </c>
      <c r="M18" s="242">
        <v>0</v>
      </c>
      <c r="N18" s="242">
        <v>0</v>
      </c>
    </row>
    <row r="19" spans="1:14" ht="16" customHeight="1">
      <c r="A19" s="121" t="s">
        <v>29</v>
      </c>
      <c r="B19" s="642">
        <f t="shared" si="0"/>
        <v>2175</v>
      </c>
      <c r="C19" s="242">
        <v>190</v>
      </c>
      <c r="D19" s="242">
        <v>157</v>
      </c>
      <c r="E19" s="242">
        <v>189</v>
      </c>
      <c r="F19" s="242">
        <v>171</v>
      </c>
      <c r="G19" s="242">
        <v>119</v>
      </c>
      <c r="H19" s="242">
        <v>208</v>
      </c>
      <c r="I19" s="242">
        <v>274</v>
      </c>
      <c r="J19" s="242">
        <v>182</v>
      </c>
      <c r="K19" s="242">
        <v>165</v>
      </c>
      <c r="L19" s="242">
        <v>186</v>
      </c>
      <c r="M19" s="242">
        <v>147</v>
      </c>
      <c r="N19" s="242">
        <v>187</v>
      </c>
    </row>
    <row r="20" spans="1:14" ht="16" customHeight="1">
      <c r="A20" s="143" t="s">
        <v>30</v>
      </c>
      <c r="B20" s="642">
        <f t="shared" si="0"/>
        <v>0</v>
      </c>
      <c r="C20" s="242">
        <v>0</v>
      </c>
      <c r="D20" s="242">
        <v>0</v>
      </c>
      <c r="E20" s="242">
        <v>0</v>
      </c>
      <c r="F20" s="242">
        <v>0</v>
      </c>
      <c r="G20" s="242">
        <v>0</v>
      </c>
      <c r="H20" s="242">
        <v>0</v>
      </c>
      <c r="I20" s="242">
        <v>0</v>
      </c>
      <c r="J20" s="242">
        <v>0</v>
      </c>
      <c r="K20" s="242">
        <v>0</v>
      </c>
      <c r="L20" s="242">
        <v>0</v>
      </c>
      <c r="M20" s="242">
        <v>0</v>
      </c>
      <c r="N20" s="242">
        <v>0</v>
      </c>
    </row>
    <row r="21" spans="1:14" ht="16" customHeight="1">
      <c r="A21" s="143" t="s">
        <v>31</v>
      </c>
      <c r="B21" s="642">
        <f t="shared" si="0"/>
        <v>0</v>
      </c>
      <c r="C21" s="242">
        <v>0</v>
      </c>
      <c r="D21" s="242">
        <v>0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</row>
    <row r="22" spans="1:14" ht="16" customHeight="1">
      <c r="A22" s="143" t="s">
        <v>32</v>
      </c>
      <c r="B22" s="642">
        <f t="shared" si="0"/>
        <v>4273</v>
      </c>
      <c r="C22" s="242">
        <v>230</v>
      </c>
      <c r="D22" s="242">
        <v>247</v>
      </c>
      <c r="E22" s="242">
        <v>294</v>
      </c>
      <c r="F22" s="242">
        <v>360</v>
      </c>
      <c r="G22" s="242">
        <v>370</v>
      </c>
      <c r="H22" s="242">
        <v>557</v>
      </c>
      <c r="I22" s="242">
        <v>470</v>
      </c>
      <c r="J22" s="242">
        <v>391</v>
      </c>
      <c r="K22" s="242">
        <v>232</v>
      </c>
      <c r="L22" s="242">
        <v>284</v>
      </c>
      <c r="M22" s="242">
        <v>322</v>
      </c>
      <c r="N22" s="242">
        <v>516</v>
      </c>
    </row>
    <row r="23" spans="1:14" ht="16" customHeight="1">
      <c r="A23" s="143" t="s">
        <v>33</v>
      </c>
      <c r="B23" s="642">
        <f t="shared" si="0"/>
        <v>9372</v>
      </c>
      <c r="C23" s="242">
        <v>816</v>
      </c>
      <c r="D23" s="242">
        <v>744</v>
      </c>
      <c r="E23" s="242">
        <v>708</v>
      </c>
      <c r="F23" s="242">
        <v>621</v>
      </c>
      <c r="G23" s="242">
        <v>687</v>
      </c>
      <c r="H23" s="242">
        <v>773</v>
      </c>
      <c r="I23" s="242">
        <v>771</v>
      </c>
      <c r="J23" s="242">
        <v>795</v>
      </c>
      <c r="K23" s="242">
        <v>843</v>
      </c>
      <c r="L23" s="242">
        <v>873</v>
      </c>
      <c r="M23" s="242">
        <v>815</v>
      </c>
      <c r="N23" s="242">
        <v>926</v>
      </c>
    </row>
    <row r="24" spans="1:14" ht="16" customHeight="1">
      <c r="A24" s="143" t="s">
        <v>34</v>
      </c>
      <c r="B24" s="642">
        <f t="shared" si="0"/>
        <v>7363</v>
      </c>
      <c r="C24" s="242">
        <v>607</v>
      </c>
      <c r="D24" s="242">
        <v>634</v>
      </c>
      <c r="E24" s="242">
        <v>622</v>
      </c>
      <c r="F24" s="242">
        <v>603</v>
      </c>
      <c r="G24" s="242">
        <v>578</v>
      </c>
      <c r="H24" s="242">
        <v>612</v>
      </c>
      <c r="I24" s="242">
        <v>554</v>
      </c>
      <c r="J24" s="242">
        <v>567</v>
      </c>
      <c r="K24" s="242">
        <v>581</v>
      </c>
      <c r="L24" s="242">
        <v>638</v>
      </c>
      <c r="M24" s="242">
        <v>672</v>
      </c>
      <c r="N24" s="242">
        <v>695</v>
      </c>
    </row>
    <row r="25" spans="1:14" ht="16" customHeight="1">
      <c r="A25" s="121" t="s">
        <v>35</v>
      </c>
      <c r="B25" s="642">
        <f t="shared" si="0"/>
        <v>10787</v>
      </c>
      <c r="C25" s="242">
        <v>1225</v>
      </c>
      <c r="D25" s="242">
        <v>1132</v>
      </c>
      <c r="E25" s="242">
        <v>962</v>
      </c>
      <c r="F25" s="242">
        <v>895</v>
      </c>
      <c r="G25" s="242">
        <v>868</v>
      </c>
      <c r="H25" s="242">
        <v>828</v>
      </c>
      <c r="I25" s="242">
        <v>819</v>
      </c>
      <c r="J25" s="242">
        <v>811</v>
      </c>
      <c r="K25" s="242">
        <v>799</v>
      </c>
      <c r="L25" s="242">
        <v>823</v>
      </c>
      <c r="M25" s="242">
        <v>802</v>
      </c>
      <c r="N25" s="242">
        <v>823</v>
      </c>
    </row>
    <row r="26" spans="1:14" ht="16" customHeight="1">
      <c r="A26" s="143" t="s">
        <v>36</v>
      </c>
      <c r="B26" s="642">
        <f t="shared" si="0"/>
        <v>2130.2777873229552</v>
      </c>
      <c r="C26" s="242">
        <v>150</v>
      </c>
      <c r="D26" s="242">
        <v>155</v>
      </c>
      <c r="E26" s="242">
        <v>196.27778732295496</v>
      </c>
      <c r="F26" s="242">
        <v>156</v>
      </c>
      <c r="G26" s="242">
        <v>160</v>
      </c>
      <c r="H26" s="242">
        <v>195</v>
      </c>
      <c r="I26" s="242">
        <v>175</v>
      </c>
      <c r="J26" s="242">
        <v>150</v>
      </c>
      <c r="K26" s="242">
        <v>194</v>
      </c>
      <c r="L26" s="242">
        <v>190</v>
      </c>
      <c r="M26" s="242">
        <v>195</v>
      </c>
      <c r="N26" s="242">
        <v>214</v>
      </c>
    </row>
    <row r="27" spans="1:14" ht="16" customHeight="1">
      <c r="A27" s="143" t="s">
        <v>37</v>
      </c>
      <c r="B27" s="642">
        <f t="shared" si="0"/>
        <v>5447</v>
      </c>
      <c r="C27" s="242">
        <v>359</v>
      </c>
      <c r="D27" s="242">
        <v>379</v>
      </c>
      <c r="E27" s="242">
        <v>374</v>
      </c>
      <c r="F27" s="242">
        <v>435</v>
      </c>
      <c r="G27" s="242">
        <v>471</v>
      </c>
      <c r="H27" s="242">
        <v>488</v>
      </c>
      <c r="I27" s="242">
        <v>491</v>
      </c>
      <c r="J27" s="242">
        <v>489</v>
      </c>
      <c r="K27" s="242">
        <v>473</v>
      </c>
      <c r="L27" s="242">
        <v>491</v>
      </c>
      <c r="M27" s="242">
        <v>488</v>
      </c>
      <c r="N27" s="242">
        <v>509</v>
      </c>
    </row>
    <row r="28" spans="1:14" ht="16" customHeight="1">
      <c r="A28" s="143" t="s">
        <v>38</v>
      </c>
      <c r="B28" s="642">
        <f t="shared" si="0"/>
        <v>5888</v>
      </c>
      <c r="C28" s="242">
        <v>523</v>
      </c>
      <c r="D28" s="242">
        <v>453</v>
      </c>
      <c r="E28" s="242">
        <v>466</v>
      </c>
      <c r="F28" s="242">
        <v>429</v>
      </c>
      <c r="G28" s="242">
        <v>506</v>
      </c>
      <c r="H28" s="242">
        <v>531</v>
      </c>
      <c r="I28" s="242">
        <v>583</v>
      </c>
      <c r="J28" s="242">
        <v>533</v>
      </c>
      <c r="K28" s="242">
        <v>401</v>
      </c>
      <c r="L28" s="242">
        <v>429</v>
      </c>
      <c r="M28" s="242">
        <v>363</v>
      </c>
      <c r="N28" s="242">
        <v>671</v>
      </c>
    </row>
    <row r="29" spans="1:14" ht="16" customHeight="1">
      <c r="A29" s="121" t="s">
        <v>39</v>
      </c>
      <c r="B29" s="642">
        <f t="shared" si="0"/>
        <v>8940</v>
      </c>
      <c r="C29" s="242">
        <v>801</v>
      </c>
      <c r="D29" s="242">
        <v>753</v>
      </c>
      <c r="E29" s="242">
        <v>778</v>
      </c>
      <c r="F29" s="242">
        <v>787</v>
      </c>
      <c r="G29" s="242">
        <v>756</v>
      </c>
      <c r="H29" s="242">
        <v>785</v>
      </c>
      <c r="I29" s="242">
        <v>813</v>
      </c>
      <c r="J29" s="242">
        <v>772</v>
      </c>
      <c r="K29" s="242">
        <v>693</v>
      </c>
      <c r="L29" s="242">
        <v>695</v>
      </c>
      <c r="M29" s="242">
        <v>663</v>
      </c>
      <c r="N29" s="242">
        <v>644</v>
      </c>
    </row>
    <row r="30" spans="1:14" ht="16" customHeight="1">
      <c r="A30" s="119" t="s">
        <v>97</v>
      </c>
      <c r="B30" s="642">
        <f t="shared" si="0"/>
        <v>4633</v>
      </c>
      <c r="C30" s="242">
        <v>394</v>
      </c>
      <c r="D30" s="242">
        <v>386</v>
      </c>
      <c r="E30" s="242">
        <v>409</v>
      </c>
      <c r="F30" s="242">
        <v>399</v>
      </c>
      <c r="G30" s="242">
        <v>386</v>
      </c>
      <c r="H30" s="242">
        <v>397</v>
      </c>
      <c r="I30" s="242">
        <v>419</v>
      </c>
      <c r="J30" s="242">
        <v>391</v>
      </c>
      <c r="K30" s="242">
        <v>327</v>
      </c>
      <c r="L30" s="242">
        <v>344</v>
      </c>
      <c r="M30" s="242">
        <v>387</v>
      </c>
      <c r="N30" s="242">
        <v>394</v>
      </c>
    </row>
    <row r="31" spans="1:14" ht="16" customHeight="1">
      <c r="A31" s="119" t="s">
        <v>98</v>
      </c>
      <c r="B31" s="642">
        <f t="shared" si="0"/>
        <v>4307</v>
      </c>
      <c r="C31" s="242">
        <v>407</v>
      </c>
      <c r="D31" s="242">
        <v>367</v>
      </c>
      <c r="E31" s="242">
        <v>369</v>
      </c>
      <c r="F31" s="242">
        <v>388</v>
      </c>
      <c r="G31" s="242">
        <v>370</v>
      </c>
      <c r="H31" s="242">
        <v>388</v>
      </c>
      <c r="I31" s="242">
        <v>394</v>
      </c>
      <c r="J31" s="242">
        <v>381</v>
      </c>
      <c r="K31" s="242">
        <v>366</v>
      </c>
      <c r="L31" s="242">
        <v>351</v>
      </c>
      <c r="M31" s="242">
        <v>276</v>
      </c>
      <c r="N31" s="242">
        <v>250</v>
      </c>
    </row>
    <row r="32" spans="1:14" ht="16" customHeight="1">
      <c r="A32" s="143" t="s">
        <v>42</v>
      </c>
      <c r="B32" s="642">
        <f t="shared" si="0"/>
        <v>19736</v>
      </c>
      <c r="C32" s="242">
        <v>1372</v>
      </c>
      <c r="D32" s="242">
        <v>1508</v>
      </c>
      <c r="E32" s="242">
        <v>1608</v>
      </c>
      <c r="F32" s="242">
        <v>1829</v>
      </c>
      <c r="G32" s="242">
        <v>1972</v>
      </c>
      <c r="H32" s="242">
        <v>2007</v>
      </c>
      <c r="I32" s="242">
        <v>1978</v>
      </c>
      <c r="J32" s="242">
        <v>1817</v>
      </c>
      <c r="K32" s="242">
        <v>1609</v>
      </c>
      <c r="L32" s="242">
        <v>1509</v>
      </c>
      <c r="M32" s="242">
        <v>1310</v>
      </c>
      <c r="N32" s="242">
        <v>1217</v>
      </c>
    </row>
    <row r="33" spans="1:14" ht="16" customHeight="1">
      <c r="A33" s="143" t="s">
        <v>43</v>
      </c>
      <c r="B33" s="642">
        <f t="shared" si="0"/>
        <v>39555</v>
      </c>
      <c r="C33" s="242">
        <v>2645</v>
      </c>
      <c r="D33" s="242">
        <v>3090</v>
      </c>
      <c r="E33" s="242">
        <v>3230</v>
      </c>
      <c r="F33" s="242">
        <v>4425</v>
      </c>
      <c r="G33" s="242">
        <v>4285</v>
      </c>
      <c r="H33" s="242">
        <v>4050</v>
      </c>
      <c r="I33" s="242">
        <v>3640</v>
      </c>
      <c r="J33" s="242">
        <v>3315</v>
      </c>
      <c r="K33" s="242">
        <v>3080</v>
      </c>
      <c r="L33" s="242">
        <v>2710</v>
      </c>
      <c r="M33" s="242">
        <v>2450</v>
      </c>
      <c r="N33" s="242">
        <v>2635</v>
      </c>
    </row>
    <row r="34" spans="1:14" ht="16" customHeight="1">
      <c r="A34" s="121" t="s">
        <v>44</v>
      </c>
      <c r="B34" s="642">
        <f t="shared" si="0"/>
        <v>0</v>
      </c>
      <c r="C34" s="242">
        <v>0</v>
      </c>
      <c r="D34" s="242">
        <v>0</v>
      </c>
      <c r="E34" s="242">
        <v>0</v>
      </c>
      <c r="F34" s="242">
        <v>0</v>
      </c>
      <c r="G34" s="242">
        <v>0</v>
      </c>
      <c r="H34" s="242">
        <v>0</v>
      </c>
      <c r="I34" s="242">
        <v>0</v>
      </c>
      <c r="J34" s="242">
        <v>0</v>
      </c>
      <c r="K34" s="242">
        <v>0</v>
      </c>
      <c r="L34" s="242">
        <v>0</v>
      </c>
      <c r="M34" s="242">
        <v>0</v>
      </c>
      <c r="N34" s="242">
        <v>0</v>
      </c>
    </row>
    <row r="35" spans="1:14" ht="16" customHeight="1">
      <c r="A35" s="121" t="s">
        <v>45</v>
      </c>
      <c r="B35" s="642">
        <f t="shared" si="0"/>
        <v>0</v>
      </c>
      <c r="C35" s="242">
        <v>0</v>
      </c>
      <c r="D35" s="242">
        <v>0</v>
      </c>
      <c r="E35" s="242">
        <v>0</v>
      </c>
      <c r="F35" s="242">
        <v>0</v>
      </c>
      <c r="G35" s="242">
        <v>0</v>
      </c>
      <c r="H35" s="242">
        <v>0</v>
      </c>
      <c r="I35" s="242">
        <v>0</v>
      </c>
      <c r="J35" s="242">
        <v>0</v>
      </c>
      <c r="K35" s="242">
        <v>0</v>
      </c>
      <c r="L35" s="242">
        <v>0</v>
      </c>
      <c r="M35" s="242">
        <v>0</v>
      </c>
      <c r="N35" s="242">
        <v>0</v>
      </c>
    </row>
    <row r="36" spans="1:14" ht="16" customHeight="1">
      <c r="A36" s="121" t="s">
        <v>46</v>
      </c>
      <c r="B36" s="642">
        <f t="shared" si="0"/>
        <v>0</v>
      </c>
      <c r="C36" s="242">
        <v>0</v>
      </c>
      <c r="D36" s="242">
        <v>0</v>
      </c>
      <c r="E36" s="242">
        <v>0</v>
      </c>
      <c r="F36" s="242">
        <v>0</v>
      </c>
      <c r="G36" s="242">
        <v>0</v>
      </c>
      <c r="H36" s="242">
        <v>0</v>
      </c>
      <c r="I36" s="242">
        <v>0</v>
      </c>
      <c r="J36" s="242">
        <v>0</v>
      </c>
      <c r="K36" s="242">
        <v>0</v>
      </c>
      <c r="L36" s="242">
        <v>0</v>
      </c>
      <c r="M36" s="242">
        <v>0</v>
      </c>
      <c r="N36" s="242">
        <v>0</v>
      </c>
    </row>
    <row r="37" spans="1:14" ht="16" customHeight="1" thickBot="1">
      <c r="A37" s="145" t="s">
        <v>47</v>
      </c>
      <c r="B37" s="643">
        <f t="shared" si="0"/>
        <v>0</v>
      </c>
      <c r="C37" s="243">
        <v>0</v>
      </c>
      <c r="D37" s="243">
        <v>0</v>
      </c>
      <c r="E37" s="243">
        <v>0</v>
      </c>
      <c r="F37" s="243">
        <v>0</v>
      </c>
      <c r="G37" s="243">
        <v>0</v>
      </c>
      <c r="H37" s="243">
        <v>0</v>
      </c>
      <c r="I37" s="243">
        <v>0</v>
      </c>
      <c r="J37" s="243">
        <v>0</v>
      </c>
      <c r="K37" s="243">
        <v>0</v>
      </c>
      <c r="L37" s="243">
        <v>0</v>
      </c>
      <c r="M37" s="243">
        <v>0</v>
      </c>
      <c r="N37" s="243">
        <v>0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Hoja70">
    <tabColor theme="9" tint="0.59999389629810485"/>
  </sheetPr>
  <dimension ref="A4:P54"/>
  <sheetViews>
    <sheetView showGridLines="0" zoomScaleNormal="100" workbookViewId="0">
      <selection activeCell="C31" sqref="C31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533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3" t="s">
        <v>210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2"/>
      <c r="P5" s="842"/>
    </row>
    <row r="6" spans="1:16" ht="6" customHeight="1" thickBo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</row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  <c r="O7" s="147"/>
      <c r="P7" s="147"/>
    </row>
    <row r="8" spans="1:16" ht="18" customHeight="1">
      <c r="A8" s="647" t="s">
        <v>87</v>
      </c>
      <c r="B8" s="650">
        <f t="shared" ref="B8:B37" si="0">SUM(C8:N8)</f>
        <v>3961.8268804917011</v>
      </c>
      <c r="C8" s="650">
        <f t="shared" ref="C8:N8" si="1">(C9+C10+C11+C12+C13+C17+C18+C19+C20+C21+C22+C23+C24+C25+C26+C27+C28+C29+C32+C33+C34+C35+C36+C37)</f>
        <v>294.33548301984064</v>
      </c>
      <c r="D8" s="650">
        <f t="shared" si="1"/>
        <v>314.72158390000004</v>
      </c>
      <c r="E8" s="650">
        <f t="shared" si="1"/>
        <v>327.11728800000003</v>
      </c>
      <c r="F8" s="650">
        <f t="shared" si="1"/>
        <v>381.84363500000006</v>
      </c>
      <c r="G8" s="650">
        <f t="shared" si="1"/>
        <v>383.62756130586001</v>
      </c>
      <c r="H8" s="650">
        <f t="shared" si="1"/>
        <v>392.35512076600003</v>
      </c>
      <c r="I8" s="650">
        <f t="shared" si="1"/>
        <v>365.07104500000003</v>
      </c>
      <c r="J8" s="650">
        <f t="shared" si="1"/>
        <v>337.71809999999999</v>
      </c>
      <c r="K8" s="650">
        <f t="shared" si="1"/>
        <v>306.19533999999999</v>
      </c>
      <c r="L8" s="650">
        <f t="shared" si="1"/>
        <v>289.40722849999997</v>
      </c>
      <c r="M8" s="650">
        <f t="shared" si="1"/>
        <v>274.19740000000002</v>
      </c>
      <c r="N8" s="650">
        <f t="shared" si="1"/>
        <v>295.23709500000001</v>
      </c>
    </row>
    <row r="9" spans="1:16" ht="16" customHeight="1">
      <c r="A9" s="143" t="s">
        <v>19</v>
      </c>
      <c r="B9" s="651">
        <f t="shared" si="0"/>
        <v>0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2">
        <v>0</v>
      </c>
      <c r="L9" s="242">
        <v>0</v>
      </c>
      <c r="M9" s="242">
        <v>0</v>
      </c>
      <c r="N9" s="242">
        <v>0</v>
      </c>
      <c r="O9" s="149"/>
    </row>
    <row r="10" spans="1:16" ht="16" customHeight="1">
      <c r="A10" s="143" t="s">
        <v>20</v>
      </c>
      <c r="B10" s="651">
        <f t="shared" si="0"/>
        <v>0</v>
      </c>
      <c r="C10" s="242">
        <v>0</v>
      </c>
      <c r="D10" s="242">
        <v>0</v>
      </c>
      <c r="E10" s="242">
        <v>0</v>
      </c>
      <c r="F10" s="242">
        <v>0</v>
      </c>
      <c r="G10" s="242">
        <v>0</v>
      </c>
      <c r="H10" s="242">
        <v>0</v>
      </c>
      <c r="I10" s="242">
        <v>0</v>
      </c>
      <c r="J10" s="242">
        <v>0</v>
      </c>
      <c r="K10" s="242">
        <v>0</v>
      </c>
      <c r="L10" s="242">
        <v>0</v>
      </c>
      <c r="M10" s="242">
        <v>0</v>
      </c>
      <c r="N10" s="242">
        <v>0</v>
      </c>
    </row>
    <row r="11" spans="1:16" ht="16" customHeight="1">
      <c r="A11" s="143" t="s">
        <v>21</v>
      </c>
      <c r="B11" s="651">
        <f t="shared" si="0"/>
        <v>0</v>
      </c>
      <c r="C11" s="242">
        <v>0</v>
      </c>
      <c r="D11" s="242">
        <v>0</v>
      </c>
      <c r="E11" s="242">
        <v>0</v>
      </c>
      <c r="F11" s="242">
        <v>0</v>
      </c>
      <c r="G11" s="242">
        <v>0</v>
      </c>
      <c r="H11" s="242">
        <v>0</v>
      </c>
      <c r="I11" s="242">
        <v>0</v>
      </c>
      <c r="J11" s="242">
        <v>0</v>
      </c>
      <c r="K11" s="242">
        <v>0</v>
      </c>
      <c r="L11" s="242">
        <v>0</v>
      </c>
      <c r="M11" s="242">
        <v>0</v>
      </c>
      <c r="N11" s="242">
        <v>0</v>
      </c>
    </row>
    <row r="12" spans="1:16" ht="16" customHeight="1">
      <c r="A12" s="121" t="s">
        <v>22</v>
      </c>
      <c r="B12" s="651">
        <f t="shared" si="0"/>
        <v>0</v>
      </c>
      <c r="C12" s="242">
        <v>0</v>
      </c>
      <c r="D12" s="242">
        <v>0</v>
      </c>
      <c r="E12" s="242">
        <v>0</v>
      </c>
      <c r="F12" s="242">
        <v>0</v>
      </c>
      <c r="G12" s="242">
        <v>0</v>
      </c>
      <c r="H12" s="242">
        <v>0</v>
      </c>
      <c r="I12" s="242">
        <v>0</v>
      </c>
      <c r="J12" s="242">
        <v>0</v>
      </c>
      <c r="K12" s="242">
        <v>0</v>
      </c>
      <c r="L12" s="242">
        <v>0</v>
      </c>
      <c r="M12" s="242">
        <v>0</v>
      </c>
      <c r="N12" s="242">
        <v>0</v>
      </c>
    </row>
    <row r="13" spans="1:16" ht="16" customHeight="1">
      <c r="A13" s="121" t="s">
        <v>23</v>
      </c>
      <c r="B13" s="651">
        <f t="shared" si="0"/>
        <v>0</v>
      </c>
      <c r="C13" s="242">
        <v>0</v>
      </c>
      <c r="D13" s="242">
        <v>0</v>
      </c>
      <c r="E13" s="242">
        <v>0</v>
      </c>
      <c r="F13" s="242">
        <v>0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</row>
    <row r="14" spans="1:16" ht="16" customHeight="1">
      <c r="A14" s="119" t="s">
        <v>94</v>
      </c>
      <c r="B14" s="651">
        <f t="shared" si="0"/>
        <v>0</v>
      </c>
      <c r="C14" s="242">
        <v>0</v>
      </c>
      <c r="D14" s="242">
        <v>0</v>
      </c>
      <c r="E14" s="242">
        <v>0</v>
      </c>
      <c r="F14" s="242">
        <v>0</v>
      </c>
      <c r="G14" s="242">
        <v>0</v>
      </c>
      <c r="H14" s="242">
        <v>0</v>
      </c>
      <c r="I14" s="242">
        <v>0</v>
      </c>
      <c r="J14" s="242">
        <v>0</v>
      </c>
      <c r="K14" s="242">
        <v>0</v>
      </c>
      <c r="L14" s="242">
        <v>0</v>
      </c>
      <c r="M14" s="242">
        <v>0</v>
      </c>
      <c r="N14" s="242">
        <v>0</v>
      </c>
    </row>
    <row r="15" spans="1:16" ht="16" customHeight="1">
      <c r="A15" s="119" t="s">
        <v>95</v>
      </c>
      <c r="B15" s="651">
        <f t="shared" si="0"/>
        <v>0</v>
      </c>
      <c r="C15" s="242">
        <v>0</v>
      </c>
      <c r="D15" s="242">
        <v>0</v>
      </c>
      <c r="E15" s="242">
        <v>0</v>
      </c>
      <c r="F15" s="242">
        <v>0</v>
      </c>
      <c r="G15" s="242">
        <v>0</v>
      </c>
      <c r="H15" s="242">
        <v>0</v>
      </c>
      <c r="I15" s="242">
        <v>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</row>
    <row r="16" spans="1:16" ht="16" customHeight="1">
      <c r="A16" s="119" t="s">
        <v>96</v>
      </c>
      <c r="B16" s="651">
        <f t="shared" si="0"/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</row>
    <row r="17" spans="1:14" ht="16" customHeight="1">
      <c r="A17" s="143" t="s">
        <v>27</v>
      </c>
      <c r="B17" s="651">
        <f t="shared" si="0"/>
        <v>0</v>
      </c>
      <c r="C17" s="242">
        <v>0</v>
      </c>
      <c r="D17" s="242">
        <v>0</v>
      </c>
      <c r="E17" s="242">
        <v>0</v>
      </c>
      <c r="F17" s="242">
        <v>0</v>
      </c>
      <c r="G17" s="242">
        <v>0</v>
      </c>
      <c r="H17" s="242">
        <v>0</v>
      </c>
      <c r="I17" s="242">
        <v>0</v>
      </c>
      <c r="J17" s="242">
        <v>0</v>
      </c>
      <c r="K17" s="242">
        <v>0</v>
      </c>
      <c r="L17" s="242">
        <v>0</v>
      </c>
      <c r="M17" s="242">
        <v>0</v>
      </c>
      <c r="N17" s="242">
        <v>0</v>
      </c>
    </row>
    <row r="18" spans="1:14" ht="16" customHeight="1">
      <c r="A18" s="121" t="s">
        <v>28</v>
      </c>
      <c r="B18" s="651">
        <f t="shared" si="0"/>
        <v>0</v>
      </c>
      <c r="C18" s="242">
        <v>0</v>
      </c>
      <c r="D18" s="242">
        <v>0</v>
      </c>
      <c r="E18" s="242">
        <v>0</v>
      </c>
      <c r="F18" s="242">
        <v>0</v>
      </c>
      <c r="G18" s="242">
        <v>0</v>
      </c>
      <c r="H18" s="242">
        <v>0</v>
      </c>
      <c r="I18" s="242">
        <v>0</v>
      </c>
      <c r="J18" s="242">
        <v>0</v>
      </c>
      <c r="K18" s="242">
        <v>0</v>
      </c>
      <c r="L18" s="242">
        <v>0</v>
      </c>
      <c r="M18" s="242">
        <v>0</v>
      </c>
      <c r="N18" s="242">
        <v>0</v>
      </c>
    </row>
    <row r="19" spans="1:14" ht="16" customHeight="1">
      <c r="A19" s="121" t="s">
        <v>29</v>
      </c>
      <c r="B19" s="651">
        <f t="shared" si="0"/>
        <v>70.63409</v>
      </c>
      <c r="C19" s="242">
        <v>5.8182499999999999</v>
      </c>
      <c r="D19" s="242">
        <v>5.7477150000000004</v>
      </c>
      <c r="E19" s="242">
        <v>6.4240650000000006</v>
      </c>
      <c r="F19" s="242">
        <v>5.3841049999999999</v>
      </c>
      <c r="G19" s="242">
        <v>4.2228000000000003</v>
      </c>
      <c r="H19" s="242">
        <v>6.7483250000000004</v>
      </c>
      <c r="I19" s="242">
        <v>8.4290000000000003</v>
      </c>
      <c r="J19" s="242">
        <v>5.4075499999999996</v>
      </c>
      <c r="K19" s="242">
        <v>5.2767900000000001</v>
      </c>
      <c r="L19" s="242">
        <v>6.1719350000000004</v>
      </c>
      <c r="M19" s="242">
        <v>5.024</v>
      </c>
      <c r="N19" s="242">
        <v>5.9795550000000004</v>
      </c>
    </row>
    <row r="20" spans="1:14" ht="16" customHeight="1">
      <c r="A20" s="143" t="s">
        <v>30</v>
      </c>
      <c r="B20" s="651">
        <f t="shared" si="0"/>
        <v>0</v>
      </c>
      <c r="C20" s="242">
        <v>0</v>
      </c>
      <c r="D20" s="242">
        <v>0</v>
      </c>
      <c r="E20" s="242">
        <v>0</v>
      </c>
      <c r="F20" s="242">
        <v>0</v>
      </c>
      <c r="G20" s="242">
        <v>0</v>
      </c>
      <c r="H20" s="242">
        <v>0</v>
      </c>
      <c r="I20" s="242">
        <v>0</v>
      </c>
      <c r="J20" s="242">
        <v>0</v>
      </c>
      <c r="K20" s="242">
        <v>0</v>
      </c>
      <c r="L20" s="242">
        <v>0</v>
      </c>
      <c r="M20" s="242">
        <v>0</v>
      </c>
      <c r="N20" s="242">
        <v>0</v>
      </c>
    </row>
    <row r="21" spans="1:14" ht="16" customHeight="1">
      <c r="A21" s="143" t="s">
        <v>31</v>
      </c>
      <c r="B21" s="651">
        <f t="shared" si="0"/>
        <v>0</v>
      </c>
      <c r="C21" s="242">
        <v>0</v>
      </c>
      <c r="D21" s="242">
        <v>0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</row>
    <row r="22" spans="1:14" ht="16" customHeight="1">
      <c r="A22" s="143" t="s">
        <v>32</v>
      </c>
      <c r="B22" s="651">
        <f t="shared" si="0"/>
        <v>129.74100584628502</v>
      </c>
      <c r="C22" s="242">
        <v>6.276511464285</v>
      </c>
      <c r="D22" s="242">
        <v>6.4712500000000004</v>
      </c>
      <c r="E22" s="242">
        <v>8.6207130000000021</v>
      </c>
      <c r="F22" s="242">
        <v>11.2981</v>
      </c>
      <c r="G22" s="242">
        <v>12.183271441</v>
      </c>
      <c r="H22" s="242">
        <v>19.183271440999999</v>
      </c>
      <c r="I22" s="242">
        <v>13.768245</v>
      </c>
      <c r="J22" s="242">
        <v>11.3459</v>
      </c>
      <c r="K22" s="242">
        <v>7.7058999999999997</v>
      </c>
      <c r="L22" s="242">
        <v>8.2401435000000003</v>
      </c>
      <c r="M22" s="242">
        <v>9.7231000000000005</v>
      </c>
      <c r="N22" s="242">
        <v>14.9246</v>
      </c>
    </row>
    <row r="23" spans="1:14" ht="16" customHeight="1">
      <c r="A23" s="143" t="s">
        <v>33</v>
      </c>
      <c r="B23" s="651">
        <f t="shared" si="0"/>
        <v>245.59514999999999</v>
      </c>
      <c r="C23" s="242">
        <v>23.184450000000005</v>
      </c>
      <c r="D23" s="242">
        <v>20.5884</v>
      </c>
      <c r="E23" s="242">
        <v>19.7136</v>
      </c>
      <c r="F23" s="242">
        <v>17.476649999999999</v>
      </c>
      <c r="G23" s="242">
        <v>19.184400000000007</v>
      </c>
      <c r="H23" s="242">
        <v>21.586949999999995</v>
      </c>
      <c r="I23" s="242">
        <v>20.088900000000006</v>
      </c>
      <c r="J23" s="242">
        <v>20.880450000000007</v>
      </c>
      <c r="K23" s="242">
        <v>19.366650000000003</v>
      </c>
      <c r="L23" s="242">
        <v>20.620799999999999</v>
      </c>
      <c r="M23" s="242">
        <v>20.507399999999997</v>
      </c>
      <c r="N23" s="242">
        <v>22.3965</v>
      </c>
    </row>
    <row r="24" spans="1:14" ht="16" customHeight="1">
      <c r="A24" s="143" t="s">
        <v>34</v>
      </c>
      <c r="B24" s="651">
        <f t="shared" si="0"/>
        <v>246.20049999999998</v>
      </c>
      <c r="C24" s="242">
        <v>17.904</v>
      </c>
      <c r="D24" s="242">
        <v>20.042999999999999</v>
      </c>
      <c r="E24" s="242">
        <v>19.608000000000001</v>
      </c>
      <c r="F24" s="242">
        <v>19.308</v>
      </c>
      <c r="G24" s="242">
        <v>19.631699999999999</v>
      </c>
      <c r="H24" s="242">
        <v>21.087</v>
      </c>
      <c r="I24" s="242">
        <v>19.327000000000002</v>
      </c>
      <c r="J24" s="242">
        <v>19.5108</v>
      </c>
      <c r="K24" s="242">
        <v>19.817</v>
      </c>
      <c r="L24" s="242">
        <v>22.247</v>
      </c>
      <c r="M24" s="242">
        <v>23.416</v>
      </c>
      <c r="N24" s="242">
        <v>24.300999999999998</v>
      </c>
    </row>
    <row r="25" spans="1:14" ht="16" customHeight="1">
      <c r="A25" s="121" t="s">
        <v>35</v>
      </c>
      <c r="B25" s="651">
        <f t="shared" si="0"/>
        <v>373.40910000000002</v>
      </c>
      <c r="C25" s="242">
        <v>42.36140000000001</v>
      </c>
      <c r="D25" s="242">
        <v>38.672900000000006</v>
      </c>
      <c r="E25" s="242">
        <v>33.189</v>
      </c>
      <c r="F25" s="242">
        <v>31.317500000000003</v>
      </c>
      <c r="G25" s="242">
        <v>30.380000000000006</v>
      </c>
      <c r="H25" s="242">
        <v>28.980000000000004</v>
      </c>
      <c r="I25" s="242">
        <v>28.665000000000003</v>
      </c>
      <c r="J25" s="242">
        <v>28.229199999999999</v>
      </c>
      <c r="K25" s="242">
        <v>27.601400000000005</v>
      </c>
      <c r="L25" s="242">
        <v>28.270700000000001</v>
      </c>
      <c r="M25" s="242">
        <v>27.340000000000003</v>
      </c>
      <c r="N25" s="242">
        <v>28.402000000000001</v>
      </c>
    </row>
    <row r="26" spans="1:14" ht="16" customHeight="1">
      <c r="A26" s="143" t="s">
        <v>36</v>
      </c>
      <c r="B26" s="651">
        <f t="shared" si="0"/>
        <v>66.181644645415545</v>
      </c>
      <c r="C26" s="242">
        <v>5.6307715555555502</v>
      </c>
      <c r="D26" s="242">
        <v>5.4553688999999999</v>
      </c>
      <c r="E26" s="242">
        <v>5.6809599999999998</v>
      </c>
      <c r="F26" s="242">
        <v>4.7922799999999999</v>
      </c>
      <c r="G26" s="242">
        <v>4.3309898648600003</v>
      </c>
      <c r="H26" s="242">
        <v>5.5430743250000001</v>
      </c>
      <c r="I26" s="242">
        <v>5.4984000000000002</v>
      </c>
      <c r="J26" s="242">
        <v>4.9984000000000002</v>
      </c>
      <c r="K26" s="242">
        <v>5.1036000000000001</v>
      </c>
      <c r="L26" s="242">
        <v>5.7880000000000003</v>
      </c>
      <c r="M26" s="242">
        <v>6.2228000000000003</v>
      </c>
      <c r="N26" s="242">
        <v>7.1369999999999996</v>
      </c>
    </row>
    <row r="27" spans="1:14" ht="16" customHeight="1">
      <c r="A27" s="143" t="s">
        <v>37</v>
      </c>
      <c r="B27" s="651">
        <f t="shared" si="0"/>
        <v>161.42228999999998</v>
      </c>
      <c r="C27" s="242">
        <v>10.458</v>
      </c>
      <c r="D27" s="242">
        <v>11.074949999999999</v>
      </c>
      <c r="E27" s="242">
        <v>11.00295</v>
      </c>
      <c r="F27" s="242">
        <v>12.744</v>
      </c>
      <c r="G27" s="242">
        <v>13.77</v>
      </c>
      <c r="H27" s="242">
        <v>14.314500000000001</v>
      </c>
      <c r="I27" s="242">
        <v>14.3055</v>
      </c>
      <c r="J27" s="242">
        <v>15.279400000000001</v>
      </c>
      <c r="K27" s="242">
        <v>13.662000000000001</v>
      </c>
      <c r="L27" s="242">
        <v>14.32245</v>
      </c>
      <c r="M27" s="242">
        <v>15.0761</v>
      </c>
      <c r="N27" s="242">
        <v>15.41244</v>
      </c>
    </row>
    <row r="28" spans="1:14" ht="16" customHeight="1">
      <c r="A28" s="143" t="s">
        <v>38</v>
      </c>
      <c r="B28" s="651">
        <f t="shared" si="0"/>
        <v>158.53879999999998</v>
      </c>
      <c r="C28" s="242">
        <v>14.2064</v>
      </c>
      <c r="D28" s="242">
        <v>11.808</v>
      </c>
      <c r="E28" s="242">
        <v>13.047000000000001</v>
      </c>
      <c r="F28" s="242">
        <v>11.673999999999999</v>
      </c>
      <c r="G28" s="242">
        <v>14.064</v>
      </c>
      <c r="H28" s="242">
        <v>14.568</v>
      </c>
      <c r="I28" s="242">
        <v>16.126000000000001</v>
      </c>
      <c r="J28" s="242">
        <v>14.5084</v>
      </c>
      <c r="K28" s="242">
        <v>10.744</v>
      </c>
      <c r="L28" s="242">
        <v>11.427</v>
      </c>
      <c r="M28" s="242">
        <v>9.5570000000000004</v>
      </c>
      <c r="N28" s="242">
        <v>16.809000000000001</v>
      </c>
    </row>
    <row r="29" spans="1:14" ht="16" customHeight="1">
      <c r="A29" s="121" t="s">
        <v>39</v>
      </c>
      <c r="B29" s="651">
        <f t="shared" si="0"/>
        <v>275.10039999999998</v>
      </c>
      <c r="C29" s="242">
        <v>25.027700000000003</v>
      </c>
      <c r="D29" s="242">
        <v>23.263999999999999</v>
      </c>
      <c r="E29" s="242">
        <v>23.542999999999999</v>
      </c>
      <c r="F29" s="242">
        <v>23.625999999999998</v>
      </c>
      <c r="G29" s="242">
        <v>23.053999999999998</v>
      </c>
      <c r="H29" s="242">
        <v>24.016999999999999</v>
      </c>
      <c r="I29" s="242">
        <v>24.254999999999999</v>
      </c>
      <c r="J29" s="242">
        <v>24.012</v>
      </c>
      <c r="K29" s="242">
        <v>21.706</v>
      </c>
      <c r="L29" s="242">
        <v>21.749699999999997</v>
      </c>
      <c r="M29" s="242">
        <v>20.46</v>
      </c>
      <c r="N29" s="242">
        <v>20.385999999999999</v>
      </c>
    </row>
    <row r="30" spans="1:14" ht="16" customHeight="1">
      <c r="A30" s="119" t="s">
        <v>97</v>
      </c>
      <c r="B30" s="651">
        <f t="shared" si="0"/>
        <v>140.49540000000002</v>
      </c>
      <c r="C30" s="242">
        <v>12.0547</v>
      </c>
      <c r="D30" s="242">
        <v>11.657999999999999</v>
      </c>
      <c r="E30" s="242">
        <v>11.861000000000001</v>
      </c>
      <c r="F30" s="242">
        <v>11.757</v>
      </c>
      <c r="G30" s="242">
        <v>11.606999999999999</v>
      </c>
      <c r="H30" s="242">
        <v>12.209</v>
      </c>
      <c r="I30" s="242">
        <v>12.308</v>
      </c>
      <c r="J30" s="242">
        <v>12.208</v>
      </c>
      <c r="K30" s="242">
        <v>10.247999999999999</v>
      </c>
      <c r="L30" s="242">
        <v>10.710699999999999</v>
      </c>
      <c r="M30" s="242">
        <v>11.856999999999999</v>
      </c>
      <c r="N30" s="242">
        <v>12.016999999999999</v>
      </c>
    </row>
    <row r="31" spans="1:14" ht="16" customHeight="1">
      <c r="A31" s="119" t="s">
        <v>98</v>
      </c>
      <c r="B31" s="651">
        <f t="shared" si="0"/>
        <v>134.60499999999999</v>
      </c>
      <c r="C31" s="242">
        <v>12.973000000000001</v>
      </c>
      <c r="D31" s="242">
        <v>11.606</v>
      </c>
      <c r="E31" s="242">
        <v>11.682</v>
      </c>
      <c r="F31" s="242">
        <v>11.869</v>
      </c>
      <c r="G31" s="242">
        <v>11.446999999999999</v>
      </c>
      <c r="H31" s="242">
        <v>11.808</v>
      </c>
      <c r="I31" s="242">
        <v>11.946999999999999</v>
      </c>
      <c r="J31" s="242">
        <v>11.804</v>
      </c>
      <c r="K31" s="242">
        <v>11.458</v>
      </c>
      <c r="L31" s="242">
        <v>11.039</v>
      </c>
      <c r="M31" s="242">
        <v>8.6029999999999998</v>
      </c>
      <c r="N31" s="242">
        <v>8.3689999999999998</v>
      </c>
    </row>
    <row r="32" spans="1:14" ht="16" customHeight="1">
      <c r="A32" s="143" t="s">
        <v>42</v>
      </c>
      <c r="B32" s="651">
        <f t="shared" si="0"/>
        <v>626.24889999999994</v>
      </c>
      <c r="C32" s="242">
        <v>42.137999999999998</v>
      </c>
      <c r="D32" s="242">
        <v>46.706000000000003</v>
      </c>
      <c r="E32" s="242">
        <v>51.048000000000002</v>
      </c>
      <c r="F32" s="242">
        <v>56.317999999999998</v>
      </c>
      <c r="G32" s="242">
        <v>62.0364</v>
      </c>
      <c r="H32" s="242">
        <v>65.617000000000004</v>
      </c>
      <c r="I32" s="242">
        <v>64.287999999999997</v>
      </c>
      <c r="J32" s="242">
        <v>58.606000000000002</v>
      </c>
      <c r="K32" s="242">
        <v>53.076999999999998</v>
      </c>
      <c r="L32" s="242">
        <v>47.307000000000002</v>
      </c>
      <c r="M32" s="242">
        <v>42.033499999999997</v>
      </c>
      <c r="N32" s="242">
        <v>37.073999999999998</v>
      </c>
    </row>
    <row r="33" spans="1:14" ht="16" customHeight="1">
      <c r="A33" s="143" t="s">
        <v>43</v>
      </c>
      <c r="B33" s="651">
        <f t="shared" si="0"/>
        <v>1608.7550000000001</v>
      </c>
      <c r="C33" s="242">
        <v>101.33000000000003</v>
      </c>
      <c r="D33" s="242">
        <v>124.89000000000001</v>
      </c>
      <c r="E33" s="242">
        <v>135.24</v>
      </c>
      <c r="F33" s="242">
        <v>187.905</v>
      </c>
      <c r="G33" s="242">
        <v>180.76999999999995</v>
      </c>
      <c r="H33" s="242">
        <v>170.71</v>
      </c>
      <c r="I33" s="242">
        <v>150.32000000000002</v>
      </c>
      <c r="J33" s="242">
        <v>134.94</v>
      </c>
      <c r="K33" s="242">
        <v>122.13499999999999</v>
      </c>
      <c r="L33" s="242">
        <v>103.2625</v>
      </c>
      <c r="M33" s="242">
        <v>94.837499999999991</v>
      </c>
      <c r="N33" s="242">
        <v>102.41500000000002</v>
      </c>
    </row>
    <row r="34" spans="1:14" ht="16" customHeight="1">
      <c r="A34" s="121" t="s">
        <v>44</v>
      </c>
      <c r="B34" s="651">
        <f t="shared" si="0"/>
        <v>0</v>
      </c>
      <c r="C34" s="242">
        <v>0</v>
      </c>
      <c r="D34" s="242">
        <v>0</v>
      </c>
      <c r="E34" s="242">
        <v>0</v>
      </c>
      <c r="F34" s="242">
        <v>0</v>
      </c>
      <c r="G34" s="242">
        <v>0</v>
      </c>
      <c r="H34" s="242">
        <v>0</v>
      </c>
      <c r="I34" s="242">
        <v>0</v>
      </c>
      <c r="J34" s="242">
        <v>0</v>
      </c>
      <c r="K34" s="242">
        <v>0</v>
      </c>
      <c r="L34" s="242">
        <v>0</v>
      </c>
      <c r="M34" s="242">
        <v>0</v>
      </c>
      <c r="N34" s="242">
        <v>0</v>
      </c>
    </row>
    <row r="35" spans="1:14" ht="16" customHeight="1">
      <c r="A35" s="121" t="s">
        <v>45</v>
      </c>
      <c r="B35" s="651">
        <f t="shared" si="0"/>
        <v>0</v>
      </c>
      <c r="C35" s="242">
        <v>0</v>
      </c>
      <c r="D35" s="242">
        <v>0</v>
      </c>
      <c r="E35" s="242">
        <v>0</v>
      </c>
      <c r="F35" s="242">
        <v>0</v>
      </c>
      <c r="G35" s="242">
        <v>0</v>
      </c>
      <c r="H35" s="242">
        <v>0</v>
      </c>
      <c r="I35" s="242">
        <v>0</v>
      </c>
      <c r="J35" s="242">
        <v>0</v>
      </c>
      <c r="K35" s="242">
        <v>0</v>
      </c>
      <c r="L35" s="242">
        <v>0</v>
      </c>
      <c r="M35" s="242">
        <v>0</v>
      </c>
      <c r="N35" s="242">
        <v>0</v>
      </c>
    </row>
    <row r="36" spans="1:14" ht="16" customHeight="1">
      <c r="A36" s="121" t="s">
        <v>46</v>
      </c>
      <c r="B36" s="651">
        <f t="shared" si="0"/>
        <v>0</v>
      </c>
      <c r="C36" s="242">
        <v>0</v>
      </c>
      <c r="D36" s="242">
        <v>0</v>
      </c>
      <c r="E36" s="242">
        <v>0</v>
      </c>
      <c r="F36" s="242">
        <v>0</v>
      </c>
      <c r="G36" s="242">
        <v>0</v>
      </c>
      <c r="H36" s="242">
        <v>0</v>
      </c>
      <c r="I36" s="242">
        <v>0</v>
      </c>
      <c r="J36" s="242">
        <v>0</v>
      </c>
      <c r="K36" s="242">
        <v>0</v>
      </c>
      <c r="L36" s="242">
        <v>0</v>
      </c>
      <c r="M36" s="242">
        <v>0</v>
      </c>
      <c r="N36" s="242">
        <v>0</v>
      </c>
    </row>
    <row r="37" spans="1:14" ht="16" customHeight="1" thickBot="1">
      <c r="A37" s="145" t="s">
        <v>47</v>
      </c>
      <c r="B37" s="652">
        <f t="shared" si="0"/>
        <v>0</v>
      </c>
      <c r="C37" s="243">
        <v>0</v>
      </c>
      <c r="D37" s="243">
        <v>0</v>
      </c>
      <c r="E37" s="243">
        <v>0</v>
      </c>
      <c r="F37" s="243">
        <v>0</v>
      </c>
      <c r="G37" s="243">
        <v>0</v>
      </c>
      <c r="H37" s="243">
        <v>0</v>
      </c>
      <c r="I37" s="243">
        <v>0</v>
      </c>
      <c r="J37" s="243">
        <v>0</v>
      </c>
      <c r="K37" s="243">
        <v>0</v>
      </c>
      <c r="L37" s="243">
        <v>0</v>
      </c>
      <c r="M37" s="243">
        <v>0</v>
      </c>
      <c r="N37" s="243">
        <v>0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Hoja71">
    <tabColor theme="9" tint="0.59999389629810485"/>
  </sheetPr>
  <dimension ref="A4:P54"/>
  <sheetViews>
    <sheetView showGridLines="0" zoomScaleNormal="100" workbookViewId="0">
      <selection activeCell="D23" sqref="D23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532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2" t="s">
        <v>382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16" ht="6" customHeight="1" thickBot="1"/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  <c r="O7" s="147"/>
    </row>
    <row r="8" spans="1:16" ht="18" customHeight="1">
      <c r="A8" s="647" t="s">
        <v>87</v>
      </c>
      <c r="B8" s="654">
        <v>34.252220753367389</v>
      </c>
      <c r="C8" s="654">
        <v>33.004651605723332</v>
      </c>
      <c r="D8" s="654">
        <v>34.016600075659319</v>
      </c>
      <c r="E8" s="654">
        <v>34.699018675346665</v>
      </c>
      <c r="F8" s="654">
        <v>35.649671832695368</v>
      </c>
      <c r="G8" s="654">
        <v>35.613401532292983</v>
      </c>
      <c r="H8" s="654">
        <v>35.55873851422875</v>
      </c>
      <c r="I8" s="654">
        <v>34.544951267978803</v>
      </c>
      <c r="J8" s="654">
        <v>34.38384239462431</v>
      </c>
      <c r="K8" s="654">
        <v>33.759133406835723</v>
      </c>
      <c r="L8" s="654">
        <v>32.782875906207522</v>
      </c>
      <c r="M8" s="654">
        <v>33.328965601069648</v>
      </c>
      <c r="N8" s="654">
        <v>32.669812437755894</v>
      </c>
    </row>
    <row r="9" spans="1:16" ht="16" customHeight="1">
      <c r="A9" s="143" t="s">
        <v>19</v>
      </c>
      <c r="B9" s="655">
        <v>0</v>
      </c>
      <c r="C9" s="244">
        <v>0</v>
      </c>
      <c r="D9" s="244">
        <v>0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149"/>
    </row>
    <row r="10" spans="1:16" ht="16" customHeight="1">
      <c r="A10" s="143" t="s">
        <v>20</v>
      </c>
      <c r="B10" s="655">
        <v>0</v>
      </c>
      <c r="C10" s="244">
        <v>0</v>
      </c>
      <c r="D10" s="244">
        <v>0</v>
      </c>
      <c r="E10" s="244">
        <v>0</v>
      </c>
      <c r="F10" s="244">
        <v>0</v>
      </c>
      <c r="G10" s="244">
        <v>0</v>
      </c>
      <c r="H10" s="244">
        <v>0</v>
      </c>
      <c r="I10" s="244">
        <v>0</v>
      </c>
      <c r="J10" s="244">
        <v>0</v>
      </c>
      <c r="K10" s="244">
        <v>0</v>
      </c>
      <c r="L10" s="244">
        <v>0</v>
      </c>
      <c r="M10" s="244">
        <v>0</v>
      </c>
      <c r="N10" s="244">
        <v>0</v>
      </c>
    </row>
    <row r="11" spans="1:16" ht="16" customHeight="1">
      <c r="A11" s="143" t="s">
        <v>21</v>
      </c>
      <c r="B11" s="655">
        <v>0</v>
      </c>
      <c r="C11" s="244">
        <v>0</v>
      </c>
      <c r="D11" s="244">
        <v>0</v>
      </c>
      <c r="E11" s="244">
        <v>0</v>
      </c>
      <c r="F11" s="244">
        <v>0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</row>
    <row r="12" spans="1:16" ht="16" customHeight="1">
      <c r="A12" s="121" t="s">
        <v>22</v>
      </c>
      <c r="B12" s="655">
        <v>0</v>
      </c>
      <c r="C12" s="244">
        <v>0</v>
      </c>
      <c r="D12" s="244">
        <v>0</v>
      </c>
      <c r="E12" s="244">
        <v>0</v>
      </c>
      <c r="F12" s="244">
        <v>0</v>
      </c>
      <c r="G12" s="244">
        <v>0</v>
      </c>
      <c r="H12" s="244">
        <v>0</v>
      </c>
      <c r="I12" s="244">
        <v>0</v>
      </c>
      <c r="J12" s="244">
        <v>0</v>
      </c>
      <c r="K12" s="244">
        <v>0</v>
      </c>
      <c r="L12" s="244">
        <v>0</v>
      </c>
      <c r="M12" s="244">
        <v>0</v>
      </c>
      <c r="N12" s="244">
        <v>0</v>
      </c>
    </row>
    <row r="13" spans="1:16" ht="16" customHeight="1">
      <c r="A13" s="121" t="s">
        <v>23</v>
      </c>
      <c r="B13" s="655">
        <v>0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</row>
    <row r="14" spans="1:16" ht="16" customHeight="1">
      <c r="A14" s="119" t="s">
        <v>94</v>
      </c>
      <c r="B14" s="655">
        <v>0</v>
      </c>
      <c r="C14" s="244">
        <v>0</v>
      </c>
      <c r="D14" s="244">
        <v>0</v>
      </c>
      <c r="E14" s="244">
        <v>0</v>
      </c>
      <c r="F14" s="244">
        <v>0</v>
      </c>
      <c r="G14" s="244">
        <v>0</v>
      </c>
      <c r="H14" s="244">
        <v>0</v>
      </c>
      <c r="I14" s="244">
        <v>0</v>
      </c>
      <c r="J14" s="244">
        <v>0</v>
      </c>
      <c r="K14" s="244">
        <v>0</v>
      </c>
      <c r="L14" s="244">
        <v>0</v>
      </c>
      <c r="M14" s="244">
        <v>0</v>
      </c>
      <c r="N14" s="244">
        <v>0</v>
      </c>
    </row>
    <row r="15" spans="1:16" ht="16" customHeight="1">
      <c r="A15" s="119" t="s">
        <v>95</v>
      </c>
      <c r="B15" s="655">
        <v>0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244">
        <v>0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</row>
    <row r="16" spans="1:16" ht="16" customHeight="1">
      <c r="A16" s="119" t="s">
        <v>96</v>
      </c>
      <c r="B16" s="655"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</row>
    <row r="17" spans="1:14" ht="16" customHeight="1">
      <c r="A17" s="143" t="s">
        <v>27</v>
      </c>
      <c r="B17" s="655">
        <v>0</v>
      </c>
      <c r="C17" s="244">
        <v>0</v>
      </c>
      <c r="D17" s="244">
        <v>0</v>
      </c>
      <c r="E17" s="244">
        <v>0</v>
      </c>
      <c r="F17" s="244">
        <v>0</v>
      </c>
      <c r="G17" s="244">
        <v>0</v>
      </c>
      <c r="H17" s="244">
        <v>0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</row>
    <row r="18" spans="1:14" ht="16" customHeight="1">
      <c r="A18" s="121" t="s">
        <v>28</v>
      </c>
      <c r="B18" s="655">
        <v>0</v>
      </c>
      <c r="C18" s="244">
        <v>0</v>
      </c>
      <c r="D18" s="244">
        <v>0</v>
      </c>
      <c r="E18" s="244">
        <v>0</v>
      </c>
      <c r="F18" s="244">
        <v>0</v>
      </c>
      <c r="G18" s="244">
        <v>0</v>
      </c>
      <c r="H18" s="244">
        <v>0</v>
      </c>
      <c r="I18" s="244">
        <v>0</v>
      </c>
      <c r="J18" s="244">
        <v>0</v>
      </c>
      <c r="K18" s="244">
        <v>0</v>
      </c>
      <c r="L18" s="244">
        <v>0</v>
      </c>
      <c r="M18" s="244">
        <v>0</v>
      </c>
      <c r="N18" s="244">
        <v>0</v>
      </c>
    </row>
    <row r="19" spans="1:14" ht="16" customHeight="1">
      <c r="A19" s="121" t="s">
        <v>29</v>
      </c>
      <c r="B19" s="655">
        <v>32.475443678160921</v>
      </c>
      <c r="C19" s="244">
        <v>30.622368421052631</v>
      </c>
      <c r="D19" s="244">
        <v>36.609649681528666</v>
      </c>
      <c r="E19" s="244">
        <v>33.989761904761906</v>
      </c>
      <c r="F19" s="244">
        <v>31.485994152046782</v>
      </c>
      <c r="G19" s="244">
        <v>35.485714285714288</v>
      </c>
      <c r="H19" s="244">
        <v>32.443870192307699</v>
      </c>
      <c r="I19" s="244">
        <v>30.762773722627738</v>
      </c>
      <c r="J19" s="244">
        <v>29.711813186813185</v>
      </c>
      <c r="K19" s="244">
        <v>31.980545454545457</v>
      </c>
      <c r="L19" s="244">
        <v>33.182446236559144</v>
      </c>
      <c r="M19" s="244">
        <v>34.176870748299315</v>
      </c>
      <c r="N19" s="244">
        <v>31.976229946524068</v>
      </c>
    </row>
    <row r="20" spans="1:14" ht="16" customHeight="1">
      <c r="A20" s="143" t="s">
        <v>30</v>
      </c>
      <c r="B20" s="655">
        <v>0</v>
      </c>
      <c r="C20" s="244">
        <v>0</v>
      </c>
      <c r="D20" s="244">
        <v>0</v>
      </c>
      <c r="E20" s="244">
        <v>0</v>
      </c>
      <c r="F20" s="244">
        <v>0</v>
      </c>
      <c r="G20" s="244">
        <v>0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</row>
    <row r="21" spans="1:14" ht="16" customHeight="1">
      <c r="A21" s="143" t="s">
        <v>31</v>
      </c>
      <c r="B21" s="655">
        <v>0</v>
      </c>
      <c r="C21" s="244">
        <v>0</v>
      </c>
      <c r="D21" s="244">
        <v>0</v>
      </c>
      <c r="E21" s="244">
        <v>0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</row>
    <row r="22" spans="1:14" ht="16" customHeight="1">
      <c r="A22" s="143" t="s">
        <v>32</v>
      </c>
      <c r="B22" s="655">
        <v>30.36297819945823</v>
      </c>
      <c r="C22" s="244">
        <v>27.289180279499998</v>
      </c>
      <c r="D22" s="244">
        <v>26.199392712550608</v>
      </c>
      <c r="E22" s="244">
        <v>29.322153061224498</v>
      </c>
      <c r="F22" s="244">
        <v>31.383611111111112</v>
      </c>
      <c r="G22" s="244">
        <v>32.927760651351356</v>
      </c>
      <c r="H22" s="244">
        <v>34.440343700179533</v>
      </c>
      <c r="I22" s="244">
        <v>29.294138297872344</v>
      </c>
      <c r="J22" s="244">
        <v>29.017647058823531</v>
      </c>
      <c r="K22" s="244">
        <v>33.215086206896551</v>
      </c>
      <c r="L22" s="244">
        <v>29.014589788732394</v>
      </c>
      <c r="M22" s="244">
        <v>30.195962732919256</v>
      </c>
      <c r="N22" s="244">
        <v>28.923643410852712</v>
      </c>
    </row>
    <row r="23" spans="1:14" ht="16" customHeight="1">
      <c r="A23" s="143" t="s">
        <v>33</v>
      </c>
      <c r="B23" s="655">
        <v>26.205201664532648</v>
      </c>
      <c r="C23" s="244">
        <v>28.412316176470593</v>
      </c>
      <c r="D23" s="244">
        <v>27.67258064516129</v>
      </c>
      <c r="E23" s="244">
        <v>27.844067796610169</v>
      </c>
      <c r="F23" s="244">
        <v>28.142753623188405</v>
      </c>
      <c r="G23" s="244">
        <v>27.924890829694334</v>
      </c>
      <c r="H23" s="244">
        <v>27.926196636481237</v>
      </c>
      <c r="I23" s="244">
        <v>26.055642023346312</v>
      </c>
      <c r="J23" s="244">
        <v>26.264716981132086</v>
      </c>
      <c r="K23" s="244">
        <v>22.973487544483991</v>
      </c>
      <c r="L23" s="244">
        <v>23.620618556701029</v>
      </c>
      <c r="M23" s="244">
        <v>25.162453987730057</v>
      </c>
      <c r="N23" s="244">
        <v>24.186285097192226</v>
      </c>
    </row>
    <row r="24" spans="1:14" ht="16" customHeight="1">
      <c r="A24" s="143" t="s">
        <v>34</v>
      </c>
      <c r="B24" s="655">
        <v>33.437525465163652</v>
      </c>
      <c r="C24" s="244">
        <v>29.495881383855025</v>
      </c>
      <c r="D24" s="244">
        <v>31.613564668769715</v>
      </c>
      <c r="E24" s="244">
        <v>31.524115755627012</v>
      </c>
      <c r="F24" s="244">
        <v>32.019900497512438</v>
      </c>
      <c r="G24" s="244">
        <v>33.964878892733566</v>
      </c>
      <c r="H24" s="244">
        <v>34.455882352941174</v>
      </c>
      <c r="I24" s="244">
        <v>34.886281588447659</v>
      </c>
      <c r="J24" s="244">
        <v>34.410582010582011</v>
      </c>
      <c r="K24" s="244">
        <v>34.108433734939766</v>
      </c>
      <c r="L24" s="244">
        <v>34.869905956112852</v>
      </c>
      <c r="M24" s="244">
        <v>34.845238095238095</v>
      </c>
      <c r="N24" s="244">
        <v>34.965467625899279</v>
      </c>
    </row>
    <row r="25" spans="1:14" ht="16" customHeight="1">
      <c r="A25" s="121" t="s">
        <v>35</v>
      </c>
      <c r="B25" s="655">
        <v>34.616584777973493</v>
      </c>
      <c r="C25" s="244">
        <v>34.580734693877559</v>
      </c>
      <c r="D25" s="244">
        <v>34.163339222614844</v>
      </c>
      <c r="E25" s="244">
        <v>34.5</v>
      </c>
      <c r="F25" s="244">
        <v>34.991620111731848</v>
      </c>
      <c r="G25" s="244">
        <v>35.000000000000007</v>
      </c>
      <c r="H25" s="244">
        <v>35</v>
      </c>
      <c r="I25" s="244">
        <v>35</v>
      </c>
      <c r="J25" s="244">
        <v>34.807891491985202</v>
      </c>
      <c r="K25" s="244">
        <v>34.544931163954949</v>
      </c>
      <c r="L25" s="244">
        <v>34.350789793438643</v>
      </c>
      <c r="M25" s="244">
        <v>34.089775561097262</v>
      </c>
      <c r="N25" s="244">
        <v>34.510328068043741</v>
      </c>
    </row>
    <row r="26" spans="1:14" ht="16" customHeight="1">
      <c r="A26" s="143" t="s">
        <v>36</v>
      </c>
      <c r="B26" s="655">
        <v>31.067142998558737</v>
      </c>
      <c r="C26" s="244">
        <v>37.538477037036998</v>
      </c>
      <c r="D26" s="244">
        <v>35.195928387096771</v>
      </c>
      <c r="E26" s="244">
        <v>28.943468731143597</v>
      </c>
      <c r="F26" s="244">
        <v>30.719743589743587</v>
      </c>
      <c r="G26" s="244">
        <v>27.068686655375004</v>
      </c>
      <c r="H26" s="244">
        <v>28.42602217948718</v>
      </c>
      <c r="I26" s="244">
        <v>31.419428571428572</v>
      </c>
      <c r="J26" s="244">
        <v>33.32266666666667</v>
      </c>
      <c r="K26" s="244">
        <v>26.30721649484536</v>
      </c>
      <c r="L26" s="244">
        <v>30.463157894736845</v>
      </c>
      <c r="M26" s="244">
        <v>31.911794871794871</v>
      </c>
      <c r="N26" s="244">
        <v>33.350467289719624</v>
      </c>
    </row>
    <row r="27" spans="1:14" ht="16" customHeight="1">
      <c r="A27" s="143" t="s">
        <v>37</v>
      </c>
      <c r="B27" s="655">
        <v>29.63508169634661</v>
      </c>
      <c r="C27" s="244">
        <v>29.130919220055713</v>
      </c>
      <c r="D27" s="244">
        <v>29.221503957783639</v>
      </c>
      <c r="E27" s="244">
        <v>29.419652406417114</v>
      </c>
      <c r="F27" s="244">
        <v>29.296551724137931</v>
      </c>
      <c r="G27" s="244">
        <v>29.235668789808916</v>
      </c>
      <c r="H27" s="244">
        <v>29.332991803278688</v>
      </c>
      <c r="I27" s="244">
        <v>29.135437881873727</v>
      </c>
      <c r="J27" s="244">
        <v>31.246216768916156</v>
      </c>
      <c r="K27" s="244">
        <v>28.88372093023256</v>
      </c>
      <c r="L27" s="244">
        <v>29.169959266802444</v>
      </c>
      <c r="M27" s="244">
        <v>30.893647540983608</v>
      </c>
      <c r="N27" s="244">
        <v>30.279842829076621</v>
      </c>
    </row>
    <row r="28" spans="1:14" ht="16" customHeight="1">
      <c r="A28" s="143" t="s">
        <v>38</v>
      </c>
      <c r="B28" s="655">
        <v>26.925747282608693</v>
      </c>
      <c r="C28" s="244">
        <v>27.163288718929255</v>
      </c>
      <c r="D28" s="244">
        <v>26.066225165562912</v>
      </c>
      <c r="E28" s="244">
        <v>27.997854077253219</v>
      </c>
      <c r="F28" s="244">
        <v>27.212121212121211</v>
      </c>
      <c r="G28" s="244">
        <v>27.794466403162055</v>
      </c>
      <c r="H28" s="244">
        <v>27.435028248587571</v>
      </c>
      <c r="I28" s="244">
        <v>27.660377358490567</v>
      </c>
      <c r="J28" s="244">
        <v>27.220262664165105</v>
      </c>
      <c r="K28" s="244">
        <v>26.793017456359102</v>
      </c>
      <c r="L28" s="244">
        <v>26.636363636363637</v>
      </c>
      <c r="M28" s="244">
        <v>26.327823691460058</v>
      </c>
      <c r="N28" s="244">
        <v>25.050670640834579</v>
      </c>
    </row>
    <row r="29" spans="1:14" ht="16" customHeight="1">
      <c r="A29" s="121" t="s">
        <v>39</v>
      </c>
      <c r="B29" s="655">
        <v>30.771856823266216</v>
      </c>
      <c r="C29" s="244">
        <v>31.245568039950065</v>
      </c>
      <c r="D29" s="244">
        <v>30.895086321381143</v>
      </c>
      <c r="E29" s="244">
        <v>30.260925449871465</v>
      </c>
      <c r="F29" s="244">
        <v>30.020330368487926</v>
      </c>
      <c r="G29" s="244">
        <v>30.49470899470899</v>
      </c>
      <c r="H29" s="244">
        <v>30.594904458598723</v>
      </c>
      <c r="I29" s="244">
        <v>29.833948339483396</v>
      </c>
      <c r="J29" s="244">
        <v>31.103626943005182</v>
      </c>
      <c r="K29" s="244">
        <v>31.321789321789321</v>
      </c>
      <c r="L29" s="244">
        <v>31.294532374100715</v>
      </c>
      <c r="M29" s="244">
        <v>30.859728506787331</v>
      </c>
      <c r="N29" s="244">
        <v>31.655279503105586</v>
      </c>
    </row>
    <row r="30" spans="1:14" ht="16" customHeight="1">
      <c r="A30" s="119" t="s">
        <v>97</v>
      </c>
      <c r="B30" s="655">
        <v>30.324929851068426</v>
      </c>
      <c r="C30" s="244">
        <v>30.595685279187819</v>
      </c>
      <c r="D30" s="244">
        <v>30.202072538860101</v>
      </c>
      <c r="E30" s="244">
        <v>29</v>
      </c>
      <c r="F30" s="244">
        <v>29.466165413533833</v>
      </c>
      <c r="G30" s="244">
        <v>30.069948186528496</v>
      </c>
      <c r="H30" s="244">
        <v>30.753148614609572</v>
      </c>
      <c r="I30" s="244">
        <v>29.374701670644392</v>
      </c>
      <c r="J30" s="244">
        <v>31.222506393861892</v>
      </c>
      <c r="K30" s="244">
        <v>31.339449541284406</v>
      </c>
      <c r="L30" s="244">
        <v>31.135755813953484</v>
      </c>
      <c r="M30" s="244">
        <v>30.638242894056845</v>
      </c>
      <c r="N30" s="244">
        <v>30.5</v>
      </c>
    </row>
    <row r="31" spans="1:14" ht="16" customHeight="1">
      <c r="A31" s="119" t="s">
        <v>98</v>
      </c>
      <c r="B31" s="655">
        <v>31.252612026932898</v>
      </c>
      <c r="C31" s="244">
        <v>31.874692874692876</v>
      </c>
      <c r="D31" s="244">
        <v>31.62397820163488</v>
      </c>
      <c r="E31" s="244">
        <v>31.658536585365855</v>
      </c>
      <c r="F31" s="244">
        <v>30.590206185567013</v>
      </c>
      <c r="G31" s="244">
        <v>30.937837837837836</v>
      </c>
      <c r="H31" s="244">
        <v>30.432989690721651</v>
      </c>
      <c r="I31" s="244">
        <v>30.32233502538071</v>
      </c>
      <c r="J31" s="244">
        <v>30.981627296587927</v>
      </c>
      <c r="K31" s="244">
        <v>31.306010928961751</v>
      </c>
      <c r="L31" s="244">
        <v>31.450142450142451</v>
      </c>
      <c r="M31" s="244">
        <v>31.170289855072465</v>
      </c>
      <c r="N31" s="244">
        <v>33.475999999999999</v>
      </c>
    </row>
    <row r="32" spans="1:14" ht="16" customHeight="1">
      <c r="A32" s="143" t="s">
        <v>42</v>
      </c>
      <c r="B32" s="655">
        <v>31.73129813538711</v>
      </c>
      <c r="C32" s="244">
        <v>30.712827988338191</v>
      </c>
      <c r="D32" s="244">
        <v>30.972148541114063</v>
      </c>
      <c r="E32" s="244">
        <v>31.746268656716417</v>
      </c>
      <c r="F32" s="244">
        <v>30.791689447785675</v>
      </c>
      <c r="G32" s="244">
        <v>31.458620689655174</v>
      </c>
      <c r="H32" s="244">
        <v>32.694070752366713</v>
      </c>
      <c r="I32" s="244">
        <v>32.501516683518702</v>
      </c>
      <c r="J32" s="244">
        <v>32.254265272427077</v>
      </c>
      <c r="K32" s="244">
        <v>32.987569919204468</v>
      </c>
      <c r="L32" s="244">
        <v>31.349900596421474</v>
      </c>
      <c r="M32" s="244">
        <v>32.086641221374045</v>
      </c>
      <c r="N32" s="244">
        <v>30.463434675431387</v>
      </c>
    </row>
    <row r="33" spans="1:14" ht="16" customHeight="1">
      <c r="A33" s="143" t="s">
        <v>43</v>
      </c>
      <c r="B33" s="655">
        <v>40.671343698647455</v>
      </c>
      <c r="C33" s="244">
        <v>38.310018903591697</v>
      </c>
      <c r="D33" s="244">
        <v>40.417475728155345</v>
      </c>
      <c r="E33" s="244">
        <v>41.869969040247682</v>
      </c>
      <c r="F33" s="244">
        <v>42.464406779661019</v>
      </c>
      <c r="G33" s="244">
        <v>42.186697782963812</v>
      </c>
      <c r="H33" s="244">
        <v>42.150617283950623</v>
      </c>
      <c r="I33" s="244">
        <v>41.296703296703306</v>
      </c>
      <c r="J33" s="244">
        <v>40.705882352941174</v>
      </c>
      <c r="K33" s="244">
        <v>39.654220779220772</v>
      </c>
      <c r="L33" s="244">
        <v>38.104243542435427</v>
      </c>
      <c r="M33" s="244">
        <v>38.709183673469383</v>
      </c>
      <c r="N33" s="244">
        <v>38.867172675521829</v>
      </c>
    </row>
    <row r="34" spans="1:14" ht="16" customHeight="1">
      <c r="A34" s="121" t="s">
        <v>44</v>
      </c>
      <c r="B34" s="655">
        <v>0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4">
        <v>0</v>
      </c>
      <c r="J34" s="244">
        <v>0</v>
      </c>
      <c r="K34" s="244">
        <v>0</v>
      </c>
      <c r="L34" s="244">
        <v>0</v>
      </c>
      <c r="M34" s="244">
        <v>0</v>
      </c>
      <c r="N34" s="244">
        <v>0</v>
      </c>
    </row>
    <row r="35" spans="1:14" ht="16" customHeight="1">
      <c r="A35" s="121" t="s">
        <v>45</v>
      </c>
      <c r="B35" s="655">
        <v>0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4">
        <v>0</v>
      </c>
      <c r="J35" s="244">
        <v>0</v>
      </c>
      <c r="K35" s="244">
        <v>0</v>
      </c>
      <c r="L35" s="244">
        <v>0</v>
      </c>
      <c r="M35" s="244">
        <v>0</v>
      </c>
      <c r="N35" s="244">
        <v>0</v>
      </c>
    </row>
    <row r="36" spans="1:14" ht="16" customHeight="1">
      <c r="A36" s="121" t="s">
        <v>46</v>
      </c>
      <c r="B36" s="655">
        <v>0</v>
      </c>
      <c r="C36" s="244">
        <v>0</v>
      </c>
      <c r="D36" s="244">
        <v>0</v>
      </c>
      <c r="E36" s="244">
        <v>0</v>
      </c>
      <c r="F36" s="244">
        <v>0</v>
      </c>
      <c r="G36" s="244">
        <v>0</v>
      </c>
      <c r="H36" s="244">
        <v>0</v>
      </c>
      <c r="I36" s="244">
        <v>0</v>
      </c>
      <c r="J36" s="244">
        <v>0</v>
      </c>
      <c r="K36" s="244">
        <v>0</v>
      </c>
      <c r="L36" s="244">
        <v>0</v>
      </c>
      <c r="M36" s="244">
        <v>0</v>
      </c>
      <c r="N36" s="244">
        <v>0</v>
      </c>
    </row>
    <row r="37" spans="1:14" ht="16" customHeight="1" thickBot="1">
      <c r="A37" s="145" t="s">
        <v>47</v>
      </c>
      <c r="B37" s="656">
        <v>0</v>
      </c>
      <c r="C37" s="245">
        <v>0</v>
      </c>
      <c r="D37" s="245">
        <v>0</v>
      </c>
      <c r="E37" s="245">
        <v>0</v>
      </c>
      <c r="F37" s="245">
        <v>0</v>
      </c>
      <c r="G37" s="245">
        <v>0</v>
      </c>
      <c r="H37" s="245">
        <v>0</v>
      </c>
      <c r="I37" s="245">
        <v>0</v>
      </c>
      <c r="J37" s="245">
        <v>0</v>
      </c>
      <c r="K37" s="245">
        <v>0</v>
      </c>
      <c r="L37" s="245">
        <v>0</v>
      </c>
      <c r="M37" s="245">
        <v>0</v>
      </c>
      <c r="N37" s="245">
        <v>0</v>
      </c>
    </row>
    <row r="38" spans="1:14" ht="9" customHeight="1">
      <c r="A38" s="449" t="s">
        <v>330</v>
      </c>
      <c r="B38" s="476"/>
      <c r="C38" s="476"/>
      <c r="D38" s="476"/>
      <c r="E38" s="476"/>
      <c r="F38" s="235"/>
    </row>
    <row r="39" spans="1:14" ht="9" customHeight="1">
      <c r="A39" s="449" t="s">
        <v>304</v>
      </c>
      <c r="B39" s="476"/>
      <c r="C39" s="476"/>
      <c r="D39" s="476"/>
      <c r="E39" s="476"/>
      <c r="F39" s="235"/>
    </row>
    <row r="40" spans="1:14" ht="9" customHeight="1">
      <c r="A40" s="451" t="s">
        <v>303</v>
      </c>
      <c r="B40" s="476"/>
      <c r="C40" s="476"/>
      <c r="D40" s="476"/>
      <c r="E40" s="476"/>
      <c r="F40" s="235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Hoja72">
    <tabColor theme="9" tint="0.59999389629810485"/>
  </sheetPr>
  <dimension ref="A4:O54"/>
  <sheetViews>
    <sheetView showGridLines="0" zoomScaleNormal="100" workbookViewId="0">
      <selection activeCell="N37" sqref="N37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15" width="8" style="121" customWidth="1"/>
    <col min="16" max="16384" width="7" style="121"/>
  </cols>
  <sheetData>
    <row r="4" spans="1:15" ht="13" customHeight="1">
      <c r="A4" s="229" t="s">
        <v>589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</row>
    <row r="5" spans="1:15" ht="12" customHeight="1">
      <c r="A5" s="233" t="s">
        <v>211</v>
      </c>
      <c r="B5" s="226"/>
      <c r="C5" s="844"/>
      <c r="D5" s="844"/>
      <c r="E5" s="844"/>
      <c r="F5" s="844"/>
      <c r="G5" s="844"/>
      <c r="H5" s="844"/>
      <c r="I5" s="844"/>
      <c r="J5" s="844"/>
      <c r="K5" s="844"/>
      <c r="L5" s="844"/>
      <c r="M5" s="844"/>
      <c r="N5" s="844"/>
      <c r="O5" s="842"/>
    </row>
    <row r="6" spans="1:15" ht="6" customHeight="1" thickBot="1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spans="1:15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15" ht="18" customHeight="1">
      <c r="A8" s="647" t="s">
        <v>87</v>
      </c>
      <c r="B8" s="664">
        <f>(B9+B10+B11+B12+B13+B17+B18+B19+B20+B21+B22+B23+B24+B25+B26+B27+B28+B29+B32+B33+B34+B35+B36+B37)</f>
        <v>27770627.08333334</v>
      </c>
      <c r="C8" s="665">
        <f>(C9+C10+C11+C12+C13+C17+C18+C19+C20+C21+C22+C23+C24+C25+C26+C27+C28+C29+C32+C33+C34+C35+C36+C37)</f>
        <v>28029623</v>
      </c>
      <c r="D8" s="665">
        <f>(D9+D10+D11+D12+D13+D17+D18+D19+D20+D21+D22+D23+D24+D25+D26+D27+D28+D29+D32+D33+D34+D35+D36+D37)</f>
        <v>28136083</v>
      </c>
      <c r="E8" s="665">
        <f t="shared" ref="E8:N8" si="0">(E9+E10+E11+E12+E13+E17+E18+E19+E20+E21+E22+E23+E24+E25+E26+E27+E28+E29+E32+E33+E34+E35+E36+E37)</f>
        <v>28057882</v>
      </c>
      <c r="F8" s="665">
        <f t="shared" si="0"/>
        <v>28137449</v>
      </c>
      <c r="G8" s="665">
        <f t="shared" si="0"/>
        <v>27751823</v>
      </c>
      <c r="H8" s="665">
        <f t="shared" si="0"/>
        <v>27795964</v>
      </c>
      <c r="I8" s="665">
        <f t="shared" si="0"/>
        <v>27575150</v>
      </c>
      <c r="J8" s="665">
        <f t="shared" si="0"/>
        <v>27595192</v>
      </c>
      <c r="K8" s="665">
        <f t="shared" si="0"/>
        <v>27653263</v>
      </c>
      <c r="L8" s="665">
        <f t="shared" si="0"/>
        <v>27622964</v>
      </c>
      <c r="M8" s="665">
        <f t="shared" si="0"/>
        <v>27443700</v>
      </c>
      <c r="N8" s="665">
        <f t="shared" si="0"/>
        <v>27448432</v>
      </c>
    </row>
    <row r="9" spans="1:15" ht="16" customHeight="1">
      <c r="A9" s="143" t="s">
        <v>19</v>
      </c>
      <c r="B9" s="666">
        <f t="shared" ref="B9:B37" si="1">AVERAGE(C9:N9)</f>
        <v>6954.583333333333</v>
      </c>
      <c r="C9" s="138">
        <v>6049</v>
      </c>
      <c r="D9" s="138">
        <v>6601</v>
      </c>
      <c r="E9" s="138">
        <v>6656</v>
      </c>
      <c r="F9" s="138">
        <v>6764</v>
      </c>
      <c r="G9" s="138">
        <v>6603</v>
      </c>
      <c r="H9" s="138">
        <v>6952</v>
      </c>
      <c r="I9" s="138">
        <v>6846</v>
      </c>
      <c r="J9" s="138">
        <v>7806</v>
      </c>
      <c r="K9" s="138">
        <v>7939</v>
      </c>
      <c r="L9" s="138">
        <v>7939</v>
      </c>
      <c r="M9" s="138">
        <v>6262</v>
      </c>
      <c r="N9" s="138">
        <v>7038</v>
      </c>
      <c r="O9" s="149"/>
    </row>
    <row r="10" spans="1:15" ht="16" customHeight="1">
      <c r="A10" s="143" t="s">
        <v>20</v>
      </c>
      <c r="B10" s="666">
        <f t="shared" si="1"/>
        <v>340578.16666666669</v>
      </c>
      <c r="C10" s="138">
        <v>330365</v>
      </c>
      <c r="D10" s="138">
        <v>341196</v>
      </c>
      <c r="E10" s="138">
        <v>312247</v>
      </c>
      <c r="F10" s="138">
        <v>319506</v>
      </c>
      <c r="G10" s="138">
        <v>318067</v>
      </c>
      <c r="H10" s="138">
        <v>315453</v>
      </c>
      <c r="I10" s="138">
        <v>316660</v>
      </c>
      <c r="J10" s="138">
        <v>386660</v>
      </c>
      <c r="K10" s="138">
        <v>316914</v>
      </c>
      <c r="L10" s="138">
        <v>365806</v>
      </c>
      <c r="M10" s="138">
        <v>382318</v>
      </c>
      <c r="N10" s="138">
        <v>381746</v>
      </c>
    </row>
    <row r="11" spans="1:15" ht="16" customHeight="1">
      <c r="A11" s="143" t="s">
        <v>21</v>
      </c>
      <c r="B11" s="666">
        <f t="shared" si="1"/>
        <v>433925.25</v>
      </c>
      <c r="C11" s="138">
        <v>465865</v>
      </c>
      <c r="D11" s="138">
        <v>456367</v>
      </c>
      <c r="E11" s="138">
        <v>466259</v>
      </c>
      <c r="F11" s="138">
        <v>449993</v>
      </c>
      <c r="G11" s="138">
        <v>458255</v>
      </c>
      <c r="H11" s="138">
        <v>464536</v>
      </c>
      <c r="I11" s="138">
        <v>439647</v>
      </c>
      <c r="J11" s="138">
        <v>419647</v>
      </c>
      <c r="K11" s="138">
        <v>420705</v>
      </c>
      <c r="L11" s="138">
        <v>400806</v>
      </c>
      <c r="M11" s="138">
        <v>372062</v>
      </c>
      <c r="N11" s="138">
        <v>392961</v>
      </c>
    </row>
    <row r="12" spans="1:15" ht="16" customHeight="1">
      <c r="A12" s="121" t="s">
        <v>22</v>
      </c>
      <c r="B12" s="666">
        <f t="shared" si="1"/>
        <v>4660313.416666667</v>
      </c>
      <c r="C12" s="138">
        <v>4697183</v>
      </c>
      <c r="D12" s="138">
        <v>4669344</v>
      </c>
      <c r="E12" s="138">
        <v>4666660</v>
      </c>
      <c r="F12" s="138">
        <v>4673083</v>
      </c>
      <c r="G12" s="138">
        <v>4612830</v>
      </c>
      <c r="H12" s="138">
        <v>4647415</v>
      </c>
      <c r="I12" s="138">
        <v>4643066</v>
      </c>
      <c r="J12" s="138">
        <v>4603066</v>
      </c>
      <c r="K12" s="138">
        <v>4640134</v>
      </c>
      <c r="L12" s="138">
        <v>4648561</v>
      </c>
      <c r="M12" s="138">
        <v>4707583</v>
      </c>
      <c r="N12" s="138">
        <v>4714836</v>
      </c>
    </row>
    <row r="13" spans="1:15" ht="16" customHeight="1">
      <c r="A13" s="121" t="s">
        <v>23</v>
      </c>
      <c r="B13" s="666">
        <f t="shared" si="1"/>
        <v>219674.5</v>
      </c>
      <c r="C13" s="138">
        <v>217964</v>
      </c>
      <c r="D13" s="138">
        <v>222000</v>
      </c>
      <c r="E13" s="138">
        <v>223255</v>
      </c>
      <c r="F13" s="138">
        <v>216809</v>
      </c>
      <c r="G13" s="138">
        <v>220174</v>
      </c>
      <c r="H13" s="138">
        <v>219648</v>
      </c>
      <c r="I13" s="138">
        <v>221560</v>
      </c>
      <c r="J13" s="138">
        <v>220778</v>
      </c>
      <c r="K13" s="138">
        <v>220129</v>
      </c>
      <c r="L13" s="138">
        <v>219695</v>
      </c>
      <c r="M13" s="138">
        <v>217005</v>
      </c>
      <c r="N13" s="138">
        <v>217077</v>
      </c>
    </row>
    <row r="14" spans="1:15" ht="16" customHeight="1">
      <c r="A14" s="119" t="s">
        <v>94</v>
      </c>
      <c r="B14" s="666">
        <f t="shared" si="1"/>
        <v>124613.91666666667</v>
      </c>
      <c r="C14" s="138">
        <v>121979</v>
      </c>
      <c r="D14" s="138">
        <v>126993</v>
      </c>
      <c r="E14" s="138">
        <v>128029</v>
      </c>
      <c r="F14" s="138">
        <v>121690</v>
      </c>
      <c r="G14" s="138">
        <v>125806</v>
      </c>
      <c r="H14" s="138">
        <v>124287</v>
      </c>
      <c r="I14" s="138">
        <v>125869</v>
      </c>
      <c r="J14" s="138">
        <v>124869</v>
      </c>
      <c r="K14" s="138">
        <v>124690</v>
      </c>
      <c r="L14" s="138">
        <v>124534</v>
      </c>
      <c r="M14" s="138">
        <v>123620</v>
      </c>
      <c r="N14" s="138">
        <v>123001</v>
      </c>
    </row>
    <row r="15" spans="1:15" ht="16" customHeight="1">
      <c r="A15" s="119" t="s">
        <v>95</v>
      </c>
      <c r="B15" s="666">
        <f t="shared" si="1"/>
        <v>50497.166666666664</v>
      </c>
      <c r="C15" s="138">
        <v>50966</v>
      </c>
      <c r="D15" s="138">
        <v>50737</v>
      </c>
      <c r="E15" s="138">
        <v>50620</v>
      </c>
      <c r="F15" s="138">
        <v>50559</v>
      </c>
      <c r="G15" s="138">
        <v>50072</v>
      </c>
      <c r="H15" s="138">
        <v>50015</v>
      </c>
      <c r="I15" s="138">
        <v>50859</v>
      </c>
      <c r="J15" s="138">
        <v>50361</v>
      </c>
      <c r="K15" s="138">
        <v>50802</v>
      </c>
      <c r="L15" s="138">
        <v>50479</v>
      </c>
      <c r="M15" s="138">
        <v>50003</v>
      </c>
      <c r="N15" s="138">
        <v>50493</v>
      </c>
    </row>
    <row r="16" spans="1:15" ht="16" customHeight="1">
      <c r="A16" s="119" t="s">
        <v>96</v>
      </c>
      <c r="B16" s="666">
        <f t="shared" si="1"/>
        <v>44563.416666666664</v>
      </c>
      <c r="C16" s="138">
        <v>45019</v>
      </c>
      <c r="D16" s="138">
        <v>44270</v>
      </c>
      <c r="E16" s="138">
        <v>44606</v>
      </c>
      <c r="F16" s="138">
        <v>44560</v>
      </c>
      <c r="G16" s="138">
        <v>44296</v>
      </c>
      <c r="H16" s="138">
        <v>45346</v>
      </c>
      <c r="I16" s="138">
        <v>44832</v>
      </c>
      <c r="J16" s="138">
        <v>45548</v>
      </c>
      <c r="K16" s="138">
        <v>44637</v>
      </c>
      <c r="L16" s="138">
        <v>44682</v>
      </c>
      <c r="M16" s="138">
        <v>43382</v>
      </c>
      <c r="N16" s="138">
        <v>43583</v>
      </c>
    </row>
    <row r="17" spans="1:14" ht="16" customHeight="1">
      <c r="A17" s="143" t="s">
        <v>27</v>
      </c>
      <c r="B17" s="666">
        <f t="shared" si="1"/>
        <v>110120.41666666667</v>
      </c>
      <c r="C17" s="138">
        <v>109522</v>
      </c>
      <c r="D17" s="138">
        <v>114088</v>
      </c>
      <c r="E17" s="138">
        <v>114155</v>
      </c>
      <c r="F17" s="138">
        <v>117592</v>
      </c>
      <c r="G17" s="138">
        <v>113410</v>
      </c>
      <c r="H17" s="138">
        <v>114778</v>
      </c>
      <c r="I17" s="138">
        <v>114043</v>
      </c>
      <c r="J17" s="138">
        <v>113043</v>
      </c>
      <c r="K17" s="138">
        <v>104880</v>
      </c>
      <c r="L17" s="138">
        <v>103081</v>
      </c>
      <c r="M17" s="138">
        <v>102205</v>
      </c>
      <c r="N17" s="138">
        <v>100648</v>
      </c>
    </row>
    <row r="18" spans="1:14" ht="16" customHeight="1">
      <c r="A18" s="121" t="s">
        <v>28</v>
      </c>
      <c r="B18" s="666">
        <f t="shared" si="1"/>
        <v>108196.16666666667</v>
      </c>
      <c r="C18" s="138">
        <v>107681</v>
      </c>
      <c r="D18" s="138">
        <v>105978</v>
      </c>
      <c r="E18" s="138">
        <v>105397</v>
      </c>
      <c r="F18" s="138">
        <v>113547</v>
      </c>
      <c r="G18" s="138">
        <v>109196</v>
      </c>
      <c r="H18" s="138">
        <v>109358</v>
      </c>
      <c r="I18" s="138">
        <v>108145</v>
      </c>
      <c r="J18" s="138">
        <v>102145</v>
      </c>
      <c r="K18" s="138">
        <v>108929</v>
      </c>
      <c r="L18" s="138">
        <v>108980</v>
      </c>
      <c r="M18" s="138">
        <v>109934</v>
      </c>
      <c r="N18" s="138">
        <v>109064</v>
      </c>
    </row>
    <row r="19" spans="1:14" ht="16" customHeight="1">
      <c r="A19" s="121" t="s">
        <v>29</v>
      </c>
      <c r="B19" s="666">
        <f t="shared" si="1"/>
        <v>7581837.333333333</v>
      </c>
      <c r="C19" s="138">
        <v>7882031</v>
      </c>
      <c r="D19" s="138">
        <v>7729432</v>
      </c>
      <c r="E19" s="138">
        <v>7684018</v>
      </c>
      <c r="F19" s="138">
        <v>7769681</v>
      </c>
      <c r="G19" s="138">
        <v>7573738</v>
      </c>
      <c r="H19" s="138">
        <v>7502002</v>
      </c>
      <c r="I19" s="138">
        <v>7503350</v>
      </c>
      <c r="J19" s="138">
        <v>7504020</v>
      </c>
      <c r="K19" s="138">
        <v>7613836</v>
      </c>
      <c r="L19" s="138">
        <v>7550156</v>
      </c>
      <c r="M19" s="138">
        <v>7317418</v>
      </c>
      <c r="N19" s="138">
        <v>7352366</v>
      </c>
    </row>
    <row r="20" spans="1:14" ht="16" customHeight="1">
      <c r="A20" s="143" t="s">
        <v>30</v>
      </c>
      <c r="B20" s="666">
        <f t="shared" si="1"/>
        <v>10857565</v>
      </c>
      <c r="C20" s="138">
        <v>10821395</v>
      </c>
      <c r="D20" s="138">
        <v>11139663</v>
      </c>
      <c r="E20" s="138">
        <v>11039380</v>
      </c>
      <c r="F20" s="138">
        <v>10961976</v>
      </c>
      <c r="G20" s="138">
        <v>10860113</v>
      </c>
      <c r="H20" s="138">
        <v>10959170</v>
      </c>
      <c r="I20" s="138">
        <v>10745370</v>
      </c>
      <c r="J20" s="138">
        <v>10739956</v>
      </c>
      <c r="K20" s="138">
        <v>10723757</v>
      </c>
      <c r="L20" s="138">
        <v>10777827</v>
      </c>
      <c r="M20" s="138">
        <v>10790781</v>
      </c>
      <c r="N20" s="138">
        <v>10731392</v>
      </c>
    </row>
    <row r="21" spans="1:14" ht="16" customHeight="1">
      <c r="A21" s="143" t="s">
        <v>31</v>
      </c>
      <c r="B21" s="666">
        <f t="shared" si="1"/>
        <v>103949.66666666667</v>
      </c>
      <c r="C21" s="138">
        <v>105229</v>
      </c>
      <c r="D21" s="138">
        <v>102758</v>
      </c>
      <c r="E21" s="138">
        <v>101073</v>
      </c>
      <c r="F21" s="138">
        <v>102166</v>
      </c>
      <c r="G21" s="138">
        <v>102687</v>
      </c>
      <c r="H21" s="138">
        <v>104381</v>
      </c>
      <c r="I21" s="138">
        <v>103821</v>
      </c>
      <c r="J21" s="138">
        <v>104069</v>
      </c>
      <c r="K21" s="138">
        <v>105713</v>
      </c>
      <c r="L21" s="138">
        <v>107522</v>
      </c>
      <c r="M21" s="138">
        <v>103881</v>
      </c>
      <c r="N21" s="138">
        <v>104096</v>
      </c>
    </row>
    <row r="22" spans="1:14" ht="16" customHeight="1">
      <c r="A22" s="143" t="s">
        <v>32</v>
      </c>
      <c r="B22" s="666">
        <f t="shared" si="1"/>
        <v>12789.416666666666</v>
      </c>
      <c r="C22" s="138">
        <v>12953</v>
      </c>
      <c r="D22" s="138">
        <v>12515</v>
      </c>
      <c r="E22" s="138">
        <v>12994</v>
      </c>
      <c r="F22" s="138">
        <v>12949</v>
      </c>
      <c r="G22" s="138">
        <v>12902</v>
      </c>
      <c r="H22" s="138">
        <v>12190</v>
      </c>
      <c r="I22" s="138">
        <v>13160</v>
      </c>
      <c r="J22" s="138">
        <v>13708</v>
      </c>
      <c r="K22" s="138">
        <v>12089</v>
      </c>
      <c r="L22" s="138">
        <v>12140</v>
      </c>
      <c r="M22" s="138">
        <v>12859</v>
      </c>
      <c r="N22" s="138">
        <v>13014</v>
      </c>
    </row>
    <row r="23" spans="1:14" ht="16" customHeight="1">
      <c r="A23" s="143" t="s">
        <v>33</v>
      </c>
      <c r="B23" s="666">
        <f t="shared" si="1"/>
        <v>100344</v>
      </c>
      <c r="C23" s="138">
        <v>107045</v>
      </c>
      <c r="D23" s="138">
        <v>104604</v>
      </c>
      <c r="E23" s="138">
        <v>104472</v>
      </c>
      <c r="F23" s="138">
        <v>103079</v>
      </c>
      <c r="G23" s="138">
        <v>103061</v>
      </c>
      <c r="H23" s="138">
        <v>103587</v>
      </c>
      <c r="I23" s="138">
        <v>102646</v>
      </c>
      <c r="J23" s="138">
        <v>100646</v>
      </c>
      <c r="K23" s="138">
        <v>98743</v>
      </c>
      <c r="L23" s="138">
        <v>91858</v>
      </c>
      <c r="M23" s="138">
        <v>92037</v>
      </c>
      <c r="N23" s="138">
        <v>92350</v>
      </c>
    </row>
    <row r="24" spans="1:14" ht="16" customHeight="1">
      <c r="A24" s="143" t="s">
        <v>34</v>
      </c>
      <c r="B24" s="666">
        <f t="shared" si="1"/>
        <v>51603.5</v>
      </c>
      <c r="C24" s="138">
        <v>51524</v>
      </c>
      <c r="D24" s="138">
        <v>51821</v>
      </c>
      <c r="E24" s="138">
        <v>51966</v>
      </c>
      <c r="F24" s="138">
        <v>51851</v>
      </c>
      <c r="G24" s="138">
        <v>51723</v>
      </c>
      <c r="H24" s="138">
        <v>51923</v>
      </c>
      <c r="I24" s="138">
        <v>51242</v>
      </c>
      <c r="J24" s="138">
        <v>51242</v>
      </c>
      <c r="K24" s="138">
        <v>51595</v>
      </c>
      <c r="L24" s="138">
        <v>51800</v>
      </c>
      <c r="M24" s="138">
        <v>51231</v>
      </c>
      <c r="N24" s="138">
        <v>51324</v>
      </c>
    </row>
    <row r="25" spans="1:14" ht="16" customHeight="1">
      <c r="A25" s="121" t="s">
        <v>35</v>
      </c>
      <c r="B25" s="666">
        <f t="shared" si="1"/>
        <v>1083705.4166666667</v>
      </c>
      <c r="C25" s="138">
        <v>1090142</v>
      </c>
      <c r="D25" s="138">
        <v>1065433</v>
      </c>
      <c r="E25" s="138">
        <v>1064929</v>
      </c>
      <c r="F25" s="138">
        <v>1098955</v>
      </c>
      <c r="G25" s="138">
        <v>1090776</v>
      </c>
      <c r="H25" s="138">
        <v>1099678</v>
      </c>
      <c r="I25" s="138">
        <v>1085142</v>
      </c>
      <c r="J25" s="138">
        <v>1089367</v>
      </c>
      <c r="K25" s="138">
        <v>1069829</v>
      </c>
      <c r="L25" s="138">
        <v>1060377</v>
      </c>
      <c r="M25" s="138">
        <v>1087307</v>
      </c>
      <c r="N25" s="138">
        <v>1102530</v>
      </c>
    </row>
    <row r="26" spans="1:14" ht="16" customHeight="1">
      <c r="A26" s="143" t="s">
        <v>36</v>
      </c>
      <c r="B26" s="666">
        <f t="shared" si="1"/>
        <v>18489.416666666668</v>
      </c>
      <c r="C26" s="138">
        <v>17728</v>
      </c>
      <c r="D26" s="138">
        <v>18076</v>
      </c>
      <c r="E26" s="138">
        <v>18049</v>
      </c>
      <c r="F26" s="138">
        <v>17080</v>
      </c>
      <c r="G26" s="138">
        <v>18586</v>
      </c>
      <c r="H26" s="138">
        <v>18204</v>
      </c>
      <c r="I26" s="138">
        <v>18065</v>
      </c>
      <c r="J26" s="138">
        <v>18065</v>
      </c>
      <c r="K26" s="138">
        <v>19566</v>
      </c>
      <c r="L26" s="138">
        <v>20174</v>
      </c>
      <c r="M26" s="138">
        <v>19386</v>
      </c>
      <c r="N26" s="138">
        <v>18894</v>
      </c>
    </row>
    <row r="27" spans="1:14" ht="16" customHeight="1">
      <c r="A27" s="143" t="s">
        <v>37</v>
      </c>
      <c r="B27" s="666">
        <f t="shared" si="1"/>
        <v>299719.66666666669</v>
      </c>
      <c r="C27" s="138">
        <v>285569</v>
      </c>
      <c r="D27" s="138">
        <v>283643</v>
      </c>
      <c r="E27" s="138">
        <v>305987</v>
      </c>
      <c r="F27" s="138">
        <v>321084</v>
      </c>
      <c r="G27" s="138">
        <v>304034</v>
      </c>
      <c r="H27" s="138">
        <v>305376</v>
      </c>
      <c r="I27" s="138">
        <v>306678</v>
      </c>
      <c r="J27" s="138">
        <v>308678</v>
      </c>
      <c r="K27" s="138">
        <v>302465</v>
      </c>
      <c r="L27" s="138">
        <v>305133</v>
      </c>
      <c r="M27" s="138">
        <v>295238</v>
      </c>
      <c r="N27" s="138">
        <v>272751</v>
      </c>
    </row>
    <row r="28" spans="1:14" ht="16" customHeight="1">
      <c r="A28" s="143" t="s">
        <v>38</v>
      </c>
      <c r="B28" s="666">
        <f t="shared" si="1"/>
        <v>68655.333333333328</v>
      </c>
      <c r="C28" s="138">
        <v>47142</v>
      </c>
      <c r="D28" s="138">
        <v>45115</v>
      </c>
      <c r="E28" s="138">
        <v>66427</v>
      </c>
      <c r="F28" s="138">
        <v>79975</v>
      </c>
      <c r="G28" s="138">
        <v>89140</v>
      </c>
      <c r="H28" s="138">
        <v>88566</v>
      </c>
      <c r="I28" s="138">
        <v>87215</v>
      </c>
      <c r="J28" s="138">
        <v>88215</v>
      </c>
      <c r="K28" s="138">
        <v>55375</v>
      </c>
      <c r="L28" s="138">
        <v>59979</v>
      </c>
      <c r="M28" s="138">
        <v>58459</v>
      </c>
      <c r="N28" s="138">
        <v>58256</v>
      </c>
    </row>
    <row r="29" spans="1:14" ht="16" customHeight="1">
      <c r="A29" s="121" t="s">
        <v>39</v>
      </c>
      <c r="B29" s="666">
        <f t="shared" si="1"/>
        <v>40505</v>
      </c>
      <c r="C29" s="138">
        <v>38910</v>
      </c>
      <c r="D29" s="138">
        <v>43284</v>
      </c>
      <c r="E29" s="138">
        <v>43875</v>
      </c>
      <c r="F29" s="138">
        <v>44865</v>
      </c>
      <c r="G29" s="138">
        <v>44384</v>
      </c>
      <c r="H29" s="138">
        <v>43070</v>
      </c>
      <c r="I29" s="138">
        <v>40254</v>
      </c>
      <c r="J29" s="138">
        <v>39006</v>
      </c>
      <c r="K29" s="138">
        <v>28819</v>
      </c>
      <c r="L29" s="138">
        <v>38418</v>
      </c>
      <c r="M29" s="138">
        <v>40098</v>
      </c>
      <c r="N29" s="138">
        <v>41077</v>
      </c>
    </row>
    <row r="30" spans="1:14" ht="16" customHeight="1">
      <c r="A30" s="119" t="s">
        <v>97</v>
      </c>
      <c r="B30" s="666">
        <f t="shared" si="1"/>
        <v>21404.333333333332</v>
      </c>
      <c r="C30" s="138">
        <v>20891</v>
      </c>
      <c r="D30" s="138">
        <v>23686</v>
      </c>
      <c r="E30" s="138">
        <v>23481</v>
      </c>
      <c r="F30" s="138">
        <v>24429</v>
      </c>
      <c r="G30" s="138">
        <v>24398</v>
      </c>
      <c r="H30" s="138">
        <v>23597</v>
      </c>
      <c r="I30" s="138">
        <v>21924</v>
      </c>
      <c r="J30" s="138">
        <v>21026</v>
      </c>
      <c r="K30" s="138">
        <v>10895</v>
      </c>
      <c r="L30" s="138">
        <v>20136</v>
      </c>
      <c r="M30" s="138">
        <v>20991</v>
      </c>
      <c r="N30" s="138">
        <v>21398</v>
      </c>
    </row>
    <row r="31" spans="1:14" ht="16" customHeight="1">
      <c r="A31" s="119" t="s">
        <v>98</v>
      </c>
      <c r="B31" s="666">
        <f t="shared" si="1"/>
        <v>19100.666666666668</v>
      </c>
      <c r="C31" s="138">
        <v>18019</v>
      </c>
      <c r="D31" s="138">
        <v>19598</v>
      </c>
      <c r="E31" s="138">
        <v>20394</v>
      </c>
      <c r="F31" s="138">
        <v>20436</v>
      </c>
      <c r="G31" s="138">
        <v>19986</v>
      </c>
      <c r="H31" s="138">
        <v>19473</v>
      </c>
      <c r="I31" s="138">
        <v>18330</v>
      </c>
      <c r="J31" s="138">
        <v>17980</v>
      </c>
      <c r="K31" s="138">
        <v>17924</v>
      </c>
      <c r="L31" s="138">
        <v>18282</v>
      </c>
      <c r="M31" s="138">
        <v>19107</v>
      </c>
      <c r="N31" s="138">
        <v>19679</v>
      </c>
    </row>
    <row r="32" spans="1:14" ht="16" customHeight="1">
      <c r="A32" s="143" t="s">
        <v>42</v>
      </c>
      <c r="B32" s="666">
        <f t="shared" si="1"/>
        <v>70173.666666666672</v>
      </c>
      <c r="C32" s="138">
        <v>49043</v>
      </c>
      <c r="D32" s="138">
        <v>49827</v>
      </c>
      <c r="E32" s="138">
        <v>72565</v>
      </c>
      <c r="F32" s="138">
        <v>75100</v>
      </c>
      <c r="G32" s="138">
        <v>84931</v>
      </c>
      <c r="H32" s="138">
        <v>93573</v>
      </c>
      <c r="I32" s="138">
        <v>85911</v>
      </c>
      <c r="J32" s="138">
        <v>81599</v>
      </c>
      <c r="K32" s="138">
        <v>65357</v>
      </c>
      <c r="L32" s="138">
        <v>60683</v>
      </c>
      <c r="M32" s="138">
        <v>62067</v>
      </c>
      <c r="N32" s="138">
        <v>61428</v>
      </c>
    </row>
    <row r="33" spans="1:14" ht="16" customHeight="1">
      <c r="A33" s="143" t="s">
        <v>43</v>
      </c>
      <c r="B33" s="666">
        <f t="shared" si="1"/>
        <v>132646.58333333334</v>
      </c>
      <c r="C33" s="138">
        <v>115464</v>
      </c>
      <c r="D33" s="138">
        <v>112697</v>
      </c>
      <c r="E33" s="138">
        <v>132589</v>
      </c>
      <c r="F33" s="138">
        <v>139792</v>
      </c>
      <c r="G33" s="138">
        <v>138424</v>
      </c>
      <c r="H33" s="138">
        <v>145236</v>
      </c>
      <c r="I33" s="138">
        <v>142124</v>
      </c>
      <c r="J33" s="138">
        <v>136124</v>
      </c>
      <c r="K33" s="138">
        <v>132601</v>
      </c>
      <c r="L33" s="138">
        <v>135275</v>
      </c>
      <c r="M33" s="138">
        <v>130879</v>
      </c>
      <c r="N33" s="138">
        <v>130554</v>
      </c>
    </row>
    <row r="34" spans="1:14" ht="16" customHeight="1">
      <c r="A34" s="121" t="s">
        <v>44</v>
      </c>
      <c r="B34" s="666">
        <f t="shared" si="1"/>
        <v>823429.75</v>
      </c>
      <c r="C34" s="138">
        <v>812263</v>
      </c>
      <c r="D34" s="138">
        <v>799271</v>
      </c>
      <c r="E34" s="138">
        <v>814010</v>
      </c>
      <c r="F34" s="138">
        <v>820562</v>
      </c>
      <c r="G34" s="138">
        <v>799020</v>
      </c>
      <c r="H34" s="138">
        <v>750294</v>
      </c>
      <c r="I34" s="138">
        <v>798766</v>
      </c>
      <c r="J34" s="138">
        <v>808766</v>
      </c>
      <c r="K34" s="138">
        <v>870752</v>
      </c>
      <c r="L34" s="138">
        <v>860412</v>
      </c>
      <c r="M34" s="138">
        <v>870689</v>
      </c>
      <c r="N34" s="138">
        <v>876352</v>
      </c>
    </row>
    <row r="35" spans="1:14" ht="16" customHeight="1">
      <c r="A35" s="121" t="s">
        <v>45</v>
      </c>
      <c r="B35" s="666">
        <f t="shared" si="1"/>
        <v>263922.75</v>
      </c>
      <c r="C35" s="138">
        <v>285716</v>
      </c>
      <c r="D35" s="138">
        <v>283586</v>
      </c>
      <c r="E35" s="138">
        <v>271872</v>
      </c>
      <c r="F35" s="138">
        <v>250701</v>
      </c>
      <c r="G35" s="138">
        <v>256919</v>
      </c>
      <c r="H35" s="138">
        <v>245365</v>
      </c>
      <c r="I35" s="138">
        <v>249664</v>
      </c>
      <c r="J35" s="138">
        <v>258664</v>
      </c>
      <c r="K35" s="138">
        <v>260285</v>
      </c>
      <c r="L35" s="138">
        <v>264929</v>
      </c>
      <c r="M35" s="138">
        <v>265318</v>
      </c>
      <c r="N35" s="138">
        <v>274054</v>
      </c>
    </row>
    <row r="36" spans="1:14" ht="16" customHeight="1">
      <c r="A36" s="121" t="s">
        <v>46</v>
      </c>
      <c r="B36" s="666">
        <f t="shared" si="1"/>
        <v>199768.75</v>
      </c>
      <c r="C36" s="138">
        <v>201875</v>
      </c>
      <c r="D36" s="138">
        <v>205242</v>
      </c>
      <c r="E36" s="138">
        <v>199235</v>
      </c>
      <c r="F36" s="138">
        <v>200370</v>
      </c>
      <c r="G36" s="138">
        <v>195799</v>
      </c>
      <c r="H36" s="138">
        <v>196245</v>
      </c>
      <c r="I36" s="138">
        <v>205200</v>
      </c>
      <c r="J36" s="138">
        <v>200347</v>
      </c>
      <c r="K36" s="138">
        <v>223896</v>
      </c>
      <c r="L36" s="138">
        <v>205079</v>
      </c>
      <c r="M36" s="138">
        <v>179808</v>
      </c>
      <c r="N36" s="138">
        <v>184129</v>
      </c>
    </row>
    <row r="37" spans="1:14" ht="16" customHeight="1" thickBot="1">
      <c r="A37" s="145" t="s">
        <v>47</v>
      </c>
      <c r="B37" s="667">
        <f t="shared" si="1"/>
        <v>181759.33333333334</v>
      </c>
      <c r="C37" s="148">
        <v>170965</v>
      </c>
      <c r="D37" s="148">
        <v>173542</v>
      </c>
      <c r="E37" s="148">
        <v>179812</v>
      </c>
      <c r="F37" s="148">
        <v>189969</v>
      </c>
      <c r="G37" s="148">
        <v>187051</v>
      </c>
      <c r="H37" s="148">
        <v>198964</v>
      </c>
      <c r="I37" s="148">
        <v>186575</v>
      </c>
      <c r="J37" s="148">
        <v>199575</v>
      </c>
      <c r="K37" s="148">
        <v>198955</v>
      </c>
      <c r="L37" s="148">
        <v>166334</v>
      </c>
      <c r="M37" s="148">
        <v>168875</v>
      </c>
      <c r="N37" s="148">
        <v>160495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Hoja73">
    <tabColor theme="9" tint="0.59999389629810485"/>
  </sheetPr>
  <dimension ref="A4:P54"/>
  <sheetViews>
    <sheetView showGridLines="0" zoomScaleNormal="100" workbookViewId="0">
      <selection activeCell="D26" sqref="D26"/>
    </sheetView>
  </sheetViews>
  <sheetFormatPr baseColWidth="10" defaultColWidth="7" defaultRowHeight="13.25" customHeight="1"/>
  <cols>
    <col min="1" max="1" width="12" style="121" customWidth="1"/>
    <col min="2" max="2" width="12" style="126" customWidth="1"/>
    <col min="3" max="14" width="9.19921875" style="126" customWidth="1"/>
    <col min="15" max="21" width="8" style="121" customWidth="1"/>
    <col min="22" max="16384" width="7" style="121"/>
  </cols>
  <sheetData>
    <row r="4" spans="1:16" ht="13" customHeight="1">
      <c r="A4" s="229" t="s">
        <v>590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3" t="s">
        <v>210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2"/>
      <c r="P5" s="842"/>
    </row>
    <row r="6" spans="1:16" ht="6" customHeight="1" thickBot="1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spans="1:16" ht="18" customHeight="1">
      <c r="A7" s="738" t="s">
        <v>16</v>
      </c>
      <c r="B7" s="742" t="s">
        <v>103</v>
      </c>
      <c r="C7" s="743" t="s">
        <v>53</v>
      </c>
      <c r="D7" s="743" t="s">
        <v>54</v>
      </c>
      <c r="E7" s="743" t="s">
        <v>55</v>
      </c>
      <c r="F7" s="743" t="s">
        <v>56</v>
      </c>
      <c r="G7" s="743" t="s">
        <v>57</v>
      </c>
      <c r="H7" s="743" t="s">
        <v>58</v>
      </c>
      <c r="I7" s="743" t="s">
        <v>59</v>
      </c>
      <c r="J7" s="743" t="s">
        <v>60</v>
      </c>
      <c r="K7" s="743" t="s">
        <v>61</v>
      </c>
      <c r="L7" s="743" t="s">
        <v>62</v>
      </c>
      <c r="M7" s="743" t="s">
        <v>63</v>
      </c>
      <c r="N7" s="743" t="s">
        <v>64</v>
      </c>
    </row>
    <row r="8" spans="1:16" ht="18" customHeight="1">
      <c r="A8" s="647" t="s">
        <v>87</v>
      </c>
      <c r="B8" s="648">
        <f t="shared" ref="B8:B37" si="0">SUM(C8:N8)</f>
        <v>508591.81465513736</v>
      </c>
      <c r="C8" s="648">
        <f t="shared" ref="C8:N8" si="1">(C9+C10+C11+C12+C13+C17++C18+C19+C20+C21+C22+C23+C24+C25+C26+C27+C28+C29+C32+C33+C34+C35+C36+C37)</f>
        <v>42476.779790499997</v>
      </c>
      <c r="D8" s="648">
        <f t="shared" si="1"/>
        <v>41940.477799999993</v>
      </c>
      <c r="E8" s="648">
        <f t="shared" si="1"/>
        <v>42001.227616050397</v>
      </c>
      <c r="F8" s="648">
        <f t="shared" si="1"/>
        <v>41643.885800000018</v>
      </c>
      <c r="G8" s="648">
        <f t="shared" si="1"/>
        <v>42712.702700000002</v>
      </c>
      <c r="H8" s="648">
        <f t="shared" si="1"/>
        <v>42335.928000000007</v>
      </c>
      <c r="I8" s="648">
        <f t="shared" si="1"/>
        <v>42329.661000000015</v>
      </c>
      <c r="J8" s="648">
        <f t="shared" si="1"/>
        <v>42920.089900000014</v>
      </c>
      <c r="K8" s="648">
        <f t="shared" si="1"/>
        <v>42314.230099999986</v>
      </c>
      <c r="L8" s="648">
        <f t="shared" si="1"/>
        <v>42557.230835317088</v>
      </c>
      <c r="M8" s="648">
        <f t="shared" si="1"/>
        <v>42517.345977196805</v>
      </c>
      <c r="N8" s="648">
        <f t="shared" si="1"/>
        <v>42842.255136072992</v>
      </c>
    </row>
    <row r="9" spans="1:16" ht="16" customHeight="1">
      <c r="A9" s="143" t="s">
        <v>19</v>
      </c>
      <c r="B9" s="642">
        <f t="shared" si="0"/>
        <v>89.338256279999996</v>
      </c>
      <c r="C9" s="238">
        <v>6.859</v>
      </c>
      <c r="D9" s="238">
        <v>5.8148</v>
      </c>
      <c r="E9" s="238">
        <v>6.0986000000000002</v>
      </c>
      <c r="F9" s="238">
        <v>6.3710000000000004</v>
      </c>
      <c r="G9" s="238">
        <v>6.7619999999999996</v>
      </c>
      <c r="H9" s="238">
        <v>9.4429999999999996</v>
      </c>
      <c r="I9" s="238">
        <v>7.976</v>
      </c>
      <c r="J9" s="238">
        <v>7.8979999999999997</v>
      </c>
      <c r="K9" s="238">
        <v>8.2769999999999992</v>
      </c>
      <c r="L9" s="238">
        <v>8.2518562800000002</v>
      </c>
      <c r="M9" s="238">
        <v>7.4189999999999996</v>
      </c>
      <c r="N9" s="238">
        <v>8.1679999999999993</v>
      </c>
      <c r="O9" s="149"/>
    </row>
    <row r="10" spans="1:16" ht="16" customHeight="1">
      <c r="A10" s="143" t="s">
        <v>20</v>
      </c>
      <c r="B10" s="642">
        <f t="shared" si="0"/>
        <v>4570.9358091580007</v>
      </c>
      <c r="C10" s="238">
        <v>426.02699999999999</v>
      </c>
      <c r="D10" s="238">
        <v>400.904</v>
      </c>
      <c r="E10" s="238">
        <v>358.428</v>
      </c>
      <c r="F10" s="238">
        <v>327.94200000000001</v>
      </c>
      <c r="G10" s="238">
        <v>323.459</v>
      </c>
      <c r="H10" s="238">
        <v>320.56099999999998</v>
      </c>
      <c r="I10" s="238">
        <v>345.33600000000001</v>
      </c>
      <c r="J10" s="238">
        <v>508.33600000000001</v>
      </c>
      <c r="K10" s="238">
        <v>361.33600000000001</v>
      </c>
      <c r="L10" s="238">
        <v>385.57780915799998</v>
      </c>
      <c r="M10" s="238">
        <v>421.608</v>
      </c>
      <c r="N10" s="238">
        <v>391.42099999999999</v>
      </c>
    </row>
    <row r="11" spans="1:16" ht="16" customHeight="1">
      <c r="A11" s="143" t="s">
        <v>21</v>
      </c>
      <c r="B11" s="642">
        <f t="shared" si="0"/>
        <v>6868.3293878559998</v>
      </c>
      <c r="C11" s="238">
        <v>594.149</v>
      </c>
      <c r="D11" s="238">
        <v>585.31799999999998</v>
      </c>
      <c r="E11" s="238">
        <v>576.67656035799996</v>
      </c>
      <c r="F11" s="238">
        <v>541.93799999999999</v>
      </c>
      <c r="G11" s="238">
        <v>558.52099999999996</v>
      </c>
      <c r="H11" s="238">
        <v>597.94299999999998</v>
      </c>
      <c r="I11" s="238">
        <v>563.68600000000004</v>
      </c>
      <c r="J11" s="238">
        <v>533.68600000000004</v>
      </c>
      <c r="K11" s="238">
        <v>545.68600000000004</v>
      </c>
      <c r="L11" s="238">
        <v>566.00782749799998</v>
      </c>
      <c r="M11" s="238">
        <v>548.73699999999997</v>
      </c>
      <c r="N11" s="238">
        <v>655.98099999999999</v>
      </c>
    </row>
    <row r="12" spans="1:16" ht="16" customHeight="1">
      <c r="A12" s="121" t="s">
        <v>22</v>
      </c>
      <c r="B12" s="642">
        <f t="shared" si="0"/>
        <v>84400.651025231986</v>
      </c>
      <c r="C12" s="238">
        <v>6990.4340000000002</v>
      </c>
      <c r="D12" s="238">
        <v>6826.2790000000005</v>
      </c>
      <c r="E12" s="238">
        <v>6752.9647975939997</v>
      </c>
      <c r="F12" s="238">
        <v>6493.4250000000002</v>
      </c>
      <c r="G12" s="238">
        <v>6874.3909999999996</v>
      </c>
      <c r="H12" s="238">
        <v>6821.9790000000003</v>
      </c>
      <c r="I12" s="238">
        <v>6736.085</v>
      </c>
      <c r="J12" s="238">
        <v>7186.085</v>
      </c>
      <c r="K12" s="238">
        <v>6896.085</v>
      </c>
      <c r="L12" s="238">
        <v>7220.0302276379998</v>
      </c>
      <c r="M12" s="238">
        <v>7713.3890000000001</v>
      </c>
      <c r="N12" s="238">
        <v>7889.5039999999999</v>
      </c>
    </row>
    <row r="13" spans="1:16" ht="16" customHeight="1">
      <c r="A13" s="121" t="s">
        <v>23</v>
      </c>
      <c r="B13" s="642">
        <f t="shared" si="0"/>
        <v>2004.3168682084001</v>
      </c>
      <c r="C13" s="238">
        <v>161.66999999999999</v>
      </c>
      <c r="D13" s="238">
        <v>154.18199999999999</v>
      </c>
      <c r="E13" s="238">
        <v>164.36616310440002</v>
      </c>
      <c r="F13" s="238">
        <v>167.471</v>
      </c>
      <c r="G13" s="238">
        <v>181.697</v>
      </c>
      <c r="H13" s="238">
        <v>181.39599999999999</v>
      </c>
      <c r="I13" s="238">
        <v>170.08600000000001</v>
      </c>
      <c r="J13" s="238">
        <v>162.64509999999999</v>
      </c>
      <c r="K13" s="238">
        <v>169.29399999999998</v>
      </c>
      <c r="L13" s="238">
        <v>166.152605104</v>
      </c>
      <c r="M13" s="238">
        <v>160.60999999999999</v>
      </c>
      <c r="N13" s="238">
        <v>164.74700000000001</v>
      </c>
    </row>
    <row r="14" spans="1:16" ht="16" customHeight="1">
      <c r="A14" s="119" t="s">
        <v>94</v>
      </c>
      <c r="B14" s="642">
        <f t="shared" si="0"/>
        <v>1105.7848050899997</v>
      </c>
      <c r="C14" s="238">
        <v>87.760999999999996</v>
      </c>
      <c r="D14" s="238">
        <v>83.802999999999997</v>
      </c>
      <c r="E14" s="238">
        <v>85.013000000000005</v>
      </c>
      <c r="F14" s="238">
        <v>90.641999999999996</v>
      </c>
      <c r="G14" s="238">
        <v>101.133</v>
      </c>
      <c r="H14" s="238">
        <v>102.43300000000001</v>
      </c>
      <c r="I14" s="238">
        <v>88.521000000000001</v>
      </c>
      <c r="J14" s="238">
        <v>80.521000000000001</v>
      </c>
      <c r="K14" s="238">
        <v>95.786000000000001</v>
      </c>
      <c r="L14" s="238">
        <v>95.171805090000007</v>
      </c>
      <c r="M14" s="238">
        <v>95.721999999999994</v>
      </c>
      <c r="N14" s="238">
        <v>99.278000000000006</v>
      </c>
    </row>
    <row r="15" spans="1:16" ht="16" customHeight="1">
      <c r="A15" s="119" t="s">
        <v>95</v>
      </c>
      <c r="B15" s="642">
        <f t="shared" si="0"/>
        <v>540.65530000000001</v>
      </c>
      <c r="C15" s="238">
        <v>34.926000000000002</v>
      </c>
      <c r="D15" s="238">
        <v>38.404000000000003</v>
      </c>
      <c r="E15" s="238">
        <v>45.015300000000003</v>
      </c>
      <c r="F15" s="238">
        <v>47.514000000000003</v>
      </c>
      <c r="G15" s="238">
        <v>52.997</v>
      </c>
      <c r="H15" s="238">
        <v>51.040999999999997</v>
      </c>
      <c r="I15" s="238">
        <v>53.430999999999997</v>
      </c>
      <c r="J15" s="238">
        <v>51.994999999999997</v>
      </c>
      <c r="K15" s="238">
        <v>45.183</v>
      </c>
      <c r="L15" s="238">
        <v>43.057000000000002</v>
      </c>
      <c r="M15" s="238">
        <v>38.819000000000003</v>
      </c>
      <c r="N15" s="238">
        <v>38.273000000000003</v>
      </c>
    </row>
    <row r="16" spans="1:16" ht="16" customHeight="1">
      <c r="A16" s="119" t="s">
        <v>96</v>
      </c>
      <c r="B16" s="642">
        <f t="shared" si="0"/>
        <v>357.87676311840005</v>
      </c>
      <c r="C16" s="238">
        <v>38.982999999999997</v>
      </c>
      <c r="D16" s="238">
        <v>31.975000000000001</v>
      </c>
      <c r="E16" s="238">
        <v>34.3378631044</v>
      </c>
      <c r="F16" s="238">
        <v>29.315000000000001</v>
      </c>
      <c r="G16" s="238">
        <v>27.567</v>
      </c>
      <c r="H16" s="238">
        <v>27.922000000000001</v>
      </c>
      <c r="I16" s="238">
        <v>28.134</v>
      </c>
      <c r="J16" s="238">
        <v>30.129100000000001</v>
      </c>
      <c r="K16" s="238">
        <v>28.324999999999999</v>
      </c>
      <c r="L16" s="238">
        <v>27.923800014000001</v>
      </c>
      <c r="M16" s="238">
        <v>26.068999999999999</v>
      </c>
      <c r="N16" s="238">
        <v>27.196000000000002</v>
      </c>
    </row>
    <row r="17" spans="1:14" ht="16" customHeight="1">
      <c r="A17" s="143" t="s">
        <v>27</v>
      </c>
      <c r="B17" s="642">
        <f t="shared" si="0"/>
        <v>1250.4236532780001</v>
      </c>
      <c r="C17" s="238">
        <v>132.423</v>
      </c>
      <c r="D17" s="238">
        <v>131.68799999999999</v>
      </c>
      <c r="E17" s="238">
        <v>132.04499999999999</v>
      </c>
      <c r="F17" s="238">
        <v>125.491</v>
      </c>
      <c r="G17" s="238">
        <v>129.786</v>
      </c>
      <c r="H17" s="238">
        <v>127.482</v>
      </c>
      <c r="I17" s="238">
        <v>127.21899999999999</v>
      </c>
      <c r="J17" s="238">
        <v>93.218999999999994</v>
      </c>
      <c r="K17" s="238">
        <v>65.241</v>
      </c>
      <c r="L17" s="238">
        <v>65.358653278000006</v>
      </c>
      <c r="M17" s="238">
        <v>64.477999999999994</v>
      </c>
      <c r="N17" s="238">
        <v>55.993000000000002</v>
      </c>
    </row>
    <row r="18" spans="1:14" ht="16" customHeight="1">
      <c r="A18" s="121" t="s">
        <v>28</v>
      </c>
      <c r="B18" s="642">
        <f t="shared" si="0"/>
        <v>1188.7323413660001</v>
      </c>
      <c r="C18" s="238">
        <v>106.197</v>
      </c>
      <c r="D18" s="238">
        <v>102.27500000000001</v>
      </c>
      <c r="E18" s="238">
        <v>97.409284721999995</v>
      </c>
      <c r="F18" s="238">
        <v>99.356999999999999</v>
      </c>
      <c r="G18" s="238">
        <v>100.254</v>
      </c>
      <c r="H18" s="238">
        <v>99.619</v>
      </c>
      <c r="I18" s="238">
        <v>91.302000000000007</v>
      </c>
      <c r="J18" s="238">
        <v>88.405000000000001</v>
      </c>
      <c r="K18" s="238">
        <v>98.930999999999997</v>
      </c>
      <c r="L18" s="238">
        <v>99.127056644000007</v>
      </c>
      <c r="M18" s="238">
        <v>101.667</v>
      </c>
      <c r="N18" s="238">
        <v>104.18899999999999</v>
      </c>
    </row>
    <row r="19" spans="1:14" ht="16" customHeight="1">
      <c r="A19" s="121" t="s">
        <v>29</v>
      </c>
      <c r="B19" s="642">
        <f t="shared" si="0"/>
        <v>141289.39729432404</v>
      </c>
      <c r="C19" s="238">
        <v>11926.182000000001</v>
      </c>
      <c r="D19" s="238">
        <v>12380.847</v>
      </c>
      <c r="E19" s="238">
        <v>11495.161169454999</v>
      </c>
      <c r="F19" s="238">
        <v>11751.556</v>
      </c>
      <c r="G19" s="238">
        <v>11853.096</v>
      </c>
      <c r="H19" s="238">
        <v>11450.374</v>
      </c>
      <c r="I19" s="238">
        <v>11438.371999999999</v>
      </c>
      <c r="J19" s="238">
        <v>11867.029000000002</v>
      </c>
      <c r="K19" s="238">
        <v>11680.608</v>
      </c>
      <c r="L19" s="238">
        <v>11760.578984983</v>
      </c>
      <c r="M19" s="238">
        <v>11707.789000000001</v>
      </c>
      <c r="N19" s="238">
        <v>11977.804139885999</v>
      </c>
    </row>
    <row r="20" spans="1:14" ht="16" customHeight="1">
      <c r="A20" s="143" t="s">
        <v>30</v>
      </c>
      <c r="B20" s="642">
        <f t="shared" si="0"/>
        <v>213706.57607922389</v>
      </c>
      <c r="C20" s="238">
        <v>17692.274000000001</v>
      </c>
      <c r="D20" s="238">
        <v>17126.368999999999</v>
      </c>
      <c r="E20" s="238">
        <v>17977.939663555</v>
      </c>
      <c r="F20" s="238">
        <v>17622.8452</v>
      </c>
      <c r="G20" s="238">
        <v>18259.587</v>
      </c>
      <c r="H20" s="238">
        <v>18350.282999999999</v>
      </c>
      <c r="I20" s="238">
        <v>18472.287</v>
      </c>
      <c r="J20" s="238">
        <v>17970.422999999999</v>
      </c>
      <c r="K20" s="238">
        <v>17997.848000000002</v>
      </c>
      <c r="L20" s="238">
        <v>17840.8967384721</v>
      </c>
      <c r="M20" s="238">
        <v>17267.417977196801</v>
      </c>
      <c r="N20" s="238">
        <v>17128.405500000001</v>
      </c>
    </row>
    <row r="21" spans="1:14" ht="16" customHeight="1">
      <c r="A21" s="143" t="s">
        <v>31</v>
      </c>
      <c r="B21" s="642">
        <f t="shared" si="0"/>
        <v>1115.178770105</v>
      </c>
      <c r="C21" s="238">
        <v>86.813000000000002</v>
      </c>
      <c r="D21" s="238">
        <v>82.105000000000004</v>
      </c>
      <c r="E21" s="238">
        <v>85.300280779999994</v>
      </c>
      <c r="F21" s="238">
        <v>83.525999999999996</v>
      </c>
      <c r="G21" s="238">
        <v>85.201999999999998</v>
      </c>
      <c r="H21" s="238">
        <v>85.236000000000004</v>
      </c>
      <c r="I21" s="238">
        <v>91.629000000000005</v>
      </c>
      <c r="J21" s="238">
        <v>94.629000000000005</v>
      </c>
      <c r="K21" s="238">
        <v>105.94499999999999</v>
      </c>
      <c r="L21" s="238">
        <v>105.148489325</v>
      </c>
      <c r="M21" s="238">
        <v>104.508</v>
      </c>
      <c r="N21" s="238">
        <v>105.137</v>
      </c>
    </row>
    <row r="22" spans="1:14" ht="16" customHeight="1">
      <c r="A22" s="143" t="s">
        <v>32</v>
      </c>
      <c r="B22" s="642">
        <f t="shared" si="0"/>
        <v>135.009772</v>
      </c>
      <c r="C22" s="238">
        <v>9.5359999999999996</v>
      </c>
      <c r="D22" s="238">
        <v>8.9429999999999996</v>
      </c>
      <c r="E22" s="238">
        <v>9.8620000000000001</v>
      </c>
      <c r="F22" s="238">
        <v>10.8285</v>
      </c>
      <c r="G22" s="238">
        <v>11.1557</v>
      </c>
      <c r="H22" s="238">
        <v>11.276999999999999</v>
      </c>
      <c r="I22" s="238">
        <v>12.734</v>
      </c>
      <c r="J22" s="238">
        <v>12.866</v>
      </c>
      <c r="K22" s="238">
        <v>11.962</v>
      </c>
      <c r="L22" s="238">
        <v>11.949572</v>
      </c>
      <c r="M22" s="238">
        <v>11.159000000000001</v>
      </c>
      <c r="N22" s="238">
        <v>12.737</v>
      </c>
    </row>
    <row r="23" spans="1:14" ht="16" customHeight="1">
      <c r="A23" s="143" t="s">
        <v>33</v>
      </c>
      <c r="B23" s="642">
        <f t="shared" si="0"/>
        <v>946.72897209600001</v>
      </c>
      <c r="C23" s="238">
        <v>84.186000000000007</v>
      </c>
      <c r="D23" s="238">
        <v>77.274000000000001</v>
      </c>
      <c r="E23" s="238">
        <v>89.779818635999987</v>
      </c>
      <c r="F23" s="238">
        <v>80.631</v>
      </c>
      <c r="G23" s="238">
        <v>86.564999999999998</v>
      </c>
      <c r="H23" s="238">
        <v>87.382999999999996</v>
      </c>
      <c r="I23" s="238">
        <v>85.519000000000005</v>
      </c>
      <c r="J23" s="238">
        <v>80.519000000000005</v>
      </c>
      <c r="K23" s="238">
        <v>75.075000000000003</v>
      </c>
      <c r="L23" s="238">
        <v>72.093153459999996</v>
      </c>
      <c r="M23" s="238">
        <v>61.728000000000002</v>
      </c>
      <c r="N23" s="238">
        <v>65.975999999999999</v>
      </c>
    </row>
    <row r="24" spans="1:14" ht="16" customHeight="1">
      <c r="A24" s="143" t="s">
        <v>34</v>
      </c>
      <c r="B24" s="642">
        <f t="shared" si="0"/>
        <v>523.71469963000004</v>
      </c>
      <c r="C24" s="238">
        <v>44.834000000000003</v>
      </c>
      <c r="D24" s="238">
        <v>45.052</v>
      </c>
      <c r="E24" s="238">
        <v>43.783000000000001</v>
      </c>
      <c r="F24" s="238">
        <v>43.218000000000004</v>
      </c>
      <c r="G24" s="238">
        <v>44.781999999999996</v>
      </c>
      <c r="H24" s="238">
        <v>44.872</v>
      </c>
      <c r="I24" s="238">
        <v>45.712000000000003</v>
      </c>
      <c r="J24" s="238">
        <v>43.712000000000003</v>
      </c>
      <c r="K24" s="238">
        <v>42.012</v>
      </c>
      <c r="L24" s="238">
        <v>41.786699630000001</v>
      </c>
      <c r="M24" s="238">
        <v>41.929000000000002</v>
      </c>
      <c r="N24" s="238">
        <v>42.021999999999998</v>
      </c>
    </row>
    <row r="25" spans="1:14" ht="16" customHeight="1">
      <c r="A25" s="121" t="s">
        <v>35</v>
      </c>
      <c r="B25" s="642">
        <f t="shared" si="0"/>
        <v>17512.274342921999</v>
      </c>
      <c r="C25" s="238">
        <v>1439.5719999999999</v>
      </c>
      <c r="D25" s="238">
        <v>1390.078</v>
      </c>
      <c r="E25" s="238">
        <v>1388.308352836</v>
      </c>
      <c r="F25" s="238">
        <v>1429.7619999999999</v>
      </c>
      <c r="G25" s="238">
        <v>1444.9939999999999</v>
      </c>
      <c r="H25" s="238">
        <v>1480.278</v>
      </c>
      <c r="I25" s="238">
        <v>1440.443</v>
      </c>
      <c r="J25" s="238">
        <v>1438.443</v>
      </c>
      <c r="K25" s="238">
        <v>1439.6379999999999</v>
      </c>
      <c r="L25" s="238">
        <v>1461.617990086</v>
      </c>
      <c r="M25" s="238">
        <v>1620.942</v>
      </c>
      <c r="N25" s="238">
        <v>1538.1980000000001</v>
      </c>
    </row>
    <row r="26" spans="1:14" ht="16" customHeight="1">
      <c r="A26" s="143" t="s">
        <v>36</v>
      </c>
      <c r="B26" s="642">
        <f t="shared" si="0"/>
        <v>294.73679031000006</v>
      </c>
      <c r="C26" s="238">
        <v>25.843</v>
      </c>
      <c r="D26" s="238">
        <v>22.803999999999998</v>
      </c>
      <c r="E26" s="238">
        <v>27.129594560000001</v>
      </c>
      <c r="F26" s="238">
        <v>23.3931</v>
      </c>
      <c r="G26" s="238">
        <v>25.036999999999999</v>
      </c>
      <c r="H26" s="238">
        <v>21.616</v>
      </c>
      <c r="I26" s="238">
        <v>22.087</v>
      </c>
      <c r="J26" s="238">
        <v>23.085999999999999</v>
      </c>
      <c r="K26" s="238">
        <v>26.573</v>
      </c>
      <c r="L26" s="238">
        <v>29.74559575</v>
      </c>
      <c r="M26" s="238">
        <v>24.966999999999999</v>
      </c>
      <c r="N26" s="238">
        <v>22.455500000000001</v>
      </c>
    </row>
    <row r="27" spans="1:14" ht="16" customHeight="1">
      <c r="A27" s="143" t="s">
        <v>37</v>
      </c>
      <c r="B27" s="642">
        <f t="shared" si="0"/>
        <v>4864.4070147150005</v>
      </c>
      <c r="C27" s="238">
        <v>394.53899999999999</v>
      </c>
      <c r="D27" s="238">
        <v>395.38400000000001</v>
      </c>
      <c r="E27" s="238">
        <v>419.71234871799999</v>
      </c>
      <c r="F27" s="238">
        <v>435.56900000000002</v>
      </c>
      <c r="G27" s="238">
        <v>406.84100000000001</v>
      </c>
      <c r="H27" s="238">
        <v>410.548</v>
      </c>
      <c r="I27" s="238">
        <v>420.42500000000001</v>
      </c>
      <c r="J27" s="238">
        <v>431.42500000000001</v>
      </c>
      <c r="K27" s="238">
        <v>408.24599999999998</v>
      </c>
      <c r="L27" s="238">
        <v>410.85866980999998</v>
      </c>
      <c r="M27" s="238">
        <v>359.846</v>
      </c>
      <c r="N27" s="238">
        <v>371.01299618700006</v>
      </c>
    </row>
    <row r="28" spans="1:14" ht="16" customHeight="1">
      <c r="A28" s="143" t="s">
        <v>38</v>
      </c>
      <c r="B28" s="642">
        <f t="shared" si="0"/>
        <v>697.09225719400001</v>
      </c>
      <c r="C28" s="238">
        <v>40.771999999999998</v>
      </c>
      <c r="D28" s="238">
        <v>38.49</v>
      </c>
      <c r="E28" s="238">
        <v>58.738999999999997</v>
      </c>
      <c r="F28" s="238">
        <v>65.423000000000002</v>
      </c>
      <c r="G28" s="238">
        <v>75.932000000000002</v>
      </c>
      <c r="H28" s="238">
        <v>72.673000000000002</v>
      </c>
      <c r="I28" s="238">
        <v>71.412999999999997</v>
      </c>
      <c r="J28" s="238">
        <v>72.412999999999997</v>
      </c>
      <c r="K28" s="238">
        <v>49.4011</v>
      </c>
      <c r="L28" s="238">
        <v>49.910157194</v>
      </c>
      <c r="M28" s="238">
        <v>51.563000000000002</v>
      </c>
      <c r="N28" s="238">
        <v>50.363</v>
      </c>
    </row>
    <row r="29" spans="1:14" ht="16" customHeight="1">
      <c r="A29" s="121" t="s">
        <v>39</v>
      </c>
      <c r="B29" s="642">
        <f t="shared" si="0"/>
        <v>412.87884645000003</v>
      </c>
      <c r="C29" s="238">
        <v>34.92</v>
      </c>
      <c r="D29" s="238">
        <v>35.097000000000001</v>
      </c>
      <c r="E29" s="238">
        <v>36.991121769999999</v>
      </c>
      <c r="F29" s="238">
        <v>39.379000000000005</v>
      </c>
      <c r="G29" s="238">
        <v>40.121000000000002</v>
      </c>
      <c r="H29" s="238">
        <v>39.165999999999997</v>
      </c>
      <c r="I29" s="238">
        <v>34.802</v>
      </c>
      <c r="J29" s="238">
        <v>32.268999999999998</v>
      </c>
      <c r="K29" s="238">
        <v>20.465</v>
      </c>
      <c r="L29" s="238">
        <v>30.545724679999999</v>
      </c>
      <c r="M29" s="238">
        <v>34.78</v>
      </c>
      <c r="N29" s="238">
        <v>34.343000000000004</v>
      </c>
    </row>
    <row r="30" spans="1:14" ht="16" customHeight="1">
      <c r="A30" s="119" t="s">
        <v>97</v>
      </c>
      <c r="B30" s="642">
        <f t="shared" si="0"/>
        <v>212.77672050999999</v>
      </c>
      <c r="C30" s="238">
        <v>18.731000000000002</v>
      </c>
      <c r="D30" s="238">
        <v>19.273</v>
      </c>
      <c r="E30" s="238">
        <v>19.564752469999998</v>
      </c>
      <c r="F30" s="238">
        <v>21.286000000000001</v>
      </c>
      <c r="G30" s="238">
        <v>22.387</v>
      </c>
      <c r="H30" s="238">
        <v>22.190999999999999</v>
      </c>
      <c r="I30" s="238">
        <v>17.972999999999999</v>
      </c>
      <c r="J30" s="238">
        <v>16.972999999999999</v>
      </c>
      <c r="K30" s="238">
        <v>6.1950000000000003</v>
      </c>
      <c r="L30" s="238">
        <v>14.922968040000001</v>
      </c>
      <c r="M30" s="238">
        <v>16.556000000000001</v>
      </c>
      <c r="N30" s="238">
        <v>16.724</v>
      </c>
    </row>
    <row r="31" spans="1:14" ht="16" customHeight="1">
      <c r="A31" s="119" t="s">
        <v>98</v>
      </c>
      <c r="B31" s="642">
        <f t="shared" si="0"/>
        <v>200.10212594000001</v>
      </c>
      <c r="C31" s="238">
        <v>16.189</v>
      </c>
      <c r="D31" s="238">
        <v>15.824</v>
      </c>
      <c r="E31" s="238">
        <v>17.426369300000001</v>
      </c>
      <c r="F31" s="238">
        <v>18.093</v>
      </c>
      <c r="G31" s="238">
        <v>17.734000000000002</v>
      </c>
      <c r="H31" s="238">
        <v>16.975000000000001</v>
      </c>
      <c r="I31" s="238">
        <v>16.829000000000001</v>
      </c>
      <c r="J31" s="238">
        <v>15.295999999999999</v>
      </c>
      <c r="K31" s="238">
        <v>14.27</v>
      </c>
      <c r="L31" s="238">
        <v>15.62275664</v>
      </c>
      <c r="M31" s="238">
        <v>18.224</v>
      </c>
      <c r="N31" s="238">
        <v>17.619</v>
      </c>
    </row>
    <row r="32" spans="1:14" ht="16" customHeight="1">
      <c r="A32" s="143" t="s">
        <v>42</v>
      </c>
      <c r="B32" s="642">
        <f t="shared" si="0"/>
        <v>711.23851061999994</v>
      </c>
      <c r="C32" s="238">
        <v>42.553790499999998</v>
      </c>
      <c r="D32" s="238">
        <v>43.750999999999998</v>
      </c>
      <c r="E32" s="238">
        <v>60.875999999999998</v>
      </c>
      <c r="F32" s="238">
        <v>67.051000000000002</v>
      </c>
      <c r="G32" s="238">
        <v>75.811000000000007</v>
      </c>
      <c r="H32" s="238">
        <v>82.07</v>
      </c>
      <c r="I32" s="238">
        <v>76.582999999999998</v>
      </c>
      <c r="J32" s="238">
        <v>66.036000000000001</v>
      </c>
      <c r="K32" s="238">
        <v>50.058999999999997</v>
      </c>
      <c r="L32" s="238">
        <v>47.15172012</v>
      </c>
      <c r="M32" s="238">
        <v>50.343000000000004</v>
      </c>
      <c r="N32" s="238">
        <v>48.953000000000003</v>
      </c>
    </row>
    <row r="33" spans="1:14" ht="16" customHeight="1">
      <c r="A33" s="143" t="s">
        <v>43</v>
      </c>
      <c r="B33" s="642">
        <f t="shared" si="0"/>
        <v>1477.8238393470001</v>
      </c>
      <c r="C33" s="238">
        <v>102.883</v>
      </c>
      <c r="D33" s="238">
        <v>105.904</v>
      </c>
      <c r="E33" s="238">
        <v>122.288715657</v>
      </c>
      <c r="F33" s="238">
        <v>129.62200000000001</v>
      </c>
      <c r="G33" s="238">
        <v>130.19200000000001</v>
      </c>
      <c r="H33" s="238">
        <v>142.345</v>
      </c>
      <c r="I33" s="238">
        <v>140.72399999999999</v>
      </c>
      <c r="J33" s="238">
        <v>132.72399999999999</v>
      </c>
      <c r="K33" s="238">
        <v>124.23399999999999</v>
      </c>
      <c r="L33" s="238">
        <v>118.65112369000001</v>
      </c>
      <c r="M33" s="238">
        <v>117.334</v>
      </c>
      <c r="N33" s="238">
        <v>110.922</v>
      </c>
    </row>
    <row r="34" spans="1:14" ht="16" customHeight="1">
      <c r="A34" s="121" t="s">
        <v>44</v>
      </c>
      <c r="B34" s="642">
        <f t="shared" si="0"/>
        <v>13750.533072883998</v>
      </c>
      <c r="C34" s="238">
        <v>1190.414</v>
      </c>
      <c r="D34" s="238">
        <v>1050.1220000000001</v>
      </c>
      <c r="E34" s="238">
        <v>1185.5693335589999</v>
      </c>
      <c r="F34" s="238">
        <v>1203.982</v>
      </c>
      <c r="G34" s="238">
        <v>1105.056</v>
      </c>
      <c r="H34" s="238">
        <v>990.41300000000001</v>
      </c>
      <c r="I34" s="238">
        <v>1050.694</v>
      </c>
      <c r="J34" s="238">
        <v>1145.694</v>
      </c>
      <c r="K34" s="238">
        <v>1201.617</v>
      </c>
      <c r="L34" s="238">
        <v>1191.6497393249999</v>
      </c>
      <c r="M34" s="238">
        <v>1205.1479999999999</v>
      </c>
      <c r="N34" s="238">
        <v>1230.174</v>
      </c>
    </row>
    <row r="35" spans="1:14" ht="16" customHeight="1">
      <c r="A35" s="121" t="s">
        <v>45</v>
      </c>
      <c r="B35" s="642">
        <f t="shared" si="0"/>
        <v>4526.1354439939996</v>
      </c>
      <c r="C35" s="238">
        <v>402.38499999999999</v>
      </c>
      <c r="D35" s="238">
        <v>399.75099999999998</v>
      </c>
      <c r="E35" s="238">
        <v>378.88806628600003</v>
      </c>
      <c r="F35" s="238">
        <v>356.041</v>
      </c>
      <c r="G35" s="238">
        <v>366.017</v>
      </c>
      <c r="H35" s="238">
        <v>340.74900000000002</v>
      </c>
      <c r="I35" s="238">
        <v>348.34100000000001</v>
      </c>
      <c r="J35" s="238">
        <v>378.34100000000001</v>
      </c>
      <c r="K35" s="238">
        <v>384.98099999999999</v>
      </c>
      <c r="L35" s="238">
        <v>395.07537770800002</v>
      </c>
      <c r="M35" s="238">
        <v>384.71300000000002</v>
      </c>
      <c r="N35" s="238">
        <v>390.85300000000001</v>
      </c>
    </row>
    <row r="36" spans="1:14" ht="16" customHeight="1">
      <c r="A36" s="121" t="s">
        <v>46</v>
      </c>
      <c r="B36" s="642">
        <f t="shared" si="0"/>
        <v>3222.0109605439998</v>
      </c>
      <c r="C36" s="238">
        <v>290.81799999999998</v>
      </c>
      <c r="D36" s="238">
        <v>280.05399999999997</v>
      </c>
      <c r="E36" s="238">
        <v>267.6173354</v>
      </c>
      <c r="F36" s="238">
        <v>269.20800000000003</v>
      </c>
      <c r="G36" s="238">
        <v>256.89800000000002</v>
      </c>
      <c r="H36" s="238">
        <v>258.12599999999998</v>
      </c>
      <c r="I36" s="238">
        <v>270.71300000000002</v>
      </c>
      <c r="J36" s="238">
        <v>275.71379999999999</v>
      </c>
      <c r="K36" s="238">
        <v>301.178</v>
      </c>
      <c r="L36" s="238">
        <v>268.08182514399999</v>
      </c>
      <c r="M36" s="238">
        <v>240.768</v>
      </c>
      <c r="N36" s="238">
        <v>242.83500000000001</v>
      </c>
    </row>
    <row r="37" spans="1:14" ht="16" customHeight="1" thickBot="1">
      <c r="A37" s="145" t="s">
        <v>47</v>
      </c>
      <c r="B37" s="643">
        <f t="shared" si="0"/>
        <v>3033.3506474000001</v>
      </c>
      <c r="C37" s="239">
        <v>250.49600000000001</v>
      </c>
      <c r="D37" s="239">
        <v>251.99199999999999</v>
      </c>
      <c r="E37" s="239">
        <v>265.29340905999999</v>
      </c>
      <c r="F37" s="239">
        <v>269.85599999999999</v>
      </c>
      <c r="G37" s="239">
        <v>270.54599999999999</v>
      </c>
      <c r="H37" s="239">
        <v>310.096</v>
      </c>
      <c r="I37" s="239">
        <v>265.49299999999999</v>
      </c>
      <c r="J37" s="239">
        <v>274.49299999999999</v>
      </c>
      <c r="K37" s="239">
        <v>249.53800000000001</v>
      </c>
      <c r="L37" s="239">
        <v>210.98323834000001</v>
      </c>
      <c r="M37" s="239">
        <v>214.50299999999999</v>
      </c>
      <c r="N37" s="239">
        <v>200.06100000000001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Hoja74">
    <tabColor theme="9" tint="0.59999389629810485"/>
  </sheetPr>
  <dimension ref="A4:Q54"/>
  <sheetViews>
    <sheetView showGridLines="0" zoomScaleNormal="100" workbookViewId="0">
      <selection activeCell="H24" sqref="H24"/>
    </sheetView>
  </sheetViews>
  <sheetFormatPr baseColWidth="10" defaultColWidth="7" defaultRowHeight="13.25" customHeight="1"/>
  <cols>
    <col min="1" max="1" width="12" style="121" customWidth="1"/>
    <col min="2" max="2" width="12" style="126" customWidth="1"/>
    <col min="3" max="14" width="9.19921875" style="126" customWidth="1"/>
    <col min="15" max="20" width="8" style="121" customWidth="1"/>
    <col min="21" max="16384" width="7" style="121"/>
  </cols>
  <sheetData>
    <row r="4" spans="1:17" ht="13" customHeight="1">
      <c r="A4" s="229" t="s">
        <v>591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</row>
    <row r="5" spans="1:17" ht="12" customHeight="1">
      <c r="A5" s="232" t="s">
        <v>347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</row>
    <row r="6" spans="1:17" ht="6" customHeight="1" thickBot="1"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</row>
    <row r="7" spans="1:17" ht="18" customHeight="1">
      <c r="A7" s="738" t="s">
        <v>16</v>
      </c>
      <c r="B7" s="742" t="s">
        <v>52</v>
      </c>
      <c r="C7" s="743" t="s">
        <v>53</v>
      </c>
      <c r="D7" s="743" t="s">
        <v>54</v>
      </c>
      <c r="E7" s="743" t="s">
        <v>55</v>
      </c>
      <c r="F7" s="743" t="s">
        <v>56</v>
      </c>
      <c r="G7" s="743" t="s">
        <v>57</v>
      </c>
      <c r="H7" s="743" t="s">
        <v>58</v>
      </c>
      <c r="I7" s="743" t="s">
        <v>59</v>
      </c>
      <c r="J7" s="743" t="s">
        <v>60</v>
      </c>
      <c r="K7" s="743" t="s">
        <v>61</v>
      </c>
      <c r="L7" s="743" t="s">
        <v>62</v>
      </c>
      <c r="M7" s="743" t="s">
        <v>63</v>
      </c>
      <c r="N7" s="743" t="s">
        <v>64</v>
      </c>
    </row>
    <row r="8" spans="1:17" ht="18" customHeight="1">
      <c r="A8" s="647" t="s">
        <v>87</v>
      </c>
      <c r="B8" s="668">
        <v>18.314019814135598</v>
      </c>
      <c r="C8" s="668">
        <v>1.5154245845725429</v>
      </c>
      <c r="D8" s="668">
        <v>1.49062958763663</v>
      </c>
      <c r="E8" s="668">
        <v>1.4969493283937254</v>
      </c>
      <c r="F8" s="668">
        <v>1.4800163938102568</v>
      </c>
      <c r="G8" s="668">
        <v>1.5390953848329172</v>
      </c>
      <c r="H8" s="668">
        <v>1.5230962308053071</v>
      </c>
      <c r="I8" s="668">
        <v>1.5350654846845806</v>
      </c>
      <c r="J8" s="668">
        <v>1.5553466669121205</v>
      </c>
      <c r="K8" s="668">
        <v>1.5301713255321798</v>
      </c>
      <c r="L8" s="668">
        <v>1.5406467906672539</v>
      </c>
      <c r="M8" s="668">
        <v>1.5492570599881503</v>
      </c>
      <c r="N8" s="668">
        <v>1.560827049649794</v>
      </c>
      <c r="P8" s="138"/>
      <c r="Q8" s="138"/>
    </row>
    <row r="9" spans="1:17" ht="16" customHeight="1">
      <c r="A9" s="143" t="s">
        <v>19</v>
      </c>
      <c r="B9" s="669">
        <v>12.845953811754837</v>
      </c>
      <c r="C9" s="582">
        <v>1.1339064308150106</v>
      </c>
      <c r="D9" s="582">
        <v>0.88089683381305861</v>
      </c>
      <c r="E9" s="582">
        <v>0.91625600961538456</v>
      </c>
      <c r="F9" s="582">
        <v>0.94189828503843886</v>
      </c>
      <c r="G9" s="582">
        <v>1.024079963652885</v>
      </c>
      <c r="H9" s="582">
        <v>1.3583141542002302</v>
      </c>
      <c r="I9" s="582">
        <v>1.1650598889862693</v>
      </c>
      <c r="J9" s="582">
        <v>1.0117858057904174</v>
      </c>
      <c r="K9" s="582">
        <v>1.0425746315656883</v>
      </c>
      <c r="L9" s="582">
        <v>1.0394075173195618</v>
      </c>
      <c r="M9" s="582">
        <v>1.1847652507186202</v>
      </c>
      <c r="N9" s="582">
        <v>1.1605569764137538</v>
      </c>
      <c r="O9" s="149"/>
      <c r="P9" s="138"/>
      <c r="Q9" s="138"/>
    </row>
    <row r="10" spans="1:17" ht="16" customHeight="1">
      <c r="A10" s="143" t="s">
        <v>20</v>
      </c>
      <c r="B10" s="669">
        <v>13.421106390626919</v>
      </c>
      <c r="C10" s="582">
        <v>1.2895645725182752</v>
      </c>
      <c r="D10" s="582">
        <v>1.1749961898732693</v>
      </c>
      <c r="E10" s="582">
        <v>1.1478989389809988</v>
      </c>
      <c r="F10" s="582">
        <v>1.0264032600326756</v>
      </c>
      <c r="G10" s="582">
        <v>1.0169524031100368</v>
      </c>
      <c r="H10" s="582">
        <v>1.0161925865342856</v>
      </c>
      <c r="I10" s="582">
        <v>1.0905576959514938</v>
      </c>
      <c r="J10" s="582">
        <v>1.3146847359437233</v>
      </c>
      <c r="K10" s="582">
        <v>1.1401705194469163</v>
      </c>
      <c r="L10" s="582">
        <v>1.054049985943369</v>
      </c>
      <c r="M10" s="582">
        <v>1.1027678529391762</v>
      </c>
      <c r="N10" s="582">
        <v>1.0253440769516904</v>
      </c>
      <c r="P10" s="138"/>
      <c r="Q10" s="138"/>
    </row>
    <row r="11" spans="1:17" ht="16" customHeight="1">
      <c r="A11" s="143" t="s">
        <v>21</v>
      </c>
      <c r="B11" s="669">
        <v>15.828369950483406</v>
      </c>
      <c r="C11" s="582">
        <v>1.275367327444646</v>
      </c>
      <c r="D11" s="582">
        <v>1.2825598695786506</v>
      </c>
      <c r="E11" s="582">
        <v>1.2368159335433739</v>
      </c>
      <c r="F11" s="582">
        <v>1.2043254006173429</v>
      </c>
      <c r="G11" s="582">
        <v>1.2187995766549191</v>
      </c>
      <c r="H11" s="582">
        <v>1.2871833399349029</v>
      </c>
      <c r="I11" s="582">
        <v>1.2821331659263</v>
      </c>
      <c r="J11" s="582">
        <v>1.2717498278314869</v>
      </c>
      <c r="K11" s="582">
        <v>1.2970751476687941</v>
      </c>
      <c r="L11" s="582">
        <v>1.4121740380583125</v>
      </c>
      <c r="M11" s="582">
        <v>1.4748536534233541</v>
      </c>
      <c r="N11" s="582">
        <v>1.6693285084270448</v>
      </c>
      <c r="P11" s="138"/>
      <c r="Q11" s="138"/>
    </row>
    <row r="12" spans="1:17" ht="16" customHeight="1">
      <c r="A12" s="121" t="s">
        <v>22</v>
      </c>
      <c r="B12" s="669">
        <v>18.110509632976648</v>
      </c>
      <c r="C12" s="582">
        <v>1.4882183640705504</v>
      </c>
      <c r="D12" s="582">
        <v>1.4619353382402327</v>
      </c>
      <c r="E12" s="582">
        <v>1.4470659524357892</v>
      </c>
      <c r="F12" s="582">
        <v>1.3895376992020043</v>
      </c>
      <c r="G12" s="582">
        <v>1.4902762512383936</v>
      </c>
      <c r="H12" s="582">
        <v>1.467908288801409</v>
      </c>
      <c r="I12" s="582">
        <v>1.4507838139711993</v>
      </c>
      <c r="J12" s="582">
        <v>1.5611518496584669</v>
      </c>
      <c r="K12" s="582">
        <v>1.4861822955974979</v>
      </c>
      <c r="L12" s="582">
        <v>1.553175321919622</v>
      </c>
      <c r="M12" s="582">
        <v>1.6385030279869732</v>
      </c>
      <c r="N12" s="582">
        <v>1.6733358275876402</v>
      </c>
      <c r="P12" s="138"/>
      <c r="Q12" s="138"/>
    </row>
    <row r="13" spans="1:17" ht="16" customHeight="1">
      <c r="A13" s="121" t="s">
        <v>23</v>
      </c>
      <c r="B13" s="669">
        <v>9.1240306371854736</v>
      </c>
      <c r="C13" s="582">
        <v>0.74172799177845883</v>
      </c>
      <c r="D13" s="582">
        <v>0.69451351351351343</v>
      </c>
      <c r="E13" s="582">
        <v>0.73622612306286539</v>
      </c>
      <c r="F13" s="582">
        <v>0.77243564612170168</v>
      </c>
      <c r="G13" s="582">
        <v>0.82524276254235285</v>
      </c>
      <c r="H13" s="582">
        <v>0.82584863053613045</v>
      </c>
      <c r="I13" s="582">
        <v>0.76767467051814409</v>
      </c>
      <c r="J13" s="582">
        <v>0.73669070287800409</v>
      </c>
      <c r="K13" s="582">
        <v>0.76906722876131717</v>
      </c>
      <c r="L13" s="582">
        <v>0.7562876037415508</v>
      </c>
      <c r="M13" s="582">
        <v>0.7401211953641621</v>
      </c>
      <c r="N13" s="582">
        <v>0.75893346600515033</v>
      </c>
      <c r="P13" s="138"/>
      <c r="Q13" s="138"/>
    </row>
    <row r="14" spans="1:17" ht="16" customHeight="1">
      <c r="A14" s="119" t="s">
        <v>94</v>
      </c>
      <c r="B14" s="669">
        <v>8.8736862998046604</v>
      </c>
      <c r="C14" s="582">
        <v>0.71947630329810863</v>
      </c>
      <c r="D14" s="582">
        <v>0.65990251431181235</v>
      </c>
      <c r="E14" s="582">
        <v>0.66401362191378521</v>
      </c>
      <c r="F14" s="582">
        <v>0.74485988988413188</v>
      </c>
      <c r="G14" s="582">
        <v>0.80388057803284418</v>
      </c>
      <c r="H14" s="582">
        <v>0.8241650373731767</v>
      </c>
      <c r="I14" s="582">
        <v>0.70327880574247825</v>
      </c>
      <c r="J14" s="582">
        <v>0.64484379629852084</v>
      </c>
      <c r="K14" s="582">
        <v>0.76819311893495867</v>
      </c>
      <c r="L14" s="582">
        <v>0.76422346580050438</v>
      </c>
      <c r="M14" s="582">
        <v>0.77432454295421449</v>
      </c>
      <c r="N14" s="582">
        <v>0.80713164933618431</v>
      </c>
      <c r="P14" s="138"/>
      <c r="Q14" s="138"/>
    </row>
    <row r="15" spans="1:17" ht="16" customHeight="1">
      <c r="A15" s="119" t="s">
        <v>95</v>
      </c>
      <c r="B15" s="669">
        <v>10.706646247479231</v>
      </c>
      <c r="C15" s="582">
        <v>0.6852803830004317</v>
      </c>
      <c r="D15" s="582">
        <v>0.75692295563395562</v>
      </c>
      <c r="E15" s="582">
        <v>0.88927894112998829</v>
      </c>
      <c r="F15" s="582">
        <v>0.93977333412448827</v>
      </c>
      <c r="G15" s="582">
        <v>1.058415881131171</v>
      </c>
      <c r="H15" s="582">
        <v>1.0205138458462462</v>
      </c>
      <c r="I15" s="582">
        <v>1.0505711870072161</v>
      </c>
      <c r="J15" s="582">
        <v>1.032445741744604</v>
      </c>
      <c r="K15" s="582">
        <v>0.8893941183417976</v>
      </c>
      <c r="L15" s="582">
        <v>0.85296856118385866</v>
      </c>
      <c r="M15" s="582">
        <v>0.77633341999480032</v>
      </c>
      <c r="N15" s="582">
        <v>0.75798625552056731</v>
      </c>
      <c r="P15" s="138"/>
      <c r="Q15" s="138"/>
    </row>
    <row r="16" spans="1:17" ht="16" customHeight="1">
      <c r="A16" s="119" t="s">
        <v>96</v>
      </c>
      <c r="B16" s="669">
        <v>8.0307299100360723</v>
      </c>
      <c r="C16" s="582">
        <v>0.8659232768386681</v>
      </c>
      <c r="D16" s="582">
        <v>0.72227241924553887</v>
      </c>
      <c r="E16" s="582">
        <v>0.76980368345962424</v>
      </c>
      <c r="F16" s="582">
        <v>0.65787701974865354</v>
      </c>
      <c r="G16" s="582">
        <v>0.62233610258262606</v>
      </c>
      <c r="H16" s="582">
        <v>0.6157544215586821</v>
      </c>
      <c r="I16" s="582">
        <v>0.62754282655246252</v>
      </c>
      <c r="J16" s="582">
        <v>0.6614801967155528</v>
      </c>
      <c r="K16" s="582">
        <v>0.63456325469901653</v>
      </c>
      <c r="L16" s="582">
        <v>0.62494516838995573</v>
      </c>
      <c r="M16" s="582">
        <v>0.6009174311926605</v>
      </c>
      <c r="N16" s="582">
        <v>0.62400477250304021</v>
      </c>
      <c r="P16" s="138"/>
      <c r="Q16" s="138"/>
    </row>
    <row r="17" spans="1:17" ht="16" customHeight="1">
      <c r="A17" s="143" t="s">
        <v>27</v>
      </c>
      <c r="B17" s="669">
        <v>11.355057410135117</v>
      </c>
      <c r="C17" s="582">
        <v>1.2090995416446011</v>
      </c>
      <c r="D17" s="582">
        <v>1.1542668817053501</v>
      </c>
      <c r="E17" s="582">
        <v>1.1567167447768385</v>
      </c>
      <c r="F17" s="582">
        <v>1.0671729369344853</v>
      </c>
      <c r="G17" s="582">
        <v>1.1443964377039062</v>
      </c>
      <c r="H17" s="582">
        <v>1.1106832319782536</v>
      </c>
      <c r="I17" s="582">
        <v>1.115535368238296</v>
      </c>
      <c r="J17" s="582">
        <v>0.82463310421697933</v>
      </c>
      <c r="K17" s="582">
        <v>0.62205377574370713</v>
      </c>
      <c r="L17" s="582">
        <v>0.63405140887263411</v>
      </c>
      <c r="M17" s="582">
        <v>0.63086933124602518</v>
      </c>
      <c r="N17" s="582">
        <v>0.55632501390986411</v>
      </c>
      <c r="P17" s="138"/>
      <c r="Q17" s="138"/>
    </row>
    <row r="18" spans="1:17" ht="16" customHeight="1">
      <c r="A18" s="121" t="s">
        <v>28</v>
      </c>
      <c r="B18" s="669">
        <v>10.986824930944874</v>
      </c>
      <c r="C18" s="582">
        <v>0.9862185529480596</v>
      </c>
      <c r="D18" s="582">
        <v>0.96505878578572923</v>
      </c>
      <c r="E18" s="582">
        <v>0.9242130679431102</v>
      </c>
      <c r="F18" s="582">
        <v>0.87502972337446172</v>
      </c>
      <c r="G18" s="582">
        <v>0.91811055350012827</v>
      </c>
      <c r="H18" s="582">
        <v>0.91094387241902741</v>
      </c>
      <c r="I18" s="582">
        <v>0.84425539784548531</v>
      </c>
      <c r="J18" s="582">
        <v>0.86548533946840278</v>
      </c>
      <c r="K18" s="582">
        <v>0.90821544308678137</v>
      </c>
      <c r="L18" s="582">
        <v>0.90958943516241519</v>
      </c>
      <c r="M18" s="582">
        <v>0.9248003347463023</v>
      </c>
      <c r="N18" s="582">
        <v>0.95530147436367641</v>
      </c>
      <c r="P18" s="138"/>
      <c r="Q18" s="138"/>
    </row>
    <row r="19" spans="1:17" ht="16" customHeight="1">
      <c r="A19" s="121" t="s">
        <v>29</v>
      </c>
      <c r="B19" s="669">
        <v>18.635245136841597</v>
      </c>
      <c r="C19" s="582">
        <v>1.5130848889074404</v>
      </c>
      <c r="D19" s="582">
        <v>1.601779665051714</v>
      </c>
      <c r="E19" s="582">
        <v>1.4959831131909114</v>
      </c>
      <c r="F19" s="582">
        <v>1.51248886537298</v>
      </c>
      <c r="G19" s="582">
        <v>1.5650258828599561</v>
      </c>
      <c r="H19" s="582">
        <v>1.5263091105547559</v>
      </c>
      <c r="I19" s="582">
        <v>1.5244353522093463</v>
      </c>
      <c r="J19" s="582">
        <v>1.5814228906639378</v>
      </c>
      <c r="K19" s="582">
        <v>1.5341291827142061</v>
      </c>
      <c r="L19" s="582">
        <v>1.5576603960213538</v>
      </c>
      <c r="M19" s="582">
        <v>1.5999890945139392</v>
      </c>
      <c r="N19" s="582">
        <v>1.6291087984311443</v>
      </c>
      <c r="P19" s="138"/>
      <c r="Q19" s="138"/>
    </row>
    <row r="20" spans="1:17" ht="16" customHeight="1">
      <c r="A20" s="143" t="s">
        <v>30</v>
      </c>
      <c r="B20" s="669">
        <v>19.682735132529611</v>
      </c>
      <c r="C20" s="582">
        <v>1.6349346826356492</v>
      </c>
      <c r="D20" s="582">
        <v>1.5374225414179943</v>
      </c>
      <c r="E20" s="582">
        <v>1.6285280209173885</v>
      </c>
      <c r="F20" s="582">
        <v>1.6076339886166509</v>
      </c>
      <c r="G20" s="582">
        <v>1.6813441075613116</v>
      </c>
      <c r="H20" s="582">
        <v>1.674422698069288</v>
      </c>
      <c r="I20" s="582">
        <v>1.7190926882927251</v>
      </c>
      <c r="J20" s="582">
        <v>1.6732305979652058</v>
      </c>
      <c r="K20" s="582">
        <v>1.6783155381085195</v>
      </c>
      <c r="L20" s="582">
        <v>1.6553333745728243</v>
      </c>
      <c r="M20" s="582">
        <v>1.6002009471971306</v>
      </c>
      <c r="N20" s="582">
        <v>1.596102863449588</v>
      </c>
      <c r="P20" s="138"/>
      <c r="Q20" s="138"/>
    </row>
    <row r="21" spans="1:17" ht="16" customHeight="1">
      <c r="A21" s="143" t="s">
        <v>31</v>
      </c>
      <c r="B21" s="669">
        <v>10.728064897803103</v>
      </c>
      <c r="C21" s="582">
        <v>0.82499120964753059</v>
      </c>
      <c r="D21" s="582">
        <v>0.79901321551606685</v>
      </c>
      <c r="E21" s="582">
        <v>0.84394725376707913</v>
      </c>
      <c r="F21" s="582">
        <v>0.81755182741812338</v>
      </c>
      <c r="G21" s="582">
        <v>0.8297252816812255</v>
      </c>
      <c r="H21" s="582">
        <v>0.8165853938935248</v>
      </c>
      <c r="I21" s="582">
        <v>0.88256711070014737</v>
      </c>
      <c r="J21" s="582">
        <v>0.90929095119584125</v>
      </c>
      <c r="K21" s="582">
        <v>1.0021946212859345</v>
      </c>
      <c r="L21" s="582">
        <v>0.97792534853332347</v>
      </c>
      <c r="M21" s="582">
        <v>1.0060357524475121</v>
      </c>
      <c r="N21" s="582">
        <v>1.0100003842606824</v>
      </c>
      <c r="P21" s="138"/>
      <c r="Q21" s="138"/>
    </row>
    <row r="22" spans="1:17" ht="16" customHeight="1">
      <c r="A22" s="143" t="s">
        <v>32</v>
      </c>
      <c r="B22" s="669">
        <v>10.556366683390564</v>
      </c>
      <c r="C22" s="582">
        <v>0.73620010808306957</v>
      </c>
      <c r="D22" s="582">
        <v>0.71458250099880138</v>
      </c>
      <c r="E22" s="582">
        <v>0.75896567646606128</v>
      </c>
      <c r="F22" s="582">
        <v>0.8362421808633872</v>
      </c>
      <c r="G22" s="582">
        <v>0.86464889164470615</v>
      </c>
      <c r="H22" s="582">
        <v>0.92510254306808859</v>
      </c>
      <c r="I22" s="582">
        <v>0.96762917933130699</v>
      </c>
      <c r="J22" s="582">
        <v>0.93857601400641966</v>
      </c>
      <c r="K22" s="582">
        <v>0.98949458185126971</v>
      </c>
      <c r="L22" s="582">
        <v>0.98431400329489283</v>
      </c>
      <c r="M22" s="582">
        <v>0.86779687378489789</v>
      </c>
      <c r="N22" s="582">
        <v>0.97871522975257419</v>
      </c>
      <c r="P22" s="138"/>
      <c r="Q22" s="138"/>
    </row>
    <row r="23" spans="1:17" ht="16" customHeight="1">
      <c r="A23" s="143" t="s">
        <v>33</v>
      </c>
      <c r="B23" s="669">
        <v>9.4348338923702464</v>
      </c>
      <c r="C23" s="582">
        <v>0.78645429492269614</v>
      </c>
      <c r="D23" s="582">
        <v>0.73872892050017214</v>
      </c>
      <c r="E23" s="582">
        <v>0.85936728152997921</v>
      </c>
      <c r="F23" s="582">
        <v>0.78222528352040666</v>
      </c>
      <c r="G23" s="582">
        <v>0.83993945333346276</v>
      </c>
      <c r="H23" s="582">
        <v>0.84357110448222272</v>
      </c>
      <c r="I23" s="582">
        <v>0.83314498373049128</v>
      </c>
      <c r="J23" s="582">
        <v>0.80002185879220244</v>
      </c>
      <c r="K23" s="582">
        <v>0.7603070597409437</v>
      </c>
      <c r="L23" s="582">
        <v>0.78483260532561117</v>
      </c>
      <c r="M23" s="582">
        <v>0.67068678900876821</v>
      </c>
      <c r="N23" s="582">
        <v>0.71441256090958305</v>
      </c>
      <c r="P23" s="138"/>
      <c r="Q23" s="138"/>
    </row>
    <row r="24" spans="1:17" ht="16" customHeight="1">
      <c r="A24" s="143" t="s">
        <v>34</v>
      </c>
      <c r="B24" s="669">
        <v>10.148821293710698</v>
      </c>
      <c r="C24" s="582">
        <v>0.87015759645990232</v>
      </c>
      <c r="D24" s="582">
        <v>0.8693772794812914</v>
      </c>
      <c r="E24" s="582">
        <v>0.84253165531308938</v>
      </c>
      <c r="F24" s="582">
        <v>0.83350369327496099</v>
      </c>
      <c r="G24" s="582">
        <v>0.86580438102971591</v>
      </c>
      <c r="H24" s="582">
        <v>0.86420276178186928</v>
      </c>
      <c r="I24" s="582">
        <v>0.8920807150384451</v>
      </c>
      <c r="J24" s="582">
        <v>0.85305023223137277</v>
      </c>
      <c r="K24" s="582">
        <v>0.81426494815389083</v>
      </c>
      <c r="L24" s="582">
        <v>0.80669304305019307</v>
      </c>
      <c r="M24" s="582">
        <v>0.81843024731119829</v>
      </c>
      <c r="N24" s="582">
        <v>0.81875925492946766</v>
      </c>
      <c r="P24" s="138"/>
      <c r="Q24" s="138"/>
    </row>
    <row r="25" spans="1:17" ht="16" customHeight="1">
      <c r="A25" s="121" t="s">
        <v>35</v>
      </c>
      <c r="B25" s="669">
        <v>16.159626106499882</v>
      </c>
      <c r="C25" s="582">
        <v>1.3205362237213134</v>
      </c>
      <c r="D25" s="582">
        <v>1.3047071003056974</v>
      </c>
      <c r="E25" s="582">
        <v>1.3036628290111358</v>
      </c>
      <c r="F25" s="582">
        <v>1.3010196049883751</v>
      </c>
      <c r="G25" s="582">
        <v>1.3247394515464219</v>
      </c>
      <c r="H25" s="582">
        <v>1.3461013132935278</v>
      </c>
      <c r="I25" s="582">
        <v>1.3274235077068255</v>
      </c>
      <c r="J25" s="582">
        <v>1.3204393009885558</v>
      </c>
      <c r="K25" s="582">
        <v>1.34567113061994</v>
      </c>
      <c r="L25" s="582">
        <v>1.3783946559440652</v>
      </c>
      <c r="M25" s="582">
        <v>1.4907859509779666</v>
      </c>
      <c r="N25" s="582">
        <v>1.3951529663591922</v>
      </c>
      <c r="P25" s="138"/>
      <c r="Q25" s="138"/>
    </row>
    <row r="26" spans="1:17" ht="16" customHeight="1">
      <c r="A26" s="143" t="s">
        <v>36</v>
      </c>
      <c r="B26" s="669">
        <v>15.940837703190567</v>
      </c>
      <c r="C26" s="582">
        <v>1.457750451263538</v>
      </c>
      <c r="D26" s="582">
        <v>1.261562292542598</v>
      </c>
      <c r="E26" s="582">
        <v>1.503107904039005</v>
      </c>
      <c r="F26" s="582">
        <v>1.3696194379391102</v>
      </c>
      <c r="G26" s="582">
        <v>1.3470892069299472</v>
      </c>
      <c r="H26" s="582">
        <v>1.1874313337727973</v>
      </c>
      <c r="I26" s="582">
        <v>1.2226404649875449</v>
      </c>
      <c r="J26" s="582">
        <v>1.2779407694436757</v>
      </c>
      <c r="K26" s="582">
        <v>1.3581212307063275</v>
      </c>
      <c r="L26" s="582">
        <v>1.4744520546247646</v>
      </c>
      <c r="M26" s="582">
        <v>1.2878881667182502</v>
      </c>
      <c r="N26" s="582">
        <v>1.1884989943897533</v>
      </c>
      <c r="P26" s="138"/>
      <c r="Q26" s="138"/>
    </row>
    <row r="27" spans="1:17" ht="16" customHeight="1">
      <c r="A27" s="143" t="s">
        <v>37</v>
      </c>
      <c r="B27" s="669">
        <v>16.229855947774535</v>
      </c>
      <c r="C27" s="582">
        <v>1.381589038025836</v>
      </c>
      <c r="D27" s="582">
        <v>1.393949436439468</v>
      </c>
      <c r="E27" s="582">
        <v>1.3716672561840861</v>
      </c>
      <c r="F27" s="582">
        <v>1.3565577855016133</v>
      </c>
      <c r="G27" s="582">
        <v>1.3381431024161772</v>
      </c>
      <c r="H27" s="582">
        <v>1.3444016556638374</v>
      </c>
      <c r="I27" s="582">
        <v>1.370900423245228</v>
      </c>
      <c r="J27" s="582">
        <v>1.3976538658407791</v>
      </c>
      <c r="K27" s="582">
        <v>1.3497297207941414</v>
      </c>
      <c r="L27" s="582">
        <v>1.3464904478047277</v>
      </c>
      <c r="M27" s="582">
        <v>1.2188336189785869</v>
      </c>
      <c r="N27" s="582">
        <v>1.3602626431690445</v>
      </c>
      <c r="P27" s="138"/>
      <c r="Q27" s="138"/>
    </row>
    <row r="28" spans="1:17" ht="16" customHeight="1">
      <c r="A28" s="143" t="s">
        <v>38</v>
      </c>
      <c r="B28" s="669">
        <v>10.153504809444279</v>
      </c>
      <c r="C28" s="582">
        <v>0.86487633108480755</v>
      </c>
      <c r="D28" s="582">
        <v>0.85315305330821234</v>
      </c>
      <c r="E28" s="582">
        <v>0.88426392882412264</v>
      </c>
      <c r="F28" s="582">
        <v>0.81804313848077526</v>
      </c>
      <c r="G28" s="582">
        <v>0.85182858424949526</v>
      </c>
      <c r="H28" s="582">
        <v>0.82055190479416484</v>
      </c>
      <c r="I28" s="582">
        <v>0.8188155707160466</v>
      </c>
      <c r="J28" s="582">
        <v>0.82086946664399474</v>
      </c>
      <c r="K28" s="582">
        <v>0.89211918735891649</v>
      </c>
      <c r="L28" s="582">
        <v>0.83212719775254673</v>
      </c>
      <c r="M28" s="582">
        <v>0.88203698318479629</v>
      </c>
      <c r="N28" s="582">
        <v>0.86451180994232346</v>
      </c>
      <c r="P28" s="138"/>
      <c r="Q28" s="138"/>
    </row>
    <row r="29" spans="1:17" ht="16" customHeight="1">
      <c r="A29" s="121" t="s">
        <v>39</v>
      </c>
      <c r="B29" s="669">
        <v>10.193280988766819</v>
      </c>
      <c r="C29" s="582">
        <v>0.89745566692367007</v>
      </c>
      <c r="D29" s="582">
        <v>0.81085389520377038</v>
      </c>
      <c r="E29" s="582">
        <v>0.84310249048433039</v>
      </c>
      <c r="F29" s="582">
        <v>0.8777220550540511</v>
      </c>
      <c r="G29" s="582">
        <v>0.90395187454938719</v>
      </c>
      <c r="H29" s="582">
        <v>0.90935686092407697</v>
      </c>
      <c r="I29" s="582">
        <v>0.86456004372236295</v>
      </c>
      <c r="J29" s="582">
        <v>0.82728298210531714</v>
      </c>
      <c r="K29" s="582">
        <v>0.7101217946493632</v>
      </c>
      <c r="L29" s="582">
        <v>0.7950888822947576</v>
      </c>
      <c r="M29" s="582">
        <v>0.86737493141802591</v>
      </c>
      <c r="N29" s="582">
        <v>0.83606397740828209</v>
      </c>
      <c r="P29" s="138"/>
      <c r="Q29" s="138"/>
    </row>
    <row r="30" spans="1:17" ht="16" customHeight="1">
      <c r="A30" s="119" t="s">
        <v>97</v>
      </c>
      <c r="B30" s="669">
        <v>9.9408244674754336</v>
      </c>
      <c r="C30" s="582">
        <v>0.89660619405485631</v>
      </c>
      <c r="D30" s="582">
        <v>0.81368741028455627</v>
      </c>
      <c r="E30" s="582">
        <v>0.8332163225586644</v>
      </c>
      <c r="F30" s="582">
        <v>0.87134143845429612</v>
      </c>
      <c r="G30" s="582">
        <v>0.91757521108287565</v>
      </c>
      <c r="H30" s="582">
        <v>0.9404161545959232</v>
      </c>
      <c r="I30" s="582">
        <v>0.81978653530377665</v>
      </c>
      <c r="J30" s="582">
        <v>0.80723865690097973</v>
      </c>
      <c r="K30" s="582">
        <v>0.56860945387792572</v>
      </c>
      <c r="L30" s="582">
        <v>0.74110886174016699</v>
      </c>
      <c r="M30" s="582">
        <v>0.78871897479872333</v>
      </c>
      <c r="N30" s="582">
        <v>0.78156837087578279</v>
      </c>
      <c r="P30" s="138"/>
      <c r="Q30" s="138"/>
    </row>
    <row r="31" spans="1:17" ht="16" customHeight="1">
      <c r="A31" s="119" t="s">
        <v>98</v>
      </c>
      <c r="B31" s="669">
        <v>10.476185435412377</v>
      </c>
      <c r="C31" s="582">
        <v>0.89844053499084298</v>
      </c>
      <c r="D31" s="582">
        <v>0.80742932952342072</v>
      </c>
      <c r="E31" s="582">
        <v>0.85448510836520541</v>
      </c>
      <c r="F31" s="582">
        <v>0.88534938344098657</v>
      </c>
      <c r="G31" s="582">
        <v>0.88732112478735115</v>
      </c>
      <c r="H31" s="582">
        <v>0.87171981718276592</v>
      </c>
      <c r="I31" s="582">
        <v>0.91811238406983098</v>
      </c>
      <c r="J31" s="582">
        <v>0.85072302558398216</v>
      </c>
      <c r="K31" s="582">
        <v>0.79613925463066271</v>
      </c>
      <c r="L31" s="582">
        <v>0.85454308281369662</v>
      </c>
      <c r="M31" s="582">
        <v>0.9537865703668813</v>
      </c>
      <c r="N31" s="582">
        <v>0.89531988414045427</v>
      </c>
      <c r="P31" s="138"/>
      <c r="Q31" s="138"/>
    </row>
    <row r="32" spans="1:17" ht="16" customHeight="1">
      <c r="A32" s="143" t="s">
        <v>42</v>
      </c>
      <c r="B32" s="669">
        <v>10.135404695303555</v>
      </c>
      <c r="C32" s="582">
        <v>0.86768326774463223</v>
      </c>
      <c r="D32" s="582">
        <v>0.87805808096012194</v>
      </c>
      <c r="E32" s="582">
        <v>0.83891683318404187</v>
      </c>
      <c r="F32" s="582">
        <v>0.89282290279627174</v>
      </c>
      <c r="G32" s="582">
        <v>0.89261871401490633</v>
      </c>
      <c r="H32" s="582">
        <v>0.87706924005856379</v>
      </c>
      <c r="I32" s="582">
        <v>0.89142251865302458</v>
      </c>
      <c r="J32" s="582">
        <v>0.80927462346352286</v>
      </c>
      <c r="K32" s="582">
        <v>0.76593172881252192</v>
      </c>
      <c r="L32" s="582">
        <v>0.77701695895061218</v>
      </c>
      <c r="M32" s="582">
        <v>0.8111073517328049</v>
      </c>
      <c r="N32" s="582">
        <v>0.7969167155043303</v>
      </c>
      <c r="P32" s="138"/>
      <c r="Q32" s="138"/>
    </row>
    <row r="33" spans="1:17" ht="16" customHeight="1">
      <c r="A33" s="143" t="s">
        <v>43</v>
      </c>
      <c r="B33" s="669">
        <v>11.141062228744426</v>
      </c>
      <c r="C33" s="582">
        <v>0.89103963140026332</v>
      </c>
      <c r="D33" s="582">
        <v>0.93972332892623578</v>
      </c>
      <c r="E33" s="582">
        <v>0.92231418637292684</v>
      </c>
      <c r="F33" s="582">
        <v>0.92724905573995664</v>
      </c>
      <c r="G33" s="582">
        <v>0.94053054383632906</v>
      </c>
      <c r="H33" s="582">
        <v>0.98009446693657221</v>
      </c>
      <c r="I33" s="582">
        <v>0.99014944696180796</v>
      </c>
      <c r="J33" s="582">
        <v>0.9750227733537068</v>
      </c>
      <c r="K33" s="582">
        <v>0.93690092834895655</v>
      </c>
      <c r="L33" s="582">
        <v>0.87711050593236006</v>
      </c>
      <c r="M33" s="582">
        <v>0.89650746109001445</v>
      </c>
      <c r="N33" s="582">
        <v>0.84962544234569604</v>
      </c>
      <c r="P33" s="138"/>
      <c r="Q33" s="138"/>
    </row>
    <row r="34" spans="1:17" ht="16" customHeight="1">
      <c r="A34" s="121" t="s">
        <v>44</v>
      </c>
      <c r="B34" s="669">
        <v>16.699096763122778</v>
      </c>
      <c r="C34" s="582">
        <v>1.465552413442444</v>
      </c>
      <c r="D34" s="582">
        <v>1.3138497455806606</v>
      </c>
      <c r="E34" s="582">
        <v>1.4564554901770248</v>
      </c>
      <c r="F34" s="582">
        <v>1.467265118296972</v>
      </c>
      <c r="G34" s="582">
        <v>1.3830141923856725</v>
      </c>
      <c r="H34" s="582">
        <v>1.3200332136469173</v>
      </c>
      <c r="I34" s="582">
        <v>1.3153964990998614</v>
      </c>
      <c r="J34" s="582">
        <v>1.4165951585501864</v>
      </c>
      <c r="K34" s="582">
        <v>1.3799761585388262</v>
      </c>
      <c r="L34" s="582">
        <v>1.3849757317715232</v>
      </c>
      <c r="M34" s="582">
        <v>1.384131417762255</v>
      </c>
      <c r="N34" s="582">
        <v>1.403744157598773</v>
      </c>
      <c r="P34" s="138"/>
      <c r="Q34" s="138"/>
    </row>
    <row r="35" spans="1:17" ht="16" customHeight="1">
      <c r="A35" s="121" t="s">
        <v>45</v>
      </c>
      <c r="B35" s="669">
        <v>17.149470608327626</v>
      </c>
      <c r="C35" s="582">
        <v>1.4083390499657003</v>
      </c>
      <c r="D35" s="582">
        <v>1.4096288251183062</v>
      </c>
      <c r="E35" s="582">
        <v>1.3936266562426438</v>
      </c>
      <c r="F35" s="582">
        <v>1.4201818102041874</v>
      </c>
      <c r="G35" s="582">
        <v>1.4246396724259398</v>
      </c>
      <c r="H35" s="582">
        <v>1.3887433007967722</v>
      </c>
      <c r="I35" s="582">
        <v>1.3952392014867983</v>
      </c>
      <c r="J35" s="582">
        <v>1.4626735842637553</v>
      </c>
      <c r="K35" s="582">
        <v>1.479074860249342</v>
      </c>
      <c r="L35" s="582">
        <v>1.4912500243763425</v>
      </c>
      <c r="M35" s="582">
        <v>1.4500071612178596</v>
      </c>
      <c r="N35" s="582">
        <v>1.4261897290315046</v>
      </c>
      <c r="P35" s="138"/>
      <c r="Q35" s="138"/>
    </row>
    <row r="36" spans="1:17" ht="16" customHeight="1">
      <c r="A36" s="121" t="s">
        <v>46</v>
      </c>
      <c r="B36" s="669">
        <v>16.128703616276319</v>
      </c>
      <c r="C36" s="582">
        <v>1.440584520123839</v>
      </c>
      <c r="D36" s="582">
        <v>1.3645062901355471</v>
      </c>
      <c r="E36" s="582">
        <v>1.3432245107536327</v>
      </c>
      <c r="F36" s="582">
        <v>1.3435544243150175</v>
      </c>
      <c r="G36" s="582">
        <v>1.3120496018876502</v>
      </c>
      <c r="H36" s="582">
        <v>1.3153252312160819</v>
      </c>
      <c r="I36" s="582">
        <v>1.3192641325536065</v>
      </c>
      <c r="J36" s="582">
        <v>1.3761813254004303</v>
      </c>
      <c r="K36" s="582">
        <v>1.3451691856933576</v>
      </c>
      <c r="L36" s="582">
        <v>1.307212465167082</v>
      </c>
      <c r="M36" s="582">
        <v>1.3390282968499734</v>
      </c>
      <c r="N36" s="582">
        <v>1.3188308196970602</v>
      </c>
      <c r="P36" s="138"/>
      <c r="Q36" s="138"/>
    </row>
    <row r="37" spans="1:17" ht="16" customHeight="1" thickBot="1">
      <c r="A37" s="145" t="s">
        <v>47</v>
      </c>
      <c r="B37" s="670">
        <v>16.688830178734516</v>
      </c>
      <c r="C37" s="583">
        <v>1.4651887813295119</v>
      </c>
      <c r="D37" s="583">
        <v>1.4520519528413869</v>
      </c>
      <c r="E37" s="583">
        <v>1.4753932388272195</v>
      </c>
      <c r="F37" s="583">
        <v>1.4205265069563981</v>
      </c>
      <c r="G37" s="583">
        <v>1.4463755874066431</v>
      </c>
      <c r="H37" s="583">
        <v>1.5585533061257313</v>
      </c>
      <c r="I37" s="583">
        <v>1.4229827147259815</v>
      </c>
      <c r="J37" s="583">
        <v>1.3753876988600777</v>
      </c>
      <c r="K37" s="583">
        <v>1.2542434218793195</v>
      </c>
      <c r="L37" s="583">
        <v>1.2684312187526303</v>
      </c>
      <c r="M37" s="583">
        <v>1.2701880088823094</v>
      </c>
      <c r="N37" s="583">
        <v>1.2465248138571297</v>
      </c>
      <c r="P37" s="138"/>
      <c r="Q37" s="138"/>
    </row>
    <row r="38" spans="1:17" ht="9" customHeight="1">
      <c r="A38" s="449" t="s">
        <v>330</v>
      </c>
      <c r="B38" s="478"/>
      <c r="C38" s="478"/>
      <c r="D38" s="478"/>
      <c r="E38" s="478"/>
      <c r="F38" s="237"/>
    </row>
    <row r="39" spans="1:17" ht="9" customHeight="1">
      <c r="A39" s="449" t="s">
        <v>304</v>
      </c>
      <c r="B39" s="478"/>
      <c r="C39" s="478"/>
      <c r="D39" s="478"/>
      <c r="E39" s="478"/>
      <c r="F39" s="237"/>
    </row>
    <row r="40" spans="1:17" ht="9" customHeight="1">
      <c r="A40" s="451" t="s">
        <v>303</v>
      </c>
      <c r="B40" s="478"/>
      <c r="C40" s="478"/>
      <c r="D40" s="478"/>
      <c r="E40" s="478"/>
      <c r="F40" s="237"/>
    </row>
    <row r="41" spans="1:17" ht="13.25" customHeight="1">
      <c r="A41" s="11"/>
    </row>
    <row r="42" spans="1:17" ht="13.25" customHeight="1">
      <c r="A42" s="67"/>
    </row>
    <row r="43" spans="1:17" ht="13.25" customHeight="1">
      <c r="A43" s="67"/>
    </row>
    <row r="44" spans="1:17" ht="13.25" customHeight="1">
      <c r="A44" s="22"/>
    </row>
    <row r="45" spans="1:17" ht="13.25" customHeight="1">
      <c r="A45" s="30"/>
    </row>
    <row r="46" spans="1:17" ht="13.25" customHeight="1">
      <c r="A46" s="22"/>
    </row>
    <row r="47" spans="1:17" ht="13.25" customHeight="1">
      <c r="A47" s="67"/>
    </row>
    <row r="48" spans="1:17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Hoja75">
    <tabColor theme="9" tint="0.59999389629810485"/>
  </sheetPr>
  <dimension ref="A4:Q54"/>
  <sheetViews>
    <sheetView showGridLines="0" zoomScaleNormal="100" workbookViewId="0">
      <selection activeCell="N26" sqref="N26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7" ht="13" customHeight="1">
      <c r="A4" s="229" t="s">
        <v>557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7" ht="12" customHeight="1">
      <c r="A5" s="233" t="s">
        <v>211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2"/>
      <c r="P5" s="842"/>
    </row>
    <row r="6" spans="1:17" ht="6" customHeight="1" thickBot="1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spans="1:17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  <c r="O7" s="147"/>
      <c r="P7" s="147"/>
      <c r="Q7" s="138"/>
    </row>
    <row r="8" spans="1:17" ht="18" customHeight="1">
      <c r="A8" s="647" t="s">
        <v>87</v>
      </c>
      <c r="B8" s="648">
        <f t="shared" ref="B8:B37" si="0">AVERAGE(C8:N8)</f>
        <v>933906.96639178274</v>
      </c>
      <c r="C8" s="648">
        <f>(C9+C10+C11+C12+C13+C17+C18+C19+C20+C21+C22+C23+C24+C25+C26+C27+C28+C29+C32+C33+C34+C35+C36+C37)</f>
        <v>920502.36</v>
      </c>
      <c r="D8" s="648">
        <f t="shared" ref="D8:N8" si="1">(D9+D10+D11+D12+D13+D17+D18+D19+D20+D21+D22+D23+D24+D25+D26+D27+D28+D29+D32+D33+D34+D35+D36+D37)</f>
        <v>955923.72</v>
      </c>
      <c r="E8" s="648">
        <f t="shared" si="1"/>
        <v>969201.6891642767</v>
      </c>
      <c r="F8" s="648">
        <f t="shared" si="1"/>
        <v>971816.93210574647</v>
      </c>
      <c r="G8" s="648">
        <f t="shared" si="1"/>
        <v>970574.58332562365</v>
      </c>
      <c r="H8" s="648">
        <f t="shared" si="1"/>
        <v>962127.35999999999</v>
      </c>
      <c r="I8" s="648">
        <f t="shared" si="1"/>
        <v>938081.29210574646</v>
      </c>
      <c r="J8" s="648">
        <f t="shared" si="1"/>
        <v>921774</v>
      </c>
      <c r="K8" s="648">
        <f t="shared" si="1"/>
        <v>904776.66</v>
      </c>
      <c r="L8" s="648">
        <f t="shared" si="1"/>
        <v>893612</v>
      </c>
      <c r="M8" s="648">
        <f t="shared" si="1"/>
        <v>896758</v>
      </c>
      <c r="N8" s="648">
        <f t="shared" si="1"/>
        <v>901735</v>
      </c>
      <c r="Q8" s="138"/>
    </row>
    <row r="9" spans="1:17" ht="16" customHeight="1">
      <c r="A9" s="143" t="s">
        <v>19</v>
      </c>
      <c r="B9" s="642">
        <f t="shared" si="0"/>
        <v>314.33333333333331</v>
      </c>
      <c r="C9" s="238">
        <v>324</v>
      </c>
      <c r="D9" s="238">
        <v>313</v>
      </c>
      <c r="E9" s="238">
        <v>337</v>
      </c>
      <c r="F9" s="238">
        <v>306</v>
      </c>
      <c r="G9" s="238">
        <v>322</v>
      </c>
      <c r="H9" s="238">
        <v>304</v>
      </c>
      <c r="I9" s="238">
        <v>302</v>
      </c>
      <c r="J9" s="238">
        <v>282</v>
      </c>
      <c r="K9" s="238">
        <v>309</v>
      </c>
      <c r="L9" s="238">
        <v>318</v>
      </c>
      <c r="M9" s="238">
        <v>341</v>
      </c>
      <c r="N9" s="238">
        <v>314</v>
      </c>
      <c r="O9" s="149"/>
      <c r="Q9" s="138"/>
    </row>
    <row r="10" spans="1:17" ht="16" customHeight="1">
      <c r="A10" s="143" t="s">
        <v>20</v>
      </c>
      <c r="B10" s="642">
        <f t="shared" si="0"/>
        <v>25670.095350957748</v>
      </c>
      <c r="C10" s="238">
        <v>25569</v>
      </c>
      <c r="D10" s="238">
        <v>25929</v>
      </c>
      <c r="E10" s="238">
        <v>26078</v>
      </c>
      <c r="F10" s="238">
        <v>25928.572105746498</v>
      </c>
      <c r="G10" s="238">
        <v>25929</v>
      </c>
      <c r="H10" s="238">
        <v>25929</v>
      </c>
      <c r="I10" s="238">
        <v>25928.572105746498</v>
      </c>
      <c r="J10" s="238">
        <v>23929</v>
      </c>
      <c r="K10" s="238">
        <v>24806</v>
      </c>
      <c r="L10" s="238">
        <v>25929</v>
      </c>
      <c r="M10" s="238">
        <v>26147</v>
      </c>
      <c r="N10" s="238">
        <v>25939</v>
      </c>
      <c r="Q10" s="138"/>
    </row>
    <row r="11" spans="1:17" ht="16" customHeight="1">
      <c r="A11" s="143" t="s">
        <v>21</v>
      </c>
      <c r="B11" s="642">
        <f t="shared" si="0"/>
        <v>18164.166666666668</v>
      </c>
      <c r="C11" s="238">
        <v>18483</v>
      </c>
      <c r="D11" s="238">
        <v>18039</v>
      </c>
      <c r="E11" s="238">
        <v>17982</v>
      </c>
      <c r="F11" s="238">
        <v>17223</v>
      </c>
      <c r="G11" s="238">
        <v>17847</v>
      </c>
      <c r="H11" s="238">
        <v>17908</v>
      </c>
      <c r="I11" s="238">
        <v>17717</v>
      </c>
      <c r="J11" s="238">
        <v>17837</v>
      </c>
      <c r="K11" s="238">
        <v>18307</v>
      </c>
      <c r="L11" s="238">
        <v>19073</v>
      </c>
      <c r="M11" s="238">
        <v>19147</v>
      </c>
      <c r="N11" s="238">
        <v>18407</v>
      </c>
      <c r="Q11" s="138"/>
    </row>
    <row r="12" spans="1:17" ht="16" customHeight="1">
      <c r="A12" s="121" t="s">
        <v>22</v>
      </c>
      <c r="B12" s="642">
        <f t="shared" si="0"/>
        <v>58533.25</v>
      </c>
      <c r="C12" s="238">
        <v>56986</v>
      </c>
      <c r="D12" s="238">
        <v>56986</v>
      </c>
      <c r="E12" s="238">
        <v>56986</v>
      </c>
      <c r="F12" s="238">
        <v>60608</v>
      </c>
      <c r="G12" s="238">
        <v>60608</v>
      </c>
      <c r="H12" s="238">
        <v>60608</v>
      </c>
      <c r="I12" s="238">
        <v>59787</v>
      </c>
      <c r="J12" s="238">
        <v>59787</v>
      </c>
      <c r="K12" s="238">
        <v>59787</v>
      </c>
      <c r="L12" s="238">
        <v>56752</v>
      </c>
      <c r="M12" s="238">
        <v>56752</v>
      </c>
      <c r="N12" s="238">
        <v>56752</v>
      </c>
      <c r="Q12" s="138"/>
    </row>
    <row r="13" spans="1:17" ht="16" customHeight="1">
      <c r="A13" s="121" t="s">
        <v>23</v>
      </c>
      <c r="B13" s="642">
        <f t="shared" si="0"/>
        <v>170496.75</v>
      </c>
      <c r="C13" s="238">
        <v>170098</v>
      </c>
      <c r="D13" s="238">
        <v>169001</v>
      </c>
      <c r="E13" s="238">
        <v>168648</v>
      </c>
      <c r="F13" s="238">
        <v>168832</v>
      </c>
      <c r="G13" s="238">
        <v>169610</v>
      </c>
      <c r="H13" s="238">
        <v>169994</v>
      </c>
      <c r="I13" s="238">
        <v>170086</v>
      </c>
      <c r="J13" s="238">
        <v>170542</v>
      </c>
      <c r="K13" s="238">
        <v>170695</v>
      </c>
      <c r="L13" s="238">
        <v>171113</v>
      </c>
      <c r="M13" s="238">
        <v>172769</v>
      </c>
      <c r="N13" s="238">
        <v>174573</v>
      </c>
      <c r="Q13" s="138"/>
    </row>
    <row r="14" spans="1:17" ht="16" customHeight="1">
      <c r="A14" s="119" t="s">
        <v>94</v>
      </c>
      <c r="B14" s="642">
        <f t="shared" si="0"/>
        <v>99441</v>
      </c>
      <c r="C14" s="238">
        <v>98968</v>
      </c>
      <c r="D14" s="238">
        <v>98769</v>
      </c>
      <c r="E14" s="238">
        <v>99047</v>
      </c>
      <c r="F14" s="238">
        <v>99247</v>
      </c>
      <c r="G14" s="238">
        <v>99180</v>
      </c>
      <c r="H14" s="238">
        <v>99219</v>
      </c>
      <c r="I14" s="238">
        <v>99347</v>
      </c>
      <c r="J14" s="238">
        <v>99408</v>
      </c>
      <c r="K14" s="238">
        <v>99314</v>
      </c>
      <c r="L14" s="238">
        <v>99547</v>
      </c>
      <c r="M14" s="238">
        <v>99878</v>
      </c>
      <c r="N14" s="238">
        <v>101368</v>
      </c>
      <c r="Q14" s="138"/>
    </row>
    <row r="15" spans="1:17" ht="16" customHeight="1">
      <c r="A15" s="119" t="s">
        <v>95</v>
      </c>
      <c r="B15" s="642">
        <f t="shared" si="0"/>
        <v>65188.416666666664</v>
      </c>
      <c r="C15" s="238">
        <v>66350</v>
      </c>
      <c r="D15" s="238">
        <v>65473</v>
      </c>
      <c r="E15" s="238">
        <v>64789</v>
      </c>
      <c r="F15" s="238">
        <v>63978</v>
      </c>
      <c r="G15" s="238">
        <v>64056</v>
      </c>
      <c r="H15" s="238">
        <v>64528</v>
      </c>
      <c r="I15" s="238">
        <v>64581</v>
      </c>
      <c r="J15" s="238">
        <v>65077</v>
      </c>
      <c r="K15" s="238">
        <v>65009</v>
      </c>
      <c r="L15" s="238">
        <v>65214</v>
      </c>
      <c r="M15" s="238">
        <v>66473</v>
      </c>
      <c r="N15" s="238">
        <v>66733</v>
      </c>
      <c r="Q15" s="138"/>
    </row>
    <row r="16" spans="1:17" ht="16" customHeight="1">
      <c r="A16" s="119" t="s">
        <v>96</v>
      </c>
      <c r="B16" s="642">
        <f t="shared" si="0"/>
        <v>5867.333333333333</v>
      </c>
      <c r="C16" s="238">
        <v>4780</v>
      </c>
      <c r="D16" s="238">
        <v>4759</v>
      </c>
      <c r="E16" s="238">
        <v>4812</v>
      </c>
      <c r="F16" s="238">
        <v>5607</v>
      </c>
      <c r="G16" s="238">
        <v>6374</v>
      </c>
      <c r="H16" s="238">
        <v>6247</v>
      </c>
      <c r="I16" s="238">
        <v>6158</v>
      </c>
      <c r="J16" s="238">
        <v>6057</v>
      </c>
      <c r="K16" s="238">
        <v>6372</v>
      </c>
      <c r="L16" s="238">
        <v>6352</v>
      </c>
      <c r="M16" s="238">
        <v>6418</v>
      </c>
      <c r="N16" s="238">
        <v>6472</v>
      </c>
      <c r="Q16" s="138"/>
    </row>
    <row r="17" spans="1:17" ht="16" customHeight="1">
      <c r="A17" s="143" t="s">
        <v>27</v>
      </c>
      <c r="B17" s="642">
        <f t="shared" si="0"/>
        <v>81402.666666666672</v>
      </c>
      <c r="C17" s="238">
        <v>84043</v>
      </c>
      <c r="D17" s="238">
        <v>83584</v>
      </c>
      <c r="E17" s="238">
        <v>83609</v>
      </c>
      <c r="F17" s="238">
        <v>81727</v>
      </c>
      <c r="G17" s="238">
        <v>83213</v>
      </c>
      <c r="H17" s="238">
        <v>82978</v>
      </c>
      <c r="I17" s="238">
        <v>82979</v>
      </c>
      <c r="J17" s="238">
        <v>82479</v>
      </c>
      <c r="K17" s="238">
        <v>81546</v>
      </c>
      <c r="L17" s="238">
        <v>78414</v>
      </c>
      <c r="M17" s="238">
        <v>77336</v>
      </c>
      <c r="N17" s="238">
        <v>74924</v>
      </c>
      <c r="Q17" s="138"/>
    </row>
    <row r="18" spans="1:17" ht="16" customHeight="1">
      <c r="A18" s="121" t="s">
        <v>28</v>
      </c>
      <c r="B18" s="642">
        <f t="shared" si="0"/>
        <v>19937</v>
      </c>
      <c r="C18" s="238">
        <v>19680</v>
      </c>
      <c r="D18" s="238">
        <v>18998</v>
      </c>
      <c r="E18" s="238">
        <v>23484</v>
      </c>
      <c r="F18" s="238">
        <v>19832</v>
      </c>
      <c r="G18" s="238">
        <v>19978</v>
      </c>
      <c r="H18" s="238">
        <v>19813</v>
      </c>
      <c r="I18" s="238">
        <v>20028</v>
      </c>
      <c r="J18" s="238">
        <v>19713</v>
      </c>
      <c r="K18" s="238">
        <v>19724</v>
      </c>
      <c r="L18" s="238">
        <v>19938</v>
      </c>
      <c r="M18" s="238">
        <v>18454</v>
      </c>
      <c r="N18" s="238">
        <v>19602</v>
      </c>
      <c r="Q18" s="138"/>
    </row>
    <row r="19" spans="1:17" ht="16" customHeight="1">
      <c r="A19" s="121" t="s">
        <v>29</v>
      </c>
      <c r="B19" s="642">
        <f t="shared" si="0"/>
        <v>74349.218333333338</v>
      </c>
      <c r="C19" s="238">
        <v>73299.360000000001</v>
      </c>
      <c r="D19" s="238">
        <v>73515.72</v>
      </c>
      <c r="E19" s="238">
        <v>72545.72</v>
      </c>
      <c r="F19" s="238">
        <v>74822.36</v>
      </c>
      <c r="G19" s="238">
        <v>74273.72</v>
      </c>
      <c r="H19" s="238">
        <v>74864.36</v>
      </c>
      <c r="I19" s="238">
        <v>76009.72</v>
      </c>
      <c r="J19" s="238">
        <v>76894</v>
      </c>
      <c r="K19" s="238">
        <v>75416.66</v>
      </c>
      <c r="L19" s="238">
        <v>72020</v>
      </c>
      <c r="M19" s="238">
        <v>74506</v>
      </c>
      <c r="N19" s="238">
        <v>74023</v>
      </c>
      <c r="Q19" s="138"/>
    </row>
    <row r="20" spans="1:17" ht="16" customHeight="1">
      <c r="A20" s="143" t="s">
        <v>30</v>
      </c>
      <c r="B20" s="642">
        <f t="shared" si="0"/>
        <v>19764.083333333332</v>
      </c>
      <c r="C20" s="238">
        <v>19190</v>
      </c>
      <c r="D20" s="238">
        <v>19087</v>
      </c>
      <c r="E20" s="238">
        <v>19137</v>
      </c>
      <c r="F20" s="238">
        <v>19248</v>
      </c>
      <c r="G20" s="238">
        <v>19260</v>
      </c>
      <c r="H20" s="238">
        <v>19311</v>
      </c>
      <c r="I20" s="238">
        <v>19517</v>
      </c>
      <c r="J20" s="238">
        <v>20243</v>
      </c>
      <c r="K20" s="238">
        <v>20337</v>
      </c>
      <c r="L20" s="238">
        <v>20550</v>
      </c>
      <c r="M20" s="238">
        <v>20665</v>
      </c>
      <c r="N20" s="238">
        <v>20624</v>
      </c>
      <c r="Q20" s="138"/>
    </row>
    <row r="21" spans="1:17" ht="16" customHeight="1">
      <c r="A21" s="143" t="s">
        <v>31</v>
      </c>
      <c r="B21" s="642">
        <f t="shared" si="0"/>
        <v>42467.666666666664</v>
      </c>
      <c r="C21" s="238">
        <v>42663</v>
      </c>
      <c r="D21" s="238">
        <v>43255</v>
      </c>
      <c r="E21" s="238">
        <v>43296</v>
      </c>
      <c r="F21" s="238">
        <v>45140</v>
      </c>
      <c r="G21" s="238">
        <v>44089</v>
      </c>
      <c r="H21" s="238">
        <v>42754</v>
      </c>
      <c r="I21" s="238">
        <v>42427</v>
      </c>
      <c r="J21" s="238">
        <v>42552</v>
      </c>
      <c r="K21" s="238">
        <v>41065</v>
      </c>
      <c r="L21" s="238">
        <v>40322</v>
      </c>
      <c r="M21" s="238">
        <v>40962</v>
      </c>
      <c r="N21" s="238">
        <v>41087</v>
      </c>
      <c r="Q21" s="138"/>
    </row>
    <row r="22" spans="1:17" ht="16" customHeight="1">
      <c r="A22" s="143" t="s">
        <v>32</v>
      </c>
      <c r="B22" s="642">
        <f t="shared" si="0"/>
        <v>32505.405277135305</v>
      </c>
      <c r="C22" s="238">
        <v>32512</v>
      </c>
      <c r="D22" s="238">
        <v>33539</v>
      </c>
      <c r="E22" s="238">
        <v>33542</v>
      </c>
      <c r="F22" s="238">
        <v>31411</v>
      </c>
      <c r="G22" s="238">
        <v>31980.86332562369</v>
      </c>
      <c r="H22" s="238">
        <v>32540</v>
      </c>
      <c r="I22" s="238">
        <v>33043</v>
      </c>
      <c r="J22" s="238">
        <v>32298</v>
      </c>
      <c r="K22" s="238">
        <v>33540</v>
      </c>
      <c r="L22" s="238">
        <v>33539</v>
      </c>
      <c r="M22" s="238">
        <v>30414</v>
      </c>
      <c r="N22" s="238">
        <v>31706</v>
      </c>
      <c r="Q22" s="138"/>
    </row>
    <row r="23" spans="1:17" ht="16" customHeight="1">
      <c r="A23" s="143" t="s">
        <v>33</v>
      </c>
      <c r="B23" s="642">
        <f t="shared" si="0"/>
        <v>41903</v>
      </c>
      <c r="C23" s="238">
        <v>41023</v>
      </c>
      <c r="D23" s="238">
        <v>42346</v>
      </c>
      <c r="E23" s="238">
        <v>42312</v>
      </c>
      <c r="F23" s="238">
        <v>41857</v>
      </c>
      <c r="G23" s="238">
        <v>41825</v>
      </c>
      <c r="H23" s="238">
        <v>41687</v>
      </c>
      <c r="I23" s="238">
        <v>41781</v>
      </c>
      <c r="J23" s="238">
        <v>41755</v>
      </c>
      <c r="K23" s="238">
        <v>41682</v>
      </c>
      <c r="L23" s="238">
        <v>41781</v>
      </c>
      <c r="M23" s="238">
        <v>42207</v>
      </c>
      <c r="N23" s="238">
        <v>42580</v>
      </c>
      <c r="Q23" s="138"/>
    </row>
    <row r="24" spans="1:17" ht="16" customHeight="1">
      <c r="A24" s="143" t="s">
        <v>34</v>
      </c>
      <c r="B24" s="642">
        <f t="shared" si="0"/>
        <v>12742.75</v>
      </c>
      <c r="C24" s="238">
        <v>11987</v>
      </c>
      <c r="D24" s="238">
        <v>12038</v>
      </c>
      <c r="E24" s="238">
        <v>12128</v>
      </c>
      <c r="F24" s="238">
        <v>13278</v>
      </c>
      <c r="G24" s="238">
        <v>13068</v>
      </c>
      <c r="H24" s="238">
        <v>12309</v>
      </c>
      <c r="I24" s="238">
        <v>12297</v>
      </c>
      <c r="J24" s="238">
        <v>13499</v>
      </c>
      <c r="K24" s="238">
        <v>13583</v>
      </c>
      <c r="L24" s="238">
        <v>13679</v>
      </c>
      <c r="M24" s="238">
        <v>12473</v>
      </c>
      <c r="N24" s="238">
        <v>12574</v>
      </c>
      <c r="Q24" s="138"/>
    </row>
    <row r="25" spans="1:17" ht="16" customHeight="1">
      <c r="A25" s="121" t="s">
        <v>35</v>
      </c>
      <c r="B25" s="642">
        <f t="shared" si="0"/>
        <v>64832.916666666664</v>
      </c>
      <c r="C25" s="238">
        <v>65584</v>
      </c>
      <c r="D25" s="238">
        <v>65379</v>
      </c>
      <c r="E25" s="238">
        <v>65051</v>
      </c>
      <c r="F25" s="238">
        <v>64925</v>
      </c>
      <c r="G25" s="238">
        <v>65223</v>
      </c>
      <c r="H25" s="238">
        <v>64955</v>
      </c>
      <c r="I25" s="238">
        <v>64959</v>
      </c>
      <c r="J25" s="238">
        <v>64793</v>
      </c>
      <c r="K25" s="238">
        <v>64417</v>
      </c>
      <c r="L25" s="238">
        <v>64267</v>
      </c>
      <c r="M25" s="238">
        <v>64269</v>
      </c>
      <c r="N25" s="238">
        <v>64173</v>
      </c>
      <c r="Q25" s="138"/>
    </row>
    <row r="26" spans="1:17" ht="16" customHeight="1">
      <c r="A26" s="143" t="s">
        <v>36</v>
      </c>
      <c r="B26" s="642">
        <f t="shared" si="0"/>
        <v>5771.9375567614625</v>
      </c>
      <c r="C26" s="238">
        <v>5802</v>
      </c>
      <c r="D26" s="238">
        <v>5785</v>
      </c>
      <c r="E26" s="238">
        <v>5737.250681137557</v>
      </c>
      <c r="F26" s="238">
        <v>5725</v>
      </c>
      <c r="G26" s="238">
        <v>5725</v>
      </c>
      <c r="H26" s="238">
        <v>5732</v>
      </c>
      <c r="I26" s="238">
        <v>5701</v>
      </c>
      <c r="J26" s="238">
        <v>5718</v>
      </c>
      <c r="K26" s="238">
        <v>5742</v>
      </c>
      <c r="L26" s="238">
        <v>5802</v>
      </c>
      <c r="M26" s="238">
        <v>5824</v>
      </c>
      <c r="N26" s="238">
        <v>5970</v>
      </c>
      <c r="Q26" s="138"/>
    </row>
    <row r="27" spans="1:17" ht="16" customHeight="1">
      <c r="A27" s="143" t="s">
        <v>37</v>
      </c>
      <c r="B27" s="642">
        <f t="shared" si="0"/>
        <v>5459.833333333333</v>
      </c>
      <c r="C27" s="238">
        <v>5396</v>
      </c>
      <c r="D27" s="238">
        <v>5396</v>
      </c>
      <c r="E27" s="238">
        <v>5396</v>
      </c>
      <c r="F27" s="238">
        <v>5396</v>
      </c>
      <c r="G27" s="238">
        <v>5396</v>
      </c>
      <c r="H27" s="238">
        <v>5396</v>
      </c>
      <c r="I27" s="238">
        <v>5396</v>
      </c>
      <c r="J27" s="238">
        <v>5425</v>
      </c>
      <c r="K27" s="238">
        <v>5528</v>
      </c>
      <c r="L27" s="238">
        <v>5596</v>
      </c>
      <c r="M27" s="238">
        <v>5595</v>
      </c>
      <c r="N27" s="238">
        <v>5602</v>
      </c>
      <c r="Q27" s="138"/>
    </row>
    <row r="28" spans="1:17" ht="16" customHeight="1">
      <c r="A28" s="143" t="s">
        <v>38</v>
      </c>
      <c r="B28" s="642">
        <f t="shared" si="0"/>
        <v>28580.166666666668</v>
      </c>
      <c r="C28" s="238">
        <v>18280</v>
      </c>
      <c r="D28" s="238">
        <v>28697</v>
      </c>
      <c r="E28" s="238">
        <v>39827</v>
      </c>
      <c r="F28" s="238">
        <v>44982</v>
      </c>
      <c r="G28" s="238">
        <v>45089</v>
      </c>
      <c r="H28" s="238">
        <v>41809</v>
      </c>
      <c r="I28" s="238">
        <v>33419</v>
      </c>
      <c r="J28" s="238">
        <v>24749</v>
      </c>
      <c r="K28" s="238">
        <v>18607</v>
      </c>
      <c r="L28" s="238">
        <v>16890</v>
      </c>
      <c r="M28" s="238">
        <v>14706</v>
      </c>
      <c r="N28" s="238">
        <v>15907</v>
      </c>
      <c r="Q28" s="138"/>
    </row>
    <row r="29" spans="1:17" ht="16" customHeight="1">
      <c r="A29" s="121" t="s">
        <v>39</v>
      </c>
      <c r="B29" s="642">
        <f t="shared" si="0"/>
        <v>28414.916666666668</v>
      </c>
      <c r="C29" s="238">
        <v>29371</v>
      </c>
      <c r="D29" s="238">
        <v>28577</v>
      </c>
      <c r="E29" s="238">
        <v>28813</v>
      </c>
      <c r="F29" s="238">
        <v>29508</v>
      </c>
      <c r="G29" s="238">
        <v>29597</v>
      </c>
      <c r="H29" s="238">
        <v>28236</v>
      </c>
      <c r="I29" s="238">
        <v>28078</v>
      </c>
      <c r="J29" s="238">
        <v>27959</v>
      </c>
      <c r="K29" s="238">
        <v>27465</v>
      </c>
      <c r="L29" s="238">
        <v>26746</v>
      </c>
      <c r="M29" s="238">
        <v>28924</v>
      </c>
      <c r="N29" s="238">
        <v>27705</v>
      </c>
      <c r="Q29" s="138"/>
    </row>
    <row r="30" spans="1:17" ht="16" customHeight="1">
      <c r="A30" s="119" t="s">
        <v>97</v>
      </c>
      <c r="B30" s="642">
        <f t="shared" si="0"/>
        <v>17412.666666666668</v>
      </c>
      <c r="C30" s="238">
        <v>17982</v>
      </c>
      <c r="D30" s="238">
        <v>17680</v>
      </c>
      <c r="E30" s="238">
        <v>18047</v>
      </c>
      <c r="F30" s="238">
        <v>18099</v>
      </c>
      <c r="G30" s="238">
        <v>18299</v>
      </c>
      <c r="H30" s="238">
        <v>17188</v>
      </c>
      <c r="I30" s="238">
        <v>17069</v>
      </c>
      <c r="J30" s="238">
        <v>16986</v>
      </c>
      <c r="K30" s="238">
        <v>16479</v>
      </c>
      <c r="L30" s="238">
        <v>15939</v>
      </c>
      <c r="M30" s="238">
        <v>17977</v>
      </c>
      <c r="N30" s="238">
        <v>17207</v>
      </c>
      <c r="Q30" s="138"/>
    </row>
    <row r="31" spans="1:17" ht="16" customHeight="1">
      <c r="A31" s="119" t="s">
        <v>98</v>
      </c>
      <c r="B31" s="642">
        <f t="shared" si="0"/>
        <v>11002.25</v>
      </c>
      <c r="C31" s="238">
        <v>11389</v>
      </c>
      <c r="D31" s="238">
        <v>10897</v>
      </c>
      <c r="E31" s="238">
        <v>10766</v>
      </c>
      <c r="F31" s="238">
        <v>11409</v>
      </c>
      <c r="G31" s="238">
        <v>11298</v>
      </c>
      <c r="H31" s="238">
        <v>11048</v>
      </c>
      <c r="I31" s="238">
        <v>11009</v>
      </c>
      <c r="J31" s="238">
        <v>10973</v>
      </c>
      <c r="K31" s="238">
        <v>10986</v>
      </c>
      <c r="L31" s="238">
        <v>10807</v>
      </c>
      <c r="M31" s="238">
        <v>10947</v>
      </c>
      <c r="N31" s="238">
        <v>10498</v>
      </c>
      <c r="Q31" s="138"/>
    </row>
    <row r="32" spans="1:17" ht="16" customHeight="1">
      <c r="A32" s="143" t="s">
        <v>42</v>
      </c>
      <c r="B32" s="642">
        <f t="shared" si="0"/>
        <v>81970.116666666669</v>
      </c>
      <c r="C32" s="238">
        <v>81697</v>
      </c>
      <c r="D32" s="238">
        <v>81597</v>
      </c>
      <c r="E32" s="238">
        <v>82347.399999999994</v>
      </c>
      <c r="F32" s="238">
        <v>82143</v>
      </c>
      <c r="G32" s="238">
        <v>83127</v>
      </c>
      <c r="H32" s="238">
        <v>82190</v>
      </c>
      <c r="I32" s="238">
        <v>82237</v>
      </c>
      <c r="J32" s="238">
        <v>81364</v>
      </c>
      <c r="K32" s="238">
        <v>81307</v>
      </c>
      <c r="L32" s="238">
        <v>81396</v>
      </c>
      <c r="M32" s="238">
        <v>81667</v>
      </c>
      <c r="N32" s="238">
        <v>82569</v>
      </c>
      <c r="Q32" s="138"/>
    </row>
    <row r="33" spans="1:17" ht="16" customHeight="1">
      <c r="A33" s="143" t="s">
        <v>43</v>
      </c>
      <c r="B33" s="642">
        <f t="shared" si="0"/>
        <v>95466.25</v>
      </c>
      <c r="C33" s="238">
        <v>93510</v>
      </c>
      <c r="D33" s="238">
        <v>118470</v>
      </c>
      <c r="E33" s="238">
        <v>116620</v>
      </c>
      <c r="F33" s="238">
        <v>113670</v>
      </c>
      <c r="G33" s="238">
        <v>109280</v>
      </c>
      <c r="H33" s="238">
        <v>107410</v>
      </c>
      <c r="I33" s="238">
        <v>91220</v>
      </c>
      <c r="J33" s="238">
        <v>84750</v>
      </c>
      <c r="K33" s="238">
        <v>75680</v>
      </c>
      <c r="L33" s="238">
        <v>74180</v>
      </c>
      <c r="M33" s="238">
        <v>78405</v>
      </c>
      <c r="N33" s="238">
        <v>82400</v>
      </c>
      <c r="Q33" s="138"/>
    </row>
    <row r="34" spans="1:17" ht="16" customHeight="1">
      <c r="A34" s="121" t="s">
        <v>44</v>
      </c>
      <c r="B34" s="642">
        <f t="shared" si="0"/>
        <v>20404.276540261602</v>
      </c>
      <c r="C34" s="238">
        <v>20160</v>
      </c>
      <c r="D34" s="238">
        <v>20425</v>
      </c>
      <c r="E34" s="238">
        <v>20432.318483139195</v>
      </c>
      <c r="F34" s="238">
        <v>20511</v>
      </c>
      <c r="G34" s="238">
        <v>20418</v>
      </c>
      <c r="H34" s="238">
        <v>20490</v>
      </c>
      <c r="I34" s="238">
        <v>20348</v>
      </c>
      <c r="J34" s="238">
        <v>20397</v>
      </c>
      <c r="K34" s="238">
        <v>20404</v>
      </c>
      <c r="L34" s="238">
        <v>20404</v>
      </c>
      <c r="M34" s="238">
        <v>20412</v>
      </c>
      <c r="N34" s="238">
        <v>20450</v>
      </c>
      <c r="Q34" s="138"/>
    </row>
    <row r="35" spans="1:17" ht="16" customHeight="1">
      <c r="A35" s="121" t="s">
        <v>45</v>
      </c>
      <c r="B35" s="642">
        <f t="shared" si="0"/>
        <v>1134.1666666666667</v>
      </c>
      <c r="C35" s="238">
        <v>1181</v>
      </c>
      <c r="D35" s="238">
        <v>1174</v>
      </c>
      <c r="E35" s="238">
        <v>1116</v>
      </c>
      <c r="F35" s="238">
        <v>1084</v>
      </c>
      <c r="G35" s="238">
        <v>1071</v>
      </c>
      <c r="H35" s="238">
        <v>1110</v>
      </c>
      <c r="I35" s="238">
        <v>1136</v>
      </c>
      <c r="J35" s="238">
        <v>1148</v>
      </c>
      <c r="K35" s="238">
        <v>1137</v>
      </c>
      <c r="L35" s="238">
        <v>1113</v>
      </c>
      <c r="M35" s="238">
        <v>1179</v>
      </c>
      <c r="N35" s="238">
        <v>1161</v>
      </c>
      <c r="Q35" s="138"/>
    </row>
    <row r="36" spans="1:17" ht="16" customHeight="1">
      <c r="A36" s="121" t="s">
        <v>46</v>
      </c>
      <c r="B36" s="642">
        <f t="shared" si="0"/>
        <v>2711.5</v>
      </c>
      <c r="C36" s="238">
        <v>2674</v>
      </c>
      <c r="D36" s="238">
        <v>2826</v>
      </c>
      <c r="E36" s="238">
        <v>2844</v>
      </c>
      <c r="F36" s="238">
        <v>2744</v>
      </c>
      <c r="G36" s="238">
        <v>2718</v>
      </c>
      <c r="H36" s="238">
        <v>2899</v>
      </c>
      <c r="I36" s="238">
        <v>2799</v>
      </c>
      <c r="J36" s="238">
        <v>2739</v>
      </c>
      <c r="K36" s="238">
        <v>2795</v>
      </c>
      <c r="L36" s="238">
        <v>2881</v>
      </c>
      <c r="M36" s="238">
        <v>2770</v>
      </c>
      <c r="N36" s="238">
        <v>1849</v>
      </c>
      <c r="Q36" s="138"/>
    </row>
    <row r="37" spans="1:17" ht="16" customHeight="1" thickBot="1">
      <c r="A37" s="145" t="s">
        <v>47</v>
      </c>
      <c r="B37" s="643">
        <f t="shared" si="0"/>
        <v>910.5</v>
      </c>
      <c r="C37" s="239">
        <v>990</v>
      </c>
      <c r="D37" s="239">
        <v>967</v>
      </c>
      <c r="E37" s="239">
        <v>933</v>
      </c>
      <c r="F37" s="239">
        <v>916</v>
      </c>
      <c r="G37" s="239">
        <v>927</v>
      </c>
      <c r="H37" s="239">
        <v>901</v>
      </c>
      <c r="I37" s="239">
        <v>886</v>
      </c>
      <c r="J37" s="239">
        <v>922</v>
      </c>
      <c r="K37" s="239">
        <v>897</v>
      </c>
      <c r="L37" s="239">
        <v>909</v>
      </c>
      <c r="M37" s="239">
        <v>834</v>
      </c>
      <c r="N37" s="239">
        <v>844</v>
      </c>
      <c r="Q37" s="138"/>
    </row>
    <row r="38" spans="1:17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7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7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7" ht="13.25" customHeight="1">
      <c r="A41" s="11"/>
    </row>
    <row r="42" spans="1:17" ht="13.25" customHeight="1">
      <c r="A42" s="67"/>
    </row>
    <row r="43" spans="1:17" ht="13.25" customHeight="1">
      <c r="A43" s="67"/>
    </row>
    <row r="44" spans="1:17" ht="13.25" customHeight="1">
      <c r="A44" s="22"/>
    </row>
    <row r="45" spans="1:17" ht="13.25" customHeight="1">
      <c r="A45" s="30"/>
    </row>
    <row r="46" spans="1:17" ht="13.25" customHeight="1">
      <c r="A46" s="22"/>
    </row>
    <row r="47" spans="1:17" ht="13.25" customHeight="1">
      <c r="A47" s="67"/>
    </row>
    <row r="48" spans="1:17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Hoja76">
    <tabColor theme="9" tint="0.59999389629810485"/>
  </sheetPr>
  <dimension ref="A4:P59"/>
  <sheetViews>
    <sheetView showGridLines="0" zoomScaleNormal="100" workbookViewId="0">
      <selection activeCell="D20" sqref="D20"/>
    </sheetView>
  </sheetViews>
  <sheetFormatPr baseColWidth="10" defaultColWidth="7" defaultRowHeight="13.25" customHeight="1"/>
  <cols>
    <col min="1" max="1" width="12.796875" style="121" customWidth="1"/>
    <col min="2" max="2" width="10.3984375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556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935"/>
    </row>
    <row r="5" spans="1:16" ht="12" customHeight="1">
      <c r="A5" s="233" t="s">
        <v>210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2"/>
      <c r="P5" s="842"/>
    </row>
    <row r="6" spans="1:16" ht="6" customHeight="1" thickBot="1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16" ht="18" customHeight="1">
      <c r="A8" s="932" t="s">
        <v>87</v>
      </c>
      <c r="B8" s="933">
        <f t="shared" ref="B8:B37" si="0">SUM(C8:N8)</f>
        <v>2228888.9714991995</v>
      </c>
      <c r="C8" s="934">
        <f>(C9+C10+C11+C12+C13+C17++C18+C19+C20+C21+C22+C23+C24+C25+C26+C27+C28+C29+C32+C33+C34+C35+C36+C37+C38)</f>
        <v>185338.34671928137</v>
      </c>
      <c r="D8" s="934">
        <f t="shared" ref="D8:N8" si="1">(D9+D10+D11+D12+D13+D17++D18+D19+D20+D21+D22+D23+D24+D25+D26+D27+D28+D29+D32+D33+D34+D35+D36+D37+D38)</f>
        <v>180951.02304001022</v>
      </c>
      <c r="E8" s="934">
        <f t="shared" si="1"/>
        <v>191960.31088971102</v>
      </c>
      <c r="F8" s="934">
        <f t="shared" si="1"/>
        <v>194197.10946517807</v>
      </c>
      <c r="G8" s="934">
        <f t="shared" si="1"/>
        <v>196177.54893245755</v>
      </c>
      <c r="H8" s="934">
        <f t="shared" si="1"/>
        <v>191233.39942091337</v>
      </c>
      <c r="I8" s="934">
        <f t="shared" si="1"/>
        <v>189444.62151941404</v>
      </c>
      <c r="J8" s="934">
        <f t="shared" si="1"/>
        <v>185274.86240357812</v>
      </c>
      <c r="K8" s="934">
        <f t="shared" si="1"/>
        <v>176821.57761315696</v>
      </c>
      <c r="L8" s="934">
        <f t="shared" si="1"/>
        <v>179492.74711552772</v>
      </c>
      <c r="M8" s="934">
        <f t="shared" si="1"/>
        <v>176419.932063499</v>
      </c>
      <c r="N8" s="934">
        <f t="shared" si="1"/>
        <v>181577.49231647202</v>
      </c>
    </row>
    <row r="9" spans="1:16" ht="16" customHeight="1">
      <c r="A9" s="143" t="s">
        <v>19</v>
      </c>
      <c r="B9" s="666">
        <f t="shared" si="0"/>
        <v>304.54310000000009</v>
      </c>
      <c r="C9" s="238">
        <v>23.170999999999999</v>
      </c>
      <c r="D9" s="238">
        <v>22.139399999999998</v>
      </c>
      <c r="E9" s="238">
        <v>24.251999999999999</v>
      </c>
      <c r="F9" s="238">
        <v>29.91</v>
      </c>
      <c r="G9" s="238">
        <v>31.264700000000001</v>
      </c>
      <c r="H9" s="238">
        <v>27.882999999999999</v>
      </c>
      <c r="I9" s="238">
        <v>27.24</v>
      </c>
      <c r="J9" s="238">
        <v>20.776</v>
      </c>
      <c r="K9" s="238">
        <v>23.071999999999999</v>
      </c>
      <c r="L9" s="238">
        <v>23.628</v>
      </c>
      <c r="M9" s="238">
        <v>24.838000000000001</v>
      </c>
      <c r="N9" s="238">
        <v>26.369</v>
      </c>
      <c r="O9" s="149"/>
    </row>
    <row r="10" spans="1:16" ht="16" customHeight="1">
      <c r="A10" s="143" t="s">
        <v>20</v>
      </c>
      <c r="B10" s="666">
        <f t="shared" si="0"/>
        <v>44641.051197489345</v>
      </c>
      <c r="C10" s="238">
        <v>2957.41</v>
      </c>
      <c r="D10" s="238">
        <v>3218.7605551152556</v>
      </c>
      <c r="E10" s="238">
        <v>3704.2809999999999</v>
      </c>
      <c r="F10" s="238">
        <v>4881.9855181680414</v>
      </c>
      <c r="G10" s="238">
        <v>5305.9649301500358</v>
      </c>
      <c r="H10" s="238">
        <v>4834.3379999999997</v>
      </c>
      <c r="I10" s="238">
        <v>4412.1765190980377</v>
      </c>
      <c r="J10" s="238">
        <v>3558.3320624422699</v>
      </c>
      <c r="K10" s="238">
        <v>2871.2869999999998</v>
      </c>
      <c r="L10" s="238">
        <v>2822.7076125157109</v>
      </c>
      <c r="M10" s="238">
        <v>2901.3339999999998</v>
      </c>
      <c r="N10" s="238">
        <v>3172.4740000000002</v>
      </c>
    </row>
    <row r="11" spans="1:16" ht="16" customHeight="1">
      <c r="A11" s="143" t="s">
        <v>21</v>
      </c>
      <c r="B11" s="666">
        <f t="shared" si="0"/>
        <v>44199.900000000009</v>
      </c>
      <c r="C11" s="238">
        <v>4058.328</v>
      </c>
      <c r="D11" s="238">
        <v>3602.47</v>
      </c>
      <c r="E11" s="238">
        <v>3388.39</v>
      </c>
      <c r="F11" s="238">
        <v>3404.28</v>
      </c>
      <c r="G11" s="238">
        <v>3506.77</v>
      </c>
      <c r="H11" s="238">
        <v>3622.348</v>
      </c>
      <c r="I11" s="238">
        <v>3432.41</v>
      </c>
      <c r="J11" s="238">
        <v>3520.6410000000001</v>
      </c>
      <c r="K11" s="238">
        <v>3610.2370000000001</v>
      </c>
      <c r="L11" s="238">
        <v>4005.3719999999998</v>
      </c>
      <c r="M11" s="238">
        <v>4010.3069999999998</v>
      </c>
      <c r="N11" s="238">
        <v>4038.3470000000002</v>
      </c>
    </row>
    <row r="12" spans="1:16" ht="16" customHeight="1">
      <c r="A12" s="121" t="s">
        <v>22</v>
      </c>
      <c r="B12" s="666">
        <f t="shared" si="0"/>
        <v>190379.393255</v>
      </c>
      <c r="C12" s="238">
        <v>14659.35347</v>
      </c>
      <c r="D12" s="238">
        <v>14723.393880000001</v>
      </c>
      <c r="E12" s="238">
        <v>15080.181919999997</v>
      </c>
      <c r="F12" s="238">
        <v>15928.199720000001</v>
      </c>
      <c r="G12" s="238">
        <v>15997.883054999998</v>
      </c>
      <c r="H12" s="238">
        <v>16319.157349999998</v>
      </c>
      <c r="I12" s="238">
        <v>16532.258579999998</v>
      </c>
      <c r="J12" s="238">
        <v>16583.029900000001</v>
      </c>
      <c r="K12" s="238">
        <v>16468.618290000002</v>
      </c>
      <c r="L12" s="238">
        <v>15902.458919999997</v>
      </c>
      <c r="M12" s="238">
        <v>16061.01215</v>
      </c>
      <c r="N12" s="238">
        <v>16123.846019999999</v>
      </c>
    </row>
    <row r="13" spans="1:16" ht="16" customHeight="1">
      <c r="A13" s="121" t="s">
        <v>23</v>
      </c>
      <c r="B13" s="666">
        <f t="shared" si="0"/>
        <v>382460.41639999999</v>
      </c>
      <c r="C13" s="238">
        <v>32512.603999999999</v>
      </c>
      <c r="D13" s="238">
        <v>31067.920999999998</v>
      </c>
      <c r="E13" s="238">
        <v>31876.147000000001</v>
      </c>
      <c r="F13" s="238">
        <v>32053.945000000003</v>
      </c>
      <c r="G13" s="238">
        <v>32678.324399999998</v>
      </c>
      <c r="H13" s="238">
        <v>31559.071</v>
      </c>
      <c r="I13" s="238">
        <v>32136.863000000001</v>
      </c>
      <c r="J13" s="238">
        <v>32320.089</v>
      </c>
      <c r="K13" s="238">
        <v>30878.400000000001</v>
      </c>
      <c r="L13" s="238">
        <v>32750.435000000001</v>
      </c>
      <c r="M13" s="238">
        <v>30714.529000000002</v>
      </c>
      <c r="N13" s="238">
        <v>31912.088000000003</v>
      </c>
    </row>
    <row r="14" spans="1:16" ht="16" customHeight="1">
      <c r="A14" s="119" t="s">
        <v>94</v>
      </c>
      <c r="B14" s="666">
        <f t="shared" si="0"/>
        <v>237753.334</v>
      </c>
      <c r="C14" s="238">
        <v>19036.428</v>
      </c>
      <c r="D14" s="238">
        <v>19030.424999999999</v>
      </c>
      <c r="E14" s="238">
        <v>20105.39</v>
      </c>
      <c r="F14" s="238">
        <v>20320.328000000001</v>
      </c>
      <c r="G14" s="238">
        <v>20259.761999999999</v>
      </c>
      <c r="H14" s="238">
        <v>19150.478999999999</v>
      </c>
      <c r="I14" s="238">
        <v>20068.376</v>
      </c>
      <c r="J14" s="238">
        <v>20239.417000000001</v>
      </c>
      <c r="K14" s="238">
        <v>19214.366000000002</v>
      </c>
      <c r="L14" s="238">
        <v>21002.647000000001</v>
      </c>
      <c r="M14" s="238">
        <v>19578.342000000001</v>
      </c>
      <c r="N14" s="238">
        <v>19747.374</v>
      </c>
    </row>
    <row r="15" spans="1:16" ht="16" customHeight="1">
      <c r="A15" s="119" t="s">
        <v>95</v>
      </c>
      <c r="B15" s="666">
        <f t="shared" si="0"/>
        <v>136728.935</v>
      </c>
      <c r="C15" s="238">
        <v>12935.477999999999</v>
      </c>
      <c r="D15" s="238">
        <v>11496.47</v>
      </c>
      <c r="E15" s="238">
        <v>11228.37</v>
      </c>
      <c r="F15" s="238">
        <v>11048.47</v>
      </c>
      <c r="G15" s="238">
        <v>11598.246999999999</v>
      </c>
      <c r="H15" s="238">
        <v>11605.416999999999</v>
      </c>
      <c r="I15" s="238">
        <v>11390.442999999999</v>
      </c>
      <c r="J15" s="238">
        <v>11510.337</v>
      </c>
      <c r="K15" s="238">
        <v>11055.617</v>
      </c>
      <c r="L15" s="238">
        <v>11067.339</v>
      </c>
      <c r="M15" s="238">
        <v>10383.379999999999</v>
      </c>
      <c r="N15" s="238">
        <v>11409.367</v>
      </c>
    </row>
    <row r="16" spans="1:16" ht="16" customHeight="1">
      <c r="A16" s="119" t="s">
        <v>96</v>
      </c>
      <c r="B16" s="666">
        <f t="shared" si="0"/>
        <v>7978.1473999999989</v>
      </c>
      <c r="C16" s="238">
        <v>540.69799999999998</v>
      </c>
      <c r="D16" s="238">
        <v>541.02599999999995</v>
      </c>
      <c r="E16" s="238">
        <v>542.38699999999994</v>
      </c>
      <c r="F16" s="238">
        <v>685.14700000000005</v>
      </c>
      <c r="G16" s="238">
        <v>820.31539999999995</v>
      </c>
      <c r="H16" s="238">
        <v>803.17499999999995</v>
      </c>
      <c r="I16" s="238">
        <v>678.04399999999998</v>
      </c>
      <c r="J16" s="238">
        <v>570.33500000000004</v>
      </c>
      <c r="K16" s="238">
        <v>608.41700000000003</v>
      </c>
      <c r="L16" s="238">
        <v>680.44899999999996</v>
      </c>
      <c r="M16" s="238">
        <v>752.80700000000002</v>
      </c>
      <c r="N16" s="238">
        <v>755.34699999999998</v>
      </c>
    </row>
    <row r="17" spans="1:14" ht="16" customHeight="1">
      <c r="A17" s="143" t="s">
        <v>27</v>
      </c>
      <c r="B17" s="666">
        <f t="shared" si="0"/>
        <v>107322.84960977701</v>
      </c>
      <c r="C17" s="238">
        <v>9354.7635056999989</v>
      </c>
      <c r="D17" s="238">
        <v>8773.3494351000008</v>
      </c>
      <c r="E17" s="238">
        <v>9405.6832516499981</v>
      </c>
      <c r="F17" s="238">
        <v>8872.2809379000009</v>
      </c>
      <c r="G17" s="238">
        <v>9442.178669699997</v>
      </c>
      <c r="H17" s="238">
        <v>9125.895369599999</v>
      </c>
      <c r="I17" s="238">
        <v>9234.324032399998</v>
      </c>
      <c r="J17" s="238">
        <v>9058.0629365999994</v>
      </c>
      <c r="K17" s="238">
        <v>8701.6778784000016</v>
      </c>
      <c r="L17" s="238">
        <v>8686.9874235600018</v>
      </c>
      <c r="M17" s="238">
        <v>8466.0908009670038</v>
      </c>
      <c r="N17" s="238">
        <v>8201.5553681999972</v>
      </c>
    </row>
    <row r="18" spans="1:14" ht="16" customHeight="1">
      <c r="A18" s="121" t="s">
        <v>28</v>
      </c>
      <c r="B18" s="666">
        <f t="shared" si="0"/>
        <v>23049.489518924114</v>
      </c>
      <c r="C18" s="238">
        <v>2158.059849719516</v>
      </c>
      <c r="D18" s="238">
        <v>2002.1248000000001</v>
      </c>
      <c r="E18" s="238">
        <v>2032.088876</v>
      </c>
      <c r="F18" s="238">
        <v>2053.8988389839997</v>
      </c>
      <c r="G18" s="238">
        <v>2095.5264000000002</v>
      </c>
      <c r="H18" s="238">
        <v>1982.4213331103001</v>
      </c>
      <c r="I18" s="238">
        <v>2001.060168</v>
      </c>
      <c r="J18" s="238">
        <v>1882.4213331103001</v>
      </c>
      <c r="K18" s="238">
        <v>1673.0102999999999</v>
      </c>
      <c r="L18" s="238">
        <v>1794.2044000000001</v>
      </c>
      <c r="M18" s="238">
        <v>1672.2850000000001</v>
      </c>
      <c r="N18" s="238">
        <v>1702.38822</v>
      </c>
    </row>
    <row r="19" spans="1:14" ht="16" customHeight="1">
      <c r="A19" s="121" t="s">
        <v>29</v>
      </c>
      <c r="B19" s="666">
        <f t="shared" si="0"/>
        <v>376115.01201400103</v>
      </c>
      <c r="C19" s="238">
        <v>31433.709174074997</v>
      </c>
      <c r="D19" s="238">
        <v>29601.796273920001</v>
      </c>
      <c r="E19" s="238">
        <v>30272.653305296008</v>
      </c>
      <c r="F19" s="238">
        <v>30511.671604300001</v>
      </c>
      <c r="G19" s="238">
        <v>32082.668671300002</v>
      </c>
      <c r="H19" s="238">
        <v>31585.422570370003</v>
      </c>
      <c r="I19" s="238">
        <v>31947.703959300004</v>
      </c>
      <c r="J19" s="238">
        <v>32188.187797650004</v>
      </c>
      <c r="K19" s="238">
        <v>31432.090499890001</v>
      </c>
      <c r="L19" s="238">
        <v>31301.099003750001</v>
      </c>
      <c r="M19" s="238">
        <v>31955.7337424</v>
      </c>
      <c r="N19" s="238">
        <v>31802.275411750004</v>
      </c>
    </row>
    <row r="20" spans="1:14" ht="16" customHeight="1">
      <c r="A20" s="143" t="s">
        <v>30</v>
      </c>
      <c r="B20" s="666">
        <f t="shared" si="0"/>
        <v>100473.37413791403</v>
      </c>
      <c r="C20" s="238">
        <v>8679.6288381780032</v>
      </c>
      <c r="D20" s="238">
        <v>7743.8233490760013</v>
      </c>
      <c r="E20" s="238">
        <v>8161.7482388430008</v>
      </c>
      <c r="F20" s="238">
        <v>8213.7934705140015</v>
      </c>
      <c r="G20" s="238">
        <v>8354.9867572259991</v>
      </c>
      <c r="H20" s="238">
        <v>7837.7864332680019</v>
      </c>
      <c r="I20" s="238">
        <v>8168.6587027950018</v>
      </c>
      <c r="J20" s="238">
        <v>8400.2172810930006</v>
      </c>
      <c r="K20" s="238">
        <v>8623.913914206003</v>
      </c>
      <c r="L20" s="238">
        <v>8824.0437267300022</v>
      </c>
      <c r="M20" s="238">
        <v>8692.1772601950015</v>
      </c>
      <c r="N20" s="238">
        <v>8772.5961657899988</v>
      </c>
    </row>
    <row r="21" spans="1:14" ht="16" customHeight="1">
      <c r="A21" s="143" t="s">
        <v>31</v>
      </c>
      <c r="B21" s="666">
        <f t="shared" si="0"/>
        <v>63560.028309570007</v>
      </c>
      <c r="C21" s="238">
        <v>5442.0914243699972</v>
      </c>
      <c r="D21" s="238">
        <v>5431.7175319799999</v>
      </c>
      <c r="E21" s="238">
        <v>5485.8481438500021</v>
      </c>
      <c r="F21" s="238">
        <v>5679.1189629</v>
      </c>
      <c r="G21" s="238">
        <v>5610.3146999999999</v>
      </c>
      <c r="H21" s="238">
        <v>5164.5024445500021</v>
      </c>
      <c r="I21" s="238">
        <v>5121.2491777800024</v>
      </c>
      <c r="J21" s="238">
        <v>5364.6157439999997</v>
      </c>
      <c r="K21" s="238">
        <v>5120.1553527000015</v>
      </c>
      <c r="L21" s="238">
        <v>4996.24776432</v>
      </c>
      <c r="M21" s="238">
        <v>5042.0602060200017</v>
      </c>
      <c r="N21" s="238">
        <v>5102.1068570999996</v>
      </c>
    </row>
    <row r="22" spans="1:14" ht="16" customHeight="1">
      <c r="A22" s="143" t="s">
        <v>32</v>
      </c>
      <c r="B22" s="666">
        <f t="shared" si="0"/>
        <v>40334.379826465309</v>
      </c>
      <c r="C22" s="238">
        <v>3407.7964930085973</v>
      </c>
      <c r="D22" s="238">
        <v>3248.0528799999997</v>
      </c>
      <c r="E22" s="238">
        <v>3520.6986999999999</v>
      </c>
      <c r="F22" s="238">
        <v>3750.0116582999999</v>
      </c>
      <c r="G22" s="238">
        <v>3248.0116582999999</v>
      </c>
      <c r="H22" s="238">
        <v>3481.6935099999996</v>
      </c>
      <c r="I22" s="238">
        <v>3499.2406299999998</v>
      </c>
      <c r="J22" s="238">
        <v>3207.7759368567145</v>
      </c>
      <c r="K22" s="238">
        <v>3095.6002899999999</v>
      </c>
      <c r="L22" s="238">
        <v>3573.3728200000005</v>
      </c>
      <c r="M22" s="238">
        <v>3284.1252500000001</v>
      </c>
      <c r="N22" s="238">
        <v>3018</v>
      </c>
    </row>
    <row r="23" spans="1:14" ht="16" customHeight="1">
      <c r="A23" s="143" t="s">
        <v>33</v>
      </c>
      <c r="B23" s="666">
        <f t="shared" si="0"/>
        <v>62699.645392200007</v>
      </c>
      <c r="C23" s="238">
        <v>5176.407444299999</v>
      </c>
      <c r="D23" s="238">
        <v>5035.6502424000009</v>
      </c>
      <c r="E23" s="238">
        <v>5380.0028117999991</v>
      </c>
      <c r="F23" s="238">
        <v>5233.5008604000004</v>
      </c>
      <c r="G23" s="238">
        <v>5398.7452506000009</v>
      </c>
      <c r="H23" s="238">
        <v>5077.9126043999995</v>
      </c>
      <c r="I23" s="238">
        <v>5152.1638788</v>
      </c>
      <c r="J23" s="238">
        <v>5116.5051398999985</v>
      </c>
      <c r="K23" s="238">
        <v>5121.6542523000007</v>
      </c>
      <c r="L23" s="238">
        <v>5276.7046800000007</v>
      </c>
      <c r="M23" s="238">
        <v>5256.5252795999986</v>
      </c>
      <c r="N23" s="238">
        <v>5473.8729476999988</v>
      </c>
    </row>
    <row r="24" spans="1:14" ht="16" customHeight="1">
      <c r="A24" s="143" t="s">
        <v>34</v>
      </c>
      <c r="B24" s="666">
        <f t="shared" si="0"/>
        <v>21368.798900000005</v>
      </c>
      <c r="C24" s="238">
        <v>1624.347</v>
      </c>
      <c r="D24" s="238">
        <v>1645.3458000000001</v>
      </c>
      <c r="E24" s="238">
        <v>1656.085</v>
      </c>
      <c r="F24" s="238">
        <v>1950.348</v>
      </c>
      <c r="G24" s="238">
        <v>1960.6581000000001</v>
      </c>
      <c r="H24" s="238">
        <v>1870.066</v>
      </c>
      <c r="I24" s="238">
        <v>1701.2170000000001</v>
      </c>
      <c r="J24" s="238">
        <v>1853.2940000000001</v>
      </c>
      <c r="K24" s="238">
        <v>1859.3320000000001</v>
      </c>
      <c r="L24" s="238">
        <v>1863.4169999999999</v>
      </c>
      <c r="M24" s="238">
        <v>1670.3610000000001</v>
      </c>
      <c r="N24" s="238">
        <v>1714.328</v>
      </c>
    </row>
    <row r="25" spans="1:14" ht="16" customHeight="1">
      <c r="A25" s="121" t="s">
        <v>35</v>
      </c>
      <c r="B25" s="666">
        <f t="shared" si="0"/>
        <v>332029.90457280003</v>
      </c>
      <c r="C25" s="238">
        <v>28269.835614800002</v>
      </c>
      <c r="D25" s="238">
        <v>25331.52146</v>
      </c>
      <c r="E25" s="238">
        <v>27315.383740000001</v>
      </c>
      <c r="F25" s="238">
        <v>26974.962520000005</v>
      </c>
      <c r="G25" s="238">
        <v>26422.669039999997</v>
      </c>
      <c r="H25" s="238">
        <v>27669.948599999996</v>
      </c>
      <c r="I25" s="238">
        <v>28661.825929999999</v>
      </c>
      <c r="J25" s="238">
        <v>28754.532360000005</v>
      </c>
      <c r="K25" s="238">
        <v>27666.350699999999</v>
      </c>
      <c r="L25" s="238">
        <v>28761.90712</v>
      </c>
      <c r="M25" s="238">
        <v>27687.231960000001</v>
      </c>
      <c r="N25" s="238">
        <v>28513.735527999997</v>
      </c>
    </row>
    <row r="26" spans="1:14" ht="16" customHeight="1">
      <c r="A26" s="143" t="s">
        <v>36</v>
      </c>
      <c r="B26" s="666">
        <f t="shared" si="0"/>
        <v>18005.487006039926</v>
      </c>
      <c r="C26" s="238">
        <v>1543.0183848884271</v>
      </c>
      <c r="D26" s="238">
        <v>1400.6572580000002</v>
      </c>
      <c r="E26" s="238">
        <v>1528.78224</v>
      </c>
      <c r="F26" s="238">
        <v>1485.826425</v>
      </c>
      <c r="G26" s="238">
        <v>1467.7901891705117</v>
      </c>
      <c r="H26" s="238">
        <v>1471.3944067131058</v>
      </c>
      <c r="I26" s="238">
        <v>1500.112468</v>
      </c>
      <c r="J26" s="238">
        <v>1493.3066542678832</v>
      </c>
      <c r="K26" s="238">
        <v>1461.1235999999999</v>
      </c>
      <c r="L26" s="238">
        <v>1530.1219799999999</v>
      </c>
      <c r="M26" s="238">
        <v>1542.8794</v>
      </c>
      <c r="N26" s="238">
        <v>1580.4739999999999</v>
      </c>
    </row>
    <row r="27" spans="1:14" ht="16" customHeight="1">
      <c r="A27" s="143" t="s">
        <v>37</v>
      </c>
      <c r="B27" s="666">
        <f t="shared" si="0"/>
        <v>23549.507500000003</v>
      </c>
      <c r="C27" s="238">
        <v>2001.28</v>
      </c>
      <c r="D27" s="238">
        <v>1846.7400000000002</v>
      </c>
      <c r="E27" s="238">
        <v>1990.06</v>
      </c>
      <c r="F27" s="238">
        <v>1938.88</v>
      </c>
      <c r="G27" s="238">
        <v>2006.953</v>
      </c>
      <c r="H27" s="238">
        <v>1944.02</v>
      </c>
      <c r="I27" s="238">
        <v>2002.08</v>
      </c>
      <c r="J27" s="238">
        <v>1976.1231</v>
      </c>
      <c r="K27" s="238">
        <v>1922.1220000000001</v>
      </c>
      <c r="L27" s="238">
        <v>2006.2800000000002</v>
      </c>
      <c r="M27" s="238">
        <v>1905.0193999999999</v>
      </c>
      <c r="N27" s="238">
        <v>2009.9499999999998</v>
      </c>
    </row>
    <row r="28" spans="1:14" ht="16" customHeight="1">
      <c r="A28" s="143" t="s">
        <v>38</v>
      </c>
      <c r="B28" s="666">
        <f t="shared" si="0"/>
        <v>45341.14910000001</v>
      </c>
      <c r="C28" s="238">
        <v>2603.4180000000001</v>
      </c>
      <c r="D28" s="238">
        <v>3304.6579999999999</v>
      </c>
      <c r="E28" s="238">
        <v>5394.143</v>
      </c>
      <c r="F28" s="238">
        <v>5909.348</v>
      </c>
      <c r="G28" s="238">
        <v>5989.3469999999998</v>
      </c>
      <c r="H28" s="238">
        <v>5280.4070000000002</v>
      </c>
      <c r="I28" s="238">
        <v>4308.3140000000003</v>
      </c>
      <c r="J28" s="238">
        <v>3355.0641000000001</v>
      </c>
      <c r="K28" s="238">
        <v>2485.2809999999999</v>
      </c>
      <c r="L28" s="238">
        <v>2310.3139999999999</v>
      </c>
      <c r="M28" s="238">
        <v>2020.4469999999999</v>
      </c>
      <c r="N28" s="238">
        <v>2380.4079999999999</v>
      </c>
    </row>
    <row r="29" spans="1:14" ht="16" customHeight="1">
      <c r="A29" s="121" t="s">
        <v>39</v>
      </c>
      <c r="B29" s="666">
        <f t="shared" si="0"/>
        <v>31713.832799999996</v>
      </c>
      <c r="C29" s="238">
        <v>3410.1210000000001</v>
      </c>
      <c r="D29" s="238">
        <v>3271.1170000000002</v>
      </c>
      <c r="E29" s="238">
        <v>3335.2219999999998</v>
      </c>
      <c r="F29" s="238">
        <v>3379.5940000000001</v>
      </c>
      <c r="G29" s="238">
        <v>3029.0468000000001</v>
      </c>
      <c r="H29" s="238">
        <v>2928.2309999999998</v>
      </c>
      <c r="I29" s="238">
        <v>2691.6059999999998</v>
      </c>
      <c r="J29" s="238">
        <v>2277.9470000000001</v>
      </c>
      <c r="K29" s="238">
        <v>2021.152</v>
      </c>
      <c r="L29" s="238">
        <v>1906.278</v>
      </c>
      <c r="M29" s="238">
        <v>1770.723</v>
      </c>
      <c r="N29" s="238">
        <v>1692.7950000000001</v>
      </c>
    </row>
    <row r="30" spans="1:14" ht="16" customHeight="1">
      <c r="A30" s="119" t="s">
        <v>97</v>
      </c>
      <c r="B30" s="666">
        <f t="shared" si="0"/>
        <v>17440.935999999998</v>
      </c>
      <c r="C30" s="238">
        <v>2003.6510000000001</v>
      </c>
      <c r="D30" s="238">
        <v>1890.6469999999999</v>
      </c>
      <c r="E30" s="238">
        <v>1955.308</v>
      </c>
      <c r="F30" s="238">
        <v>1960.2470000000001</v>
      </c>
      <c r="G30" s="238">
        <v>1663.414</v>
      </c>
      <c r="H30" s="238">
        <v>1579.82</v>
      </c>
      <c r="I30" s="238">
        <v>1490.289</v>
      </c>
      <c r="J30" s="238">
        <v>1335.6389999999999</v>
      </c>
      <c r="K30" s="238">
        <v>1076.0440000000001</v>
      </c>
      <c r="L30" s="238">
        <v>990.447</v>
      </c>
      <c r="M30" s="238">
        <v>783.04399999999998</v>
      </c>
      <c r="N30" s="238">
        <v>712.38599999999997</v>
      </c>
    </row>
    <row r="31" spans="1:14" ht="16" customHeight="1">
      <c r="A31" s="119" t="s">
        <v>98</v>
      </c>
      <c r="B31" s="666">
        <f t="shared" si="0"/>
        <v>14272.8968</v>
      </c>
      <c r="C31" s="238">
        <v>1406.47</v>
      </c>
      <c r="D31" s="238">
        <v>1380.47</v>
      </c>
      <c r="E31" s="238">
        <v>1379.914</v>
      </c>
      <c r="F31" s="238">
        <v>1419.347</v>
      </c>
      <c r="G31" s="238">
        <v>1365.6328000000001</v>
      </c>
      <c r="H31" s="238">
        <v>1348.4110000000001</v>
      </c>
      <c r="I31" s="238">
        <v>1201.317</v>
      </c>
      <c r="J31" s="238">
        <v>942.30799999999999</v>
      </c>
      <c r="K31" s="238">
        <v>945.10799999999995</v>
      </c>
      <c r="L31" s="238">
        <v>915.83100000000002</v>
      </c>
      <c r="M31" s="238">
        <v>987.67899999999997</v>
      </c>
      <c r="N31" s="238">
        <v>980.40899999999999</v>
      </c>
    </row>
    <row r="32" spans="1:14" ht="16" customHeight="1">
      <c r="A32" s="143" t="s">
        <v>42</v>
      </c>
      <c r="B32" s="666">
        <f t="shared" si="0"/>
        <v>136716.49099999998</v>
      </c>
      <c r="C32" s="238">
        <v>11824.397000000001</v>
      </c>
      <c r="D32" s="238">
        <v>11009.706</v>
      </c>
      <c r="E32" s="238">
        <v>12301.74</v>
      </c>
      <c r="F32" s="238">
        <v>12201.906999999999</v>
      </c>
      <c r="G32" s="238">
        <v>12769.434999999999</v>
      </c>
      <c r="H32" s="238">
        <v>11725.359</v>
      </c>
      <c r="I32" s="238">
        <v>11638.647000000001</v>
      </c>
      <c r="J32" s="238">
        <v>10988.647000000001</v>
      </c>
      <c r="K32" s="238">
        <v>10139.406000000001</v>
      </c>
      <c r="L32" s="238">
        <v>10364.337</v>
      </c>
      <c r="M32" s="238">
        <v>10166.539000000001</v>
      </c>
      <c r="N32" s="238">
        <v>11586.370999999999</v>
      </c>
    </row>
    <row r="33" spans="1:14" ht="16" customHeight="1">
      <c r="A33" s="143" t="s">
        <v>43</v>
      </c>
      <c r="B33" s="666">
        <f t="shared" si="0"/>
        <v>144317.2885</v>
      </c>
      <c r="C33" s="238">
        <v>10999.172</v>
      </c>
      <c r="D33" s="238">
        <v>15146.859499999999</v>
      </c>
      <c r="E33" s="238">
        <v>16570.334999999999</v>
      </c>
      <c r="F33" s="238">
        <v>16215.796999999999</v>
      </c>
      <c r="G33" s="238">
        <v>15115.321000000002</v>
      </c>
      <c r="H33" s="238">
        <v>13934.351999999997</v>
      </c>
      <c r="I33" s="238">
        <v>11554.288999999999</v>
      </c>
      <c r="J33" s="238">
        <v>10154.298000000001</v>
      </c>
      <c r="K33" s="238">
        <v>8508.7100000000009</v>
      </c>
      <c r="L33" s="238">
        <v>7844.3639999999996</v>
      </c>
      <c r="M33" s="238">
        <v>8549.7420000000002</v>
      </c>
      <c r="N33" s="238">
        <v>9724.0490000000009</v>
      </c>
    </row>
    <row r="34" spans="1:14" ht="16" customHeight="1">
      <c r="A34" s="121" t="s">
        <v>44</v>
      </c>
      <c r="B34" s="666">
        <f t="shared" si="0"/>
        <v>34002.146437787851</v>
      </c>
      <c r="C34" s="238">
        <v>2657.0768813878481</v>
      </c>
      <c r="D34" s="238">
        <v>2966.04736</v>
      </c>
      <c r="E34" s="238">
        <v>2967.1022200000002</v>
      </c>
      <c r="F34" s="238">
        <v>3006.9946440000003</v>
      </c>
      <c r="G34" s="238">
        <v>3140.3700720000002</v>
      </c>
      <c r="H34" s="238">
        <v>3221.0279999999998</v>
      </c>
      <c r="I34" s="238">
        <v>3158.5447524000001</v>
      </c>
      <c r="J34" s="238">
        <v>2651.0464680000005</v>
      </c>
      <c r="K34" s="238">
        <v>2622.1235999999999</v>
      </c>
      <c r="L34" s="238">
        <v>2460.2120399999999</v>
      </c>
      <c r="M34" s="238">
        <v>2574.4881999999998</v>
      </c>
      <c r="N34" s="238">
        <v>2577.1122</v>
      </c>
    </row>
    <row r="35" spans="1:14" ht="16" customHeight="1">
      <c r="A35" s="121" t="s">
        <v>45</v>
      </c>
      <c r="B35" s="666">
        <f t="shared" si="0"/>
        <v>1314.6712127999999</v>
      </c>
      <c r="C35" s="238">
        <v>115.42352760000001</v>
      </c>
      <c r="D35" s="238">
        <v>110.43442170000002</v>
      </c>
      <c r="E35" s="238">
        <v>107.25493770000001</v>
      </c>
      <c r="F35" s="238">
        <v>99.756310500000026</v>
      </c>
      <c r="G35" s="238">
        <v>100.97958600000001</v>
      </c>
      <c r="H35" s="238">
        <v>108.64338120000002</v>
      </c>
      <c r="I35" s="238">
        <v>110.78024220000002</v>
      </c>
      <c r="J35" s="238">
        <v>114.69059460000003</v>
      </c>
      <c r="K35" s="238">
        <v>114.62659200000002</v>
      </c>
      <c r="L35" s="238">
        <v>107.77108770000002</v>
      </c>
      <c r="M35" s="238">
        <v>111.19625910000002</v>
      </c>
      <c r="N35" s="238">
        <v>113.11427250000003</v>
      </c>
    </row>
    <row r="36" spans="1:14" ht="16" customHeight="1">
      <c r="A36" s="121" t="s">
        <v>46</v>
      </c>
      <c r="B36" s="666">
        <f t="shared" si="0"/>
        <v>3633.66514663</v>
      </c>
      <c r="C36" s="238">
        <v>305.00412062999999</v>
      </c>
      <c r="D36" s="238">
        <v>325.47000000000003</v>
      </c>
      <c r="E36" s="238">
        <v>345.15783010000001</v>
      </c>
      <c r="F36" s="238">
        <v>305.25899550000003</v>
      </c>
      <c r="G36" s="238">
        <v>305.2899645</v>
      </c>
      <c r="H36" s="238">
        <v>345.36841930000003</v>
      </c>
      <c r="I36" s="238">
        <v>340.46648779999998</v>
      </c>
      <c r="J36" s="238">
        <v>318.42899999999997</v>
      </c>
      <c r="K36" s="238">
        <v>285.8133406</v>
      </c>
      <c r="L36" s="238">
        <v>265.88353699999999</v>
      </c>
      <c r="M36" s="238">
        <v>245.80714680000003</v>
      </c>
      <c r="N36" s="238">
        <v>245.71630439999998</v>
      </c>
    </row>
    <row r="37" spans="1:14" ht="16" customHeight="1" thickBot="1">
      <c r="A37" s="145" t="s">
        <v>47</v>
      </c>
      <c r="B37" s="667">
        <f t="shared" si="0"/>
        <v>1355.9465618009999</v>
      </c>
      <c r="C37" s="239">
        <v>121.92999062400001</v>
      </c>
      <c r="D37" s="239">
        <v>121.266892719</v>
      </c>
      <c r="E37" s="239">
        <v>117.069674472</v>
      </c>
      <c r="F37" s="239">
        <v>115.839998712</v>
      </c>
      <c r="G37" s="239">
        <v>117.04998851100001</v>
      </c>
      <c r="H37" s="239">
        <v>116.14999840200001</v>
      </c>
      <c r="I37" s="239">
        <v>111.389990841</v>
      </c>
      <c r="J37" s="239">
        <v>116.82999505800001</v>
      </c>
      <c r="K37" s="239">
        <v>115.82000306099999</v>
      </c>
      <c r="L37" s="239">
        <v>114.59999995200002</v>
      </c>
      <c r="M37" s="239">
        <v>94.480008417000008</v>
      </c>
      <c r="N37" s="239">
        <v>93.520021032000017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</row>
    <row r="42" spans="1:14" ht="13.25" customHeight="1">
      <c r="A42" s="67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</row>
    <row r="43" spans="1:14" ht="13.25" customHeight="1">
      <c r="A43" s="6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</row>
    <row r="44" spans="1:14" ht="13.25" customHeight="1">
      <c r="A44" s="22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</row>
    <row r="45" spans="1:14" ht="13.25" customHeight="1">
      <c r="A45" s="30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</row>
    <row r="46" spans="1:14" ht="13.25" customHeight="1">
      <c r="A46" s="22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</row>
    <row r="47" spans="1:14" ht="13.25" customHeight="1">
      <c r="A47" s="67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</row>
    <row r="48" spans="1:14" ht="13.25" customHeight="1">
      <c r="A48" s="67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</row>
    <row r="49" spans="1:14" ht="13.25" customHeight="1">
      <c r="A49" s="67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</row>
    <row r="50" spans="1:14" ht="13.25" customHeight="1">
      <c r="A50" s="67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</row>
    <row r="51" spans="1:14" ht="13.25" customHeight="1">
      <c r="A51" s="67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</row>
    <row r="52" spans="1:14" ht="13.25" customHeight="1">
      <c r="A52" s="67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</row>
    <row r="53" spans="1:14" ht="13.25" customHeight="1">
      <c r="A53" s="67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</row>
    <row r="54" spans="1:14" ht="13.25" customHeight="1">
      <c r="A54" s="67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</row>
    <row r="55" spans="1:14" ht="13.25" customHeight="1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</row>
    <row r="56" spans="1:14" ht="13.25" customHeight="1"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</row>
    <row r="57" spans="1:14" ht="13.25" customHeight="1"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</row>
    <row r="58" spans="1:14" ht="13.25" customHeight="1"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</row>
    <row r="59" spans="1:14" ht="13.25" customHeight="1"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Hoja77">
    <tabColor theme="9" tint="0.59999389629810485"/>
  </sheetPr>
  <dimension ref="A4:P58"/>
  <sheetViews>
    <sheetView showGridLines="0" zoomScaleNormal="100" workbookViewId="0">
      <selection activeCell="E20" sqref="E20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9.5" customHeight="1">
      <c r="A4" s="229" t="s">
        <v>555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2" t="s">
        <v>348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16" ht="6" customHeight="1" thickBot="1"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</row>
    <row r="7" spans="1:16" ht="18" customHeight="1">
      <c r="A7" s="738" t="s">
        <v>16</v>
      </c>
      <c r="B7" s="739" t="s">
        <v>100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16" ht="18" customHeight="1">
      <c r="A8" s="647" t="s">
        <v>87</v>
      </c>
      <c r="B8" s="654">
        <v>6.5387081873777504</v>
      </c>
      <c r="C8" s="654">
        <v>6.494992957740239</v>
      </c>
      <c r="D8" s="654">
        <v>6.760514884119857</v>
      </c>
      <c r="E8" s="654">
        <v>6.3890397245963877</v>
      </c>
      <c r="F8" s="654">
        <v>6.6609633649274889</v>
      </c>
      <c r="G8" s="654">
        <v>6.5201666505583269</v>
      </c>
      <c r="H8" s="654">
        <v>6.6253667782233929</v>
      </c>
      <c r="I8" s="654">
        <v>6.5144853379274306</v>
      </c>
      <c r="J8" s="654">
        <v>6.4838110693418916</v>
      </c>
      <c r="K8" s="654">
        <v>6.5143729360848361</v>
      </c>
      <c r="L8" s="654">
        <v>6.4794212886912073</v>
      </c>
      <c r="M8" s="654">
        <v>6.5576938283423543</v>
      </c>
      <c r="N8" s="654">
        <v>6.4956317120015061</v>
      </c>
    </row>
    <row r="9" spans="1:16" ht="16" customHeight="1">
      <c r="A9" s="143" t="s">
        <v>19</v>
      </c>
      <c r="B9" s="655">
        <v>2.6543944566306901</v>
      </c>
      <c r="C9" s="244">
        <v>2.3069494225408205</v>
      </c>
      <c r="D9" s="244">
        <v>2.5261752624372429</v>
      </c>
      <c r="E9" s="244">
        <v>2.3214319900449887</v>
      </c>
      <c r="F9" s="244">
        <v>3.2581699346405228</v>
      </c>
      <c r="G9" s="244">
        <v>3.1321077940292525</v>
      </c>
      <c r="H9" s="244">
        <v>3.0573464912280697</v>
      </c>
      <c r="I9" s="244">
        <v>2.9096346934415722</v>
      </c>
      <c r="J9" s="244">
        <v>2.3765728666209105</v>
      </c>
      <c r="K9" s="244">
        <v>2.4888888888888885</v>
      </c>
      <c r="L9" s="244">
        <v>2.3968350578210593</v>
      </c>
      <c r="M9" s="244">
        <v>2.4279569892473121</v>
      </c>
      <c r="N9" s="244">
        <v>2.708958290528046</v>
      </c>
      <c r="O9" s="149"/>
    </row>
    <row r="10" spans="1:16" ht="16" customHeight="1">
      <c r="A10" s="143" t="s">
        <v>20</v>
      </c>
      <c r="B10" s="655">
        <v>4.764464182310566</v>
      </c>
      <c r="C10" s="244">
        <v>3.7310932215043668</v>
      </c>
      <c r="D10" s="244">
        <v>4.433481202948788</v>
      </c>
      <c r="E10" s="244">
        <v>4.5821357268145926</v>
      </c>
      <c r="F10" s="244">
        <v>6.2761979310667568</v>
      </c>
      <c r="G10" s="244">
        <v>6.6011091456322228</v>
      </c>
      <c r="H10" s="244">
        <v>6.2148405260519111</v>
      </c>
      <c r="I10" s="244">
        <v>5.4892446151352159</v>
      </c>
      <c r="J10" s="244">
        <v>4.7968951999696285</v>
      </c>
      <c r="K10" s="244">
        <v>3.8583232551264479</v>
      </c>
      <c r="L10" s="244">
        <v>3.5117082908982358</v>
      </c>
      <c r="M10" s="244">
        <v>3.6987468288267613</v>
      </c>
      <c r="N10" s="244">
        <v>3.9453283074807026</v>
      </c>
    </row>
    <row r="11" spans="1:16" ht="16" customHeight="1">
      <c r="A11" s="143" t="s">
        <v>21</v>
      </c>
      <c r="B11" s="655">
        <v>6.6667311889722178</v>
      </c>
      <c r="C11" s="244">
        <v>7.0829306092957252</v>
      </c>
      <c r="D11" s="244">
        <v>7.1323046098532545</v>
      </c>
      <c r="E11" s="244">
        <v>6.078461974519322</v>
      </c>
      <c r="F11" s="244">
        <v>6.5886314811589157</v>
      </c>
      <c r="G11" s="244">
        <v>6.3384105397672332</v>
      </c>
      <c r="H11" s="244">
        <v>6.7425135879681335</v>
      </c>
      <c r="I11" s="244">
        <v>6.2495288833214673</v>
      </c>
      <c r="J11" s="244">
        <v>6.3670496449026759</v>
      </c>
      <c r="K11" s="244">
        <v>6.5735092223375391</v>
      </c>
      <c r="L11" s="244">
        <v>6.7742645827660448</v>
      </c>
      <c r="M11" s="244">
        <v>6.9816106961926154</v>
      </c>
      <c r="N11" s="244">
        <v>7.0771585844796068</v>
      </c>
    </row>
    <row r="12" spans="1:16" ht="16" customHeight="1">
      <c r="A12" s="121" t="s">
        <v>22</v>
      </c>
      <c r="B12" s="655">
        <v>8.9109587931786116</v>
      </c>
      <c r="C12" s="244">
        <v>8.2982200891447029</v>
      </c>
      <c r="D12" s="244">
        <v>9.2274505266957796</v>
      </c>
      <c r="E12" s="244">
        <v>8.5364384461152305</v>
      </c>
      <c r="F12" s="244">
        <v>8.760229518655402</v>
      </c>
      <c r="G12" s="244">
        <v>8.5147297998560809</v>
      </c>
      <c r="H12" s="244">
        <v>8.975249334521294</v>
      </c>
      <c r="I12" s="244">
        <v>8.9199769828050872</v>
      </c>
      <c r="J12" s="244">
        <v>8.9473706388863281</v>
      </c>
      <c r="K12" s="244">
        <v>9.1818278722799285</v>
      </c>
      <c r="L12" s="244">
        <v>9.0390214583882766</v>
      </c>
      <c r="M12" s="244">
        <v>9.4334485421952827</v>
      </c>
      <c r="N12" s="244">
        <v>9.1648587743390575</v>
      </c>
    </row>
    <row r="13" spans="1:16" ht="16" customHeight="1">
      <c r="A13" s="121" t="s">
        <v>23</v>
      </c>
      <c r="B13" s="655">
        <v>6.1457872789966617</v>
      </c>
      <c r="C13" s="244">
        <v>6.1658201590809698</v>
      </c>
      <c r="D13" s="244">
        <v>6.5654558679703499</v>
      </c>
      <c r="E13" s="244">
        <v>6.0970945783621096</v>
      </c>
      <c r="F13" s="244">
        <v>6.3285682414076332</v>
      </c>
      <c r="G13" s="244">
        <v>6.2150786909627591</v>
      </c>
      <c r="H13" s="244">
        <v>6.1882715468389078</v>
      </c>
      <c r="I13" s="244">
        <v>6.0949931211269597</v>
      </c>
      <c r="J13" s="244">
        <v>6.1133534034374657</v>
      </c>
      <c r="K13" s="244">
        <v>6.0299364363338119</v>
      </c>
      <c r="L13" s="244">
        <v>6.1740817188716832</v>
      </c>
      <c r="M13" s="244">
        <v>5.9259336647971184</v>
      </c>
      <c r="N13" s="244">
        <v>5.8968007283393611</v>
      </c>
    </row>
    <row r="14" spans="1:16" ht="16" customHeight="1">
      <c r="A14" s="119" t="s">
        <v>94</v>
      </c>
      <c r="B14" s="655">
        <v>6.55040674631464</v>
      </c>
      <c r="C14" s="244">
        <v>6.2048169365920822</v>
      </c>
      <c r="D14" s="244">
        <v>6.881289025041113</v>
      </c>
      <c r="E14" s="244">
        <v>6.5480122340094651</v>
      </c>
      <c r="F14" s="244">
        <v>6.8248336641577758</v>
      </c>
      <c r="G14" s="244">
        <v>6.5894405089475638</v>
      </c>
      <c r="H14" s="244">
        <v>6.4337405134097292</v>
      </c>
      <c r="I14" s="244">
        <v>6.5162205979237973</v>
      </c>
      <c r="J14" s="244">
        <v>6.567725126296061</v>
      </c>
      <c r="K14" s="244">
        <v>6.4490290056453956</v>
      </c>
      <c r="L14" s="244">
        <v>6.8058780469073294</v>
      </c>
      <c r="M14" s="244">
        <v>6.5340855844129839</v>
      </c>
      <c r="N14" s="244">
        <v>6.2841534262896479</v>
      </c>
    </row>
    <row r="15" spans="1:16" ht="16" customHeight="1">
      <c r="A15" s="119" t="s">
        <v>95</v>
      </c>
      <c r="B15" s="655">
        <v>5.7464169414219786</v>
      </c>
      <c r="C15" s="244">
        <v>6.2889748887862504</v>
      </c>
      <c r="D15" s="244">
        <v>6.2711073921420155</v>
      </c>
      <c r="E15" s="244">
        <v>5.5905398118657148</v>
      </c>
      <c r="F15" s="244">
        <v>5.7563902174705897</v>
      </c>
      <c r="G15" s="244">
        <v>5.8407799425502676</v>
      </c>
      <c r="H15" s="244">
        <v>5.9950290313249024</v>
      </c>
      <c r="I15" s="244">
        <v>5.6895007070390715</v>
      </c>
      <c r="J15" s="244">
        <v>5.7055671519643978</v>
      </c>
      <c r="K15" s="244">
        <v>5.6687622739415566</v>
      </c>
      <c r="L15" s="244">
        <v>5.4744523489415</v>
      </c>
      <c r="M15" s="244">
        <v>5.2068157998987052</v>
      </c>
      <c r="N15" s="244">
        <v>5.5151738536285428</v>
      </c>
    </row>
    <row r="16" spans="1:16" ht="16" customHeight="1">
      <c r="A16" s="119" t="s">
        <v>96</v>
      </c>
      <c r="B16" s="655">
        <v>3.7253615638322541</v>
      </c>
      <c r="C16" s="244">
        <v>3.6489269806991493</v>
      </c>
      <c r="D16" s="244">
        <v>4.0601717047398909</v>
      </c>
      <c r="E16" s="244">
        <v>3.6359839648191343</v>
      </c>
      <c r="F16" s="244">
        <v>4.0731644967600023</v>
      </c>
      <c r="G16" s="244">
        <v>4.1515197829893618</v>
      </c>
      <c r="H16" s="244">
        <v>4.2856571154153995</v>
      </c>
      <c r="I16" s="244">
        <v>3.5518653940847993</v>
      </c>
      <c r="J16" s="244">
        <v>3.0374613217445026</v>
      </c>
      <c r="K16" s="244">
        <v>3.1827631303620003</v>
      </c>
      <c r="L16" s="244">
        <v>3.4555994555943768</v>
      </c>
      <c r="M16" s="244">
        <v>3.9098732730861121</v>
      </c>
      <c r="N16" s="244">
        <v>3.7648381115674465</v>
      </c>
    </row>
    <row r="17" spans="1:14" ht="16" customHeight="1">
      <c r="A17" s="143" t="s">
        <v>27</v>
      </c>
      <c r="B17" s="655">
        <v>3.6121077656384877</v>
      </c>
      <c r="C17" s="244">
        <v>3.590621047558987</v>
      </c>
      <c r="D17" s="244">
        <v>3.7487307187551275</v>
      </c>
      <c r="E17" s="244">
        <v>3.6289052273080644</v>
      </c>
      <c r="F17" s="244">
        <v>3.6186657766711128</v>
      </c>
      <c r="G17" s="244">
        <v>3.6603224099599809</v>
      </c>
      <c r="H17" s="244">
        <v>3.6659899288968152</v>
      </c>
      <c r="I17" s="244">
        <v>3.5898410489400923</v>
      </c>
      <c r="J17" s="244">
        <v>3.5426663587094898</v>
      </c>
      <c r="K17" s="244">
        <v>3.5569608476197492</v>
      </c>
      <c r="L17" s="244">
        <v>3.5736654265819885</v>
      </c>
      <c r="M17" s="244">
        <v>3.6490512400292245</v>
      </c>
      <c r="N17" s="244">
        <v>3.531128906625379</v>
      </c>
    </row>
    <row r="18" spans="1:14" ht="16" customHeight="1">
      <c r="A18" s="121" t="s">
        <v>28</v>
      </c>
      <c r="B18" s="655">
        <v>3.1674417592023252</v>
      </c>
      <c r="C18" s="244">
        <v>3.5373391189999936</v>
      </c>
      <c r="D18" s="244">
        <v>3.7637886694840064</v>
      </c>
      <c r="E18" s="244">
        <v>2.7913155367278204</v>
      </c>
      <c r="F18" s="244">
        <v>3.4521628999999994</v>
      </c>
      <c r="G18" s="244">
        <v>3.3836032539018728</v>
      </c>
      <c r="H18" s="244">
        <v>3.3352198608830905</v>
      </c>
      <c r="I18" s="244">
        <v>3.2230041941282206</v>
      </c>
      <c r="J18" s="244">
        <v>3.0803667026839996</v>
      </c>
      <c r="K18" s="244">
        <v>2.8273681808963698</v>
      </c>
      <c r="L18" s="244">
        <v>2.9028769831639374</v>
      </c>
      <c r="M18" s="244">
        <v>3.0206368989559627</v>
      </c>
      <c r="N18" s="244">
        <v>2.8015380589867394</v>
      </c>
    </row>
    <row r="19" spans="1:14" ht="16" customHeight="1">
      <c r="A19" s="121" t="s">
        <v>29</v>
      </c>
      <c r="B19" s="655">
        <v>13.859622344510976</v>
      </c>
      <c r="C19" s="244">
        <v>13.83355350604082</v>
      </c>
      <c r="D19" s="244">
        <v>14.380693133153796</v>
      </c>
      <c r="E19" s="244">
        <v>13.460989888812813</v>
      </c>
      <c r="F19" s="244">
        <v>13.592938262617396</v>
      </c>
      <c r="G19" s="244">
        <v>13.93392973784519</v>
      </c>
      <c r="H19" s="244">
        <v>14.063399713993862</v>
      </c>
      <c r="I19" s="244">
        <v>13.55841194338422</v>
      </c>
      <c r="J19" s="244">
        <v>13.50337657858703</v>
      </c>
      <c r="K19" s="244">
        <v>13.892637913112743</v>
      </c>
      <c r="L19" s="244">
        <v>14.019895460826294</v>
      </c>
      <c r="M19" s="244">
        <v>14.296716032892204</v>
      </c>
      <c r="N19" s="244">
        <v>13.858933736702587</v>
      </c>
    </row>
    <row r="20" spans="1:14" ht="16" customHeight="1">
      <c r="A20" s="143" t="s">
        <v>30</v>
      </c>
      <c r="B20" s="655">
        <v>13.927765509964583</v>
      </c>
      <c r="C20" s="244">
        <v>14.590308860760819</v>
      </c>
      <c r="D20" s="244">
        <v>14.489711301401854</v>
      </c>
      <c r="E20" s="244">
        <v>13.757757289700582</v>
      </c>
      <c r="F20" s="244">
        <v>14.224496866365341</v>
      </c>
      <c r="G20" s="244">
        <v>13.993546305607476</v>
      </c>
      <c r="H20" s="244">
        <v>13.529053274071776</v>
      </c>
      <c r="I20" s="244">
        <v>13.501312673310451</v>
      </c>
      <c r="J20" s="244">
        <v>13.386096477942994</v>
      </c>
      <c r="K20" s="244">
        <v>14.135014856675031</v>
      </c>
      <c r="L20" s="244">
        <v>13.851414687591246</v>
      </c>
      <c r="M20" s="244">
        <v>14.020771449624972</v>
      </c>
      <c r="N20" s="244">
        <v>13.7212457859775</v>
      </c>
    </row>
    <row r="21" spans="1:14" ht="16" customHeight="1">
      <c r="A21" s="143" t="s">
        <v>31</v>
      </c>
      <c r="B21" s="655">
        <v>4.1004622464581448</v>
      </c>
      <c r="C21" s="244">
        <v>4.1148380627241385</v>
      </c>
      <c r="D21" s="244">
        <v>4.4847974073847769</v>
      </c>
      <c r="E21" s="244">
        <v>4.0872792717572075</v>
      </c>
      <c r="F21" s="244">
        <v>4.1937076967213116</v>
      </c>
      <c r="G21" s="244">
        <v>4.1048309906867262</v>
      </c>
      <c r="H21" s="244">
        <v>4.0265257399307677</v>
      </c>
      <c r="I21" s="244">
        <v>3.893784297263537</v>
      </c>
      <c r="J21" s="244">
        <v>4.0668387096774188</v>
      </c>
      <c r="K21" s="244">
        <v>4.1561389282844283</v>
      </c>
      <c r="L21" s="244">
        <v>3.9970557690590742</v>
      </c>
      <c r="M21" s="244">
        <v>4.1030387562619026</v>
      </c>
      <c r="N21" s="244">
        <v>4.0057461524208655</v>
      </c>
    </row>
    <row r="22" spans="1:14" ht="16" customHeight="1">
      <c r="A22" s="143" t="s">
        <v>32</v>
      </c>
      <c r="B22" s="655">
        <v>3.3995930605186042</v>
      </c>
      <c r="C22" s="244">
        <v>3.3811798452666579</v>
      </c>
      <c r="D22" s="244">
        <v>3.4587163770961733</v>
      </c>
      <c r="E22" s="244">
        <v>3.3859318408697039</v>
      </c>
      <c r="F22" s="244">
        <v>3.9795099999999999</v>
      </c>
      <c r="G22" s="244">
        <v>3.2761645161290316</v>
      </c>
      <c r="H22" s="244">
        <v>3.5665780680188481</v>
      </c>
      <c r="I22" s="244">
        <v>3.4161162727355263</v>
      </c>
      <c r="J22" s="244">
        <v>3.2038096205464783</v>
      </c>
      <c r="K22" s="244">
        <v>3.0765258298548996</v>
      </c>
      <c r="L22" s="244">
        <v>3.4368970740851532</v>
      </c>
      <c r="M22" s="244">
        <v>3.5993569299226231</v>
      </c>
      <c r="N22" s="244">
        <v>3.0705493821256993</v>
      </c>
    </row>
    <row r="23" spans="1:14" ht="16" customHeight="1">
      <c r="A23" s="143" t="s">
        <v>33</v>
      </c>
      <c r="B23" s="655">
        <v>4.0994642481347174</v>
      </c>
      <c r="C23" s="244">
        <v>4.0704211125466196</v>
      </c>
      <c r="D23" s="244">
        <v>4.2470280903576665</v>
      </c>
      <c r="E23" s="244">
        <v>4.1016373085649454</v>
      </c>
      <c r="F23" s="244">
        <v>4.1677623499056313</v>
      </c>
      <c r="G23" s="244">
        <v>4.1638511081888829</v>
      </c>
      <c r="H23" s="244">
        <v>4.0603486333869068</v>
      </c>
      <c r="I23" s="244">
        <v>3.9778567961513609</v>
      </c>
      <c r="J23" s="244">
        <v>3.9527853646269899</v>
      </c>
      <c r="K23" s="244">
        <v>4.0958161414999283</v>
      </c>
      <c r="L23" s="244">
        <v>4.0740116320815689</v>
      </c>
      <c r="M23" s="244">
        <v>4.1513850621934738</v>
      </c>
      <c r="N23" s="244">
        <v>4.1469362775951142</v>
      </c>
    </row>
    <row r="24" spans="1:14" ht="16" customHeight="1">
      <c r="A24" s="143" t="s">
        <v>34</v>
      </c>
      <c r="B24" s="655">
        <v>4.5943500830313679</v>
      </c>
      <c r="C24" s="244">
        <v>4.3712597249170466</v>
      </c>
      <c r="D24" s="244">
        <v>4.8814047183917593</v>
      </c>
      <c r="E24" s="244">
        <v>4.404856264362925</v>
      </c>
      <c r="F24" s="244">
        <v>4.8961891851182413</v>
      </c>
      <c r="G24" s="244">
        <v>4.8398404869812497</v>
      </c>
      <c r="H24" s="244">
        <v>5.064224009532321</v>
      </c>
      <c r="I24" s="244">
        <v>4.4627118599605993</v>
      </c>
      <c r="J24" s="244">
        <v>4.4287486050340652</v>
      </c>
      <c r="K24" s="244">
        <v>4.5628898868683896</v>
      </c>
      <c r="L24" s="244">
        <v>4.3943435782185549</v>
      </c>
      <c r="M24" s="244">
        <v>4.4639381063096293</v>
      </c>
      <c r="N24" s="244">
        <v>4.3980358856216357</v>
      </c>
    </row>
    <row r="25" spans="1:14" ht="16" customHeight="1">
      <c r="A25" s="121" t="s">
        <v>35</v>
      </c>
      <c r="B25" s="655">
        <v>14.031004900015997</v>
      </c>
      <c r="C25" s="244">
        <v>13.904766118604854</v>
      </c>
      <c r="D25" s="244">
        <v>13.83773375242815</v>
      </c>
      <c r="E25" s="244">
        <v>13.545393782843338</v>
      </c>
      <c r="F25" s="244">
        <v>13.849294067513801</v>
      </c>
      <c r="G25" s="244">
        <v>13.06815329838623</v>
      </c>
      <c r="H25" s="244">
        <v>14.199547686860132</v>
      </c>
      <c r="I25" s="244">
        <v>14.233209101125325</v>
      </c>
      <c r="J25" s="244">
        <v>14.315829796428629</v>
      </c>
      <c r="K25" s="244">
        <v>14.316278156387289</v>
      </c>
      <c r="L25" s="244">
        <v>14.436700880449857</v>
      </c>
      <c r="M25" s="244">
        <v>14.360076117568346</v>
      </c>
      <c r="N25" s="244">
        <v>14.333098347561505</v>
      </c>
    </row>
    <row r="26" spans="1:14" ht="16" customHeight="1">
      <c r="A26" s="143" t="s">
        <v>36</v>
      </c>
      <c r="B26" s="655">
        <v>8.5465410707057359</v>
      </c>
      <c r="C26" s="244">
        <v>8.5789015183219757</v>
      </c>
      <c r="D26" s="244">
        <v>8.6471</v>
      </c>
      <c r="E26" s="244">
        <v>8.5956774193548391</v>
      </c>
      <c r="F26" s="244">
        <v>8.6511000000000013</v>
      </c>
      <c r="G26" s="244">
        <v>8.2704053481927691</v>
      </c>
      <c r="H26" s="244">
        <v>8.556608552646578</v>
      </c>
      <c r="I26" s="244">
        <v>8.488111695175153</v>
      </c>
      <c r="J26" s="244">
        <v>8.4244810065998887</v>
      </c>
      <c r="K26" s="244">
        <v>8.4820828979449665</v>
      </c>
      <c r="L26" s="244">
        <v>8.5071998532208024</v>
      </c>
      <c r="M26" s="244">
        <v>8.8305826465201473</v>
      </c>
      <c r="N26" s="244">
        <v>8.5398714000108047</v>
      </c>
    </row>
    <row r="27" spans="1:14" ht="16" customHeight="1">
      <c r="A27" s="143" t="s">
        <v>37</v>
      </c>
      <c r="B27" s="655">
        <v>11.817063762044688</v>
      </c>
      <c r="C27" s="244">
        <v>11.96393983595973</v>
      </c>
      <c r="D27" s="244">
        <v>12.222942920681987</v>
      </c>
      <c r="E27" s="244">
        <v>11.896865061335756</v>
      </c>
      <c r="F27" s="244">
        <v>11.977267111440574</v>
      </c>
      <c r="G27" s="244">
        <v>11.997853846337788</v>
      </c>
      <c r="H27" s="244">
        <v>12.009019026439338</v>
      </c>
      <c r="I27" s="244">
        <v>11.968722351084434</v>
      </c>
      <c r="J27" s="244">
        <v>11.750397502601457</v>
      </c>
      <c r="K27" s="244">
        <v>11.590219488663772</v>
      </c>
      <c r="L27" s="244">
        <v>11.565173280453783</v>
      </c>
      <c r="M27" s="244">
        <v>11.349534703604409</v>
      </c>
      <c r="N27" s="244">
        <v>11.573919452730015</v>
      </c>
    </row>
    <row r="28" spans="1:14" ht="16" customHeight="1">
      <c r="A28" s="143" t="s">
        <v>38</v>
      </c>
      <c r="B28" s="655">
        <v>4.3464521306046695</v>
      </c>
      <c r="C28" s="244">
        <v>4.5941589609656246</v>
      </c>
      <c r="D28" s="244">
        <v>4.1127469770359273</v>
      </c>
      <c r="E28" s="244">
        <v>4.3690112964377388</v>
      </c>
      <c r="F28" s="244">
        <v>4.3790464333881705</v>
      </c>
      <c r="G28" s="244">
        <v>4.2849640030935232</v>
      </c>
      <c r="H28" s="244">
        <v>4.2099444298277087</v>
      </c>
      <c r="I28" s="244">
        <v>4.1586484026374801</v>
      </c>
      <c r="J28" s="244">
        <v>4.3730200894399118</v>
      </c>
      <c r="K28" s="244">
        <v>4.4522330305798894</v>
      </c>
      <c r="L28" s="244">
        <v>4.4124486716705817</v>
      </c>
      <c r="M28" s="244">
        <v>4.5796432295208298</v>
      </c>
      <c r="N28" s="244">
        <v>4.8272681736788634</v>
      </c>
    </row>
    <row r="29" spans="1:14" ht="16" customHeight="1">
      <c r="A29" s="121" t="s">
        <v>39</v>
      </c>
      <c r="B29" s="655">
        <v>3.0578028494664453</v>
      </c>
      <c r="C29" s="244">
        <v>3.7453237283649332</v>
      </c>
      <c r="D29" s="244">
        <v>4.0880990706812179</v>
      </c>
      <c r="E29" s="244">
        <v>3.7340022368935166</v>
      </c>
      <c r="F29" s="244">
        <v>3.8177149699516515</v>
      </c>
      <c r="G29" s="244">
        <v>3.3013882182915224</v>
      </c>
      <c r="H29" s="244">
        <v>3.4568529536761576</v>
      </c>
      <c r="I29" s="244">
        <v>3.0923142673979629</v>
      </c>
      <c r="J29" s="244">
        <v>2.6282113555678883</v>
      </c>
      <c r="K29" s="244">
        <v>2.4530032162145763</v>
      </c>
      <c r="L29" s="244">
        <v>2.2991415056336431</v>
      </c>
      <c r="M29" s="244">
        <v>2.0406617341999724</v>
      </c>
      <c r="N29" s="244">
        <v>1.9709904465829509</v>
      </c>
    </row>
    <row r="30" spans="1:14" ht="16" customHeight="1">
      <c r="A30" s="119" t="s">
        <v>97</v>
      </c>
      <c r="B30" s="655">
        <v>2.7441739519910708</v>
      </c>
      <c r="C30" s="244">
        <v>3.594366768201894</v>
      </c>
      <c r="D30" s="244">
        <v>3.81918026826115</v>
      </c>
      <c r="E30" s="244">
        <v>3.4950103403836215</v>
      </c>
      <c r="F30" s="244">
        <v>3.6102307678140599</v>
      </c>
      <c r="G30" s="244">
        <v>2.9323195873562629</v>
      </c>
      <c r="H30" s="244">
        <v>3.0638042044837479</v>
      </c>
      <c r="I30" s="244">
        <v>2.816441426543876</v>
      </c>
      <c r="J30" s="244">
        <v>2.5365082439808111</v>
      </c>
      <c r="K30" s="244">
        <v>2.1765964763234016</v>
      </c>
      <c r="L30" s="244">
        <v>2.0045111503737032</v>
      </c>
      <c r="M30" s="244">
        <v>1.4519367339748939</v>
      </c>
      <c r="N30" s="244">
        <v>1.3355142412034113</v>
      </c>
    </row>
    <row r="31" spans="1:14" ht="16" customHeight="1">
      <c r="A31" s="119" t="s">
        <v>98</v>
      </c>
      <c r="B31" s="655">
        <v>3.5541663613638184</v>
      </c>
      <c r="C31" s="244">
        <v>3.9836684520151029</v>
      </c>
      <c r="D31" s="244">
        <v>4.5244103881802333</v>
      </c>
      <c r="E31" s="244">
        <v>4.134623336309649</v>
      </c>
      <c r="F31" s="244">
        <v>4.1468635872264583</v>
      </c>
      <c r="G31" s="244">
        <v>3.8991565735299996</v>
      </c>
      <c r="H31" s="244">
        <v>4.0683411778904182</v>
      </c>
      <c r="I31" s="244">
        <v>3.5200437178965012</v>
      </c>
      <c r="J31" s="244">
        <v>2.7701660674441371</v>
      </c>
      <c r="K31" s="244">
        <v>2.8676133260513383</v>
      </c>
      <c r="L31" s="244">
        <v>2.7336851562756519</v>
      </c>
      <c r="M31" s="244">
        <v>3.0074571419871505</v>
      </c>
      <c r="N31" s="244">
        <v>3.0125830419311819</v>
      </c>
    </row>
    <row r="32" spans="1:14" ht="16" customHeight="1">
      <c r="A32" s="143" t="s">
        <v>42</v>
      </c>
      <c r="B32" s="655">
        <v>4.5695400226195018</v>
      </c>
      <c r="C32" s="244">
        <v>4.6688637439602756</v>
      </c>
      <c r="D32" s="244">
        <v>4.8188510081778215</v>
      </c>
      <c r="E32" s="244">
        <v>4.818978165438681</v>
      </c>
      <c r="F32" s="244">
        <v>4.9514898814668724</v>
      </c>
      <c r="G32" s="244">
        <v>4.9552763610441382</v>
      </c>
      <c r="H32" s="244">
        <v>4.7553875167295292</v>
      </c>
      <c r="I32" s="244">
        <v>4.5653443803452411</v>
      </c>
      <c r="J32" s="244">
        <v>4.3566255822104099</v>
      </c>
      <c r="K32" s="244">
        <v>4.1568401244665285</v>
      </c>
      <c r="L32" s="244">
        <v>4.1074924027335884</v>
      </c>
      <c r="M32" s="244">
        <v>4.1495908179966614</v>
      </c>
      <c r="N32" s="244">
        <v>4.5265644881954055</v>
      </c>
    </row>
    <row r="33" spans="1:14" ht="16" customHeight="1">
      <c r="A33" s="143" t="s">
        <v>43</v>
      </c>
      <c r="B33" s="655">
        <v>4.1416713394194211</v>
      </c>
      <c r="C33" s="244">
        <v>3.7943749331622292</v>
      </c>
      <c r="D33" s="244">
        <v>4.5662131160390214</v>
      </c>
      <c r="E33" s="244">
        <v>4.5834928441422651</v>
      </c>
      <c r="F33" s="244">
        <v>4.7552262396997147</v>
      </c>
      <c r="G33" s="244">
        <v>4.4618502928257691</v>
      </c>
      <c r="H33" s="244">
        <v>4.324349688110976</v>
      </c>
      <c r="I33" s="244">
        <v>4.0859351019513257</v>
      </c>
      <c r="J33" s="244">
        <v>3.8649911504424783</v>
      </c>
      <c r="K33" s="244">
        <v>3.747670014094433</v>
      </c>
      <c r="L33" s="244">
        <v>3.4112159611755186</v>
      </c>
      <c r="M33" s="244">
        <v>3.6348625725400163</v>
      </c>
      <c r="N33" s="244">
        <v>3.8067839805825248</v>
      </c>
    </row>
    <row r="34" spans="1:14" ht="16" customHeight="1">
      <c r="A34" s="121" t="s">
        <v>44</v>
      </c>
      <c r="B34" s="655">
        <v>4.5655412187324753</v>
      </c>
      <c r="C34" s="244">
        <v>4.2515951123077445</v>
      </c>
      <c r="D34" s="244">
        <v>5.1863041790522812</v>
      </c>
      <c r="E34" s="244">
        <v>4.6843912949816389</v>
      </c>
      <c r="F34" s="244">
        <v>4.8868</v>
      </c>
      <c r="G34" s="244">
        <v>4.9614193548387098</v>
      </c>
      <c r="H34" s="244">
        <v>5.2399999999999993</v>
      </c>
      <c r="I34" s="244">
        <v>5.0072999999999999</v>
      </c>
      <c r="J34" s="244">
        <v>4.1926571554640395</v>
      </c>
      <c r="K34" s="244">
        <v>4.2836757498529705</v>
      </c>
      <c r="L34" s="244">
        <v>3.889515717980661</v>
      </c>
      <c r="M34" s="244">
        <v>4.2042070024168785</v>
      </c>
      <c r="N34" s="244">
        <v>4.065166338039278</v>
      </c>
    </row>
    <row r="35" spans="1:14" ht="16" customHeight="1">
      <c r="A35" s="121" t="s">
        <v>45</v>
      </c>
      <c r="B35" s="655">
        <v>3.1757580654031581</v>
      </c>
      <c r="C35" s="244">
        <v>3.1527007620660461</v>
      </c>
      <c r="D35" s="244">
        <v>3.3595285257970313</v>
      </c>
      <c r="E35" s="244">
        <v>3.100212096774194</v>
      </c>
      <c r="F35" s="244">
        <v>3.0675372232472338</v>
      </c>
      <c r="G35" s="244">
        <v>3.04146218487395</v>
      </c>
      <c r="H35" s="244">
        <v>3.2625640000000007</v>
      </c>
      <c r="I35" s="244">
        <v>3.145736091549296</v>
      </c>
      <c r="J35" s="244">
        <v>3.2227322299651577</v>
      </c>
      <c r="K35" s="244">
        <v>3.360498153034301</v>
      </c>
      <c r="L35" s="244">
        <v>3.1235280323450145</v>
      </c>
      <c r="M35" s="244">
        <v>3.1438015012722649</v>
      </c>
      <c r="N35" s="244">
        <v>3.1428488372093031</v>
      </c>
    </row>
    <row r="36" spans="1:14" ht="16" customHeight="1">
      <c r="A36" s="121" t="s">
        <v>46</v>
      </c>
      <c r="B36" s="655">
        <v>3.6714906793540449</v>
      </c>
      <c r="C36" s="244">
        <v>3.6794474947523343</v>
      </c>
      <c r="D36" s="244">
        <v>4.11320897785866</v>
      </c>
      <c r="E36" s="244">
        <v>3.9149520223674066</v>
      </c>
      <c r="F36" s="244">
        <v>3.7081996537900879</v>
      </c>
      <c r="G36" s="244">
        <v>3.623275706757815</v>
      </c>
      <c r="H36" s="244">
        <v>3.9711212981487871</v>
      </c>
      <c r="I36" s="244">
        <v>3.923826341204808</v>
      </c>
      <c r="J36" s="244">
        <v>3.7502384906193686</v>
      </c>
      <c r="K36" s="244">
        <v>3.4086266022659513</v>
      </c>
      <c r="L36" s="244">
        <v>2.9770525131282821</v>
      </c>
      <c r="M36" s="244">
        <v>2.9579680722021662</v>
      </c>
      <c r="N36" s="244">
        <v>4.2868212006489994</v>
      </c>
    </row>
    <row r="37" spans="1:14" ht="16" customHeight="1" thickBot="1">
      <c r="A37" s="145" t="s">
        <v>47</v>
      </c>
      <c r="B37" s="656">
        <v>4.0800901560966807</v>
      </c>
      <c r="C37" s="245">
        <v>3.9729550545454546</v>
      </c>
      <c r="D37" s="245">
        <v>4.4787595183557389</v>
      </c>
      <c r="E37" s="245">
        <v>4.0476324887459807</v>
      </c>
      <c r="F37" s="245">
        <v>4.2154293563318772</v>
      </c>
      <c r="G37" s="245">
        <v>4.0731457184466029</v>
      </c>
      <c r="H37" s="245">
        <v>4.2970772623751392</v>
      </c>
      <c r="I37" s="245">
        <v>4.0555592674943561</v>
      </c>
      <c r="J37" s="245">
        <v>4.0875374381778737</v>
      </c>
      <c r="K37" s="245">
        <v>4.3039763307692303</v>
      </c>
      <c r="L37" s="245">
        <v>4.0668582970297038</v>
      </c>
      <c r="M37" s="245">
        <v>3.7761793931654681</v>
      </c>
      <c r="N37" s="245">
        <v>3.5743778104265407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</row>
    <row r="42" spans="1:14" ht="13.25" customHeight="1">
      <c r="A42" s="67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</row>
    <row r="43" spans="1:14" ht="13.25" customHeight="1">
      <c r="A43" s="67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</row>
    <row r="44" spans="1:14" ht="13.25" customHeight="1">
      <c r="A44" s="22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</row>
    <row r="45" spans="1:14" ht="13.25" customHeight="1">
      <c r="A45" s="30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</row>
    <row r="46" spans="1:14" ht="13.25" customHeight="1">
      <c r="A46" s="22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</row>
    <row r="47" spans="1:14" ht="13.25" customHeight="1">
      <c r="A47" s="67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</row>
    <row r="48" spans="1:14" ht="13.25" customHeight="1">
      <c r="A48" s="67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</row>
    <row r="49" spans="1:14" ht="13.25" customHeight="1">
      <c r="A49" s="67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</row>
    <row r="50" spans="1:14" ht="13.25" customHeight="1">
      <c r="A50" s="67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</row>
    <row r="51" spans="1:14" ht="13.25" customHeight="1">
      <c r="A51" s="67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</row>
    <row r="52" spans="1:14" ht="13.25" customHeight="1">
      <c r="A52" s="67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</row>
    <row r="53" spans="1:14" ht="13.25" customHeight="1">
      <c r="A53" s="67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</row>
    <row r="54" spans="1:14" ht="13.25" customHeight="1">
      <c r="A54" s="67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</row>
    <row r="55" spans="1:14" ht="13.25" customHeight="1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</row>
    <row r="56" spans="1:14" ht="13.25" customHeight="1"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</row>
    <row r="57" spans="1:14" ht="13.25" customHeight="1"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</row>
    <row r="58" spans="1:14" ht="13.25" customHeight="1"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</row>
  </sheetData>
  <printOptions horizontalCentered="1" verticalCentered="1"/>
  <pageMargins left="0" right="0" top="0" bottom="0" header="0" footer="0"/>
  <pageSetup paperSize="8" orientation="portrait" r:id="rId1"/>
  <headerFooter scaleWithDoc="0"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Hoja78">
    <tabColor theme="9" tint="0.59999389629810485"/>
  </sheetPr>
  <dimension ref="A4:AC54"/>
  <sheetViews>
    <sheetView showGridLines="0" zoomScaleNormal="100" workbookViewId="0">
      <selection activeCell="N30" sqref="N30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29" ht="13" customHeight="1">
      <c r="A4" s="229" t="s">
        <v>554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29" ht="12" customHeight="1">
      <c r="A5" s="233" t="s">
        <v>211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2"/>
      <c r="P5" s="842"/>
    </row>
    <row r="6" spans="1:29" ht="6" customHeight="1" thickBot="1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P6" s="122"/>
      <c r="Q6" s="120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</row>
    <row r="7" spans="1:29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  <c r="P7" s="122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</row>
    <row r="8" spans="1:29" ht="18" customHeight="1">
      <c r="A8" s="647" t="s">
        <v>87</v>
      </c>
      <c r="B8" s="664">
        <f>SUM(C8:N8)</f>
        <v>2119261</v>
      </c>
      <c r="C8" s="664">
        <f>(C9+C10+C11+C12+C13+C17+C18+C19+C20+C21+C22+C23+C24+C25+C26+C27+C28+C29+C32+C33+C34+C35+C36+C37)</f>
        <v>206465</v>
      </c>
      <c r="D8" s="664">
        <f>(D9+D10+D11+D12+D13+D17+D18+D19+D20+D21+D22+D23+D24+D25+D26+D27+D28+D29+D32+D33+D34+D35+D36+D37)</f>
        <v>307328</v>
      </c>
      <c r="E8" s="664">
        <f t="shared" ref="E8:N8" si="0">(E9+E10+E11+E12+E13+E17+E18+E19+E20+E21+E22+E23+E24+E25+E26+E27+E28+E29+E32+E33+E34+E35+E36+E37)</f>
        <v>292550</v>
      </c>
      <c r="F8" s="664">
        <f t="shared" si="0"/>
        <v>27044</v>
      </c>
      <c r="G8" s="664">
        <f t="shared" si="0"/>
        <v>32178</v>
      </c>
      <c r="H8" s="664">
        <f t="shared" si="0"/>
        <v>21268</v>
      </c>
      <c r="I8" s="664">
        <f t="shared" si="0"/>
        <v>2240</v>
      </c>
      <c r="J8" s="664">
        <f t="shared" si="0"/>
        <v>286</v>
      </c>
      <c r="K8" s="664">
        <f t="shared" si="0"/>
        <v>12720</v>
      </c>
      <c r="L8" s="664">
        <f t="shared" si="0"/>
        <v>80198</v>
      </c>
      <c r="M8" s="664">
        <f t="shared" si="0"/>
        <v>826670</v>
      </c>
      <c r="N8" s="664">
        <f t="shared" si="0"/>
        <v>310314</v>
      </c>
    </row>
    <row r="9" spans="1:29" ht="16" customHeight="1">
      <c r="A9" s="143" t="s">
        <v>19</v>
      </c>
      <c r="B9" s="671" t="s">
        <v>213</v>
      </c>
      <c r="C9" s="416">
        <v>0</v>
      </c>
      <c r="D9" s="416">
        <v>0</v>
      </c>
      <c r="E9" s="416">
        <v>0</v>
      </c>
      <c r="F9" s="416">
        <v>0</v>
      </c>
      <c r="G9" s="416">
        <v>0</v>
      </c>
      <c r="H9" s="416">
        <v>0</v>
      </c>
      <c r="I9" s="416">
        <v>0</v>
      </c>
      <c r="J9" s="416">
        <v>0</v>
      </c>
      <c r="K9" s="416">
        <v>0</v>
      </c>
      <c r="L9" s="416">
        <v>0</v>
      </c>
      <c r="M9" s="416">
        <v>0</v>
      </c>
      <c r="N9" s="416">
        <v>0</v>
      </c>
      <c r="O9" s="149"/>
    </row>
    <row r="10" spans="1:29" ht="16" customHeight="1">
      <c r="A10" s="143" t="s">
        <v>20</v>
      </c>
      <c r="B10" s="666">
        <f>SUM(C10:N10)</f>
        <v>0</v>
      </c>
      <c r="C10" s="416">
        <v>0</v>
      </c>
      <c r="D10" s="416">
        <v>0</v>
      </c>
      <c r="E10" s="416">
        <v>0</v>
      </c>
      <c r="F10" s="416">
        <v>0</v>
      </c>
      <c r="G10" s="416">
        <v>0</v>
      </c>
      <c r="H10" s="416">
        <v>0</v>
      </c>
      <c r="I10" s="416">
        <v>0</v>
      </c>
      <c r="J10" s="416">
        <v>0</v>
      </c>
      <c r="K10" s="416">
        <v>0</v>
      </c>
      <c r="L10" s="416">
        <v>0</v>
      </c>
      <c r="M10" s="416">
        <v>0</v>
      </c>
      <c r="N10" s="416">
        <v>0</v>
      </c>
    </row>
    <row r="11" spans="1:29" ht="16" customHeight="1">
      <c r="A11" s="143" t="s">
        <v>21</v>
      </c>
      <c r="B11" s="671" t="s">
        <v>213</v>
      </c>
      <c r="C11" s="416">
        <v>0</v>
      </c>
      <c r="D11" s="416">
        <v>0</v>
      </c>
      <c r="E11" s="416">
        <v>0</v>
      </c>
      <c r="F11" s="416">
        <v>0</v>
      </c>
      <c r="G11" s="416">
        <v>0</v>
      </c>
      <c r="H11" s="416">
        <v>0</v>
      </c>
      <c r="I11" s="416">
        <v>0</v>
      </c>
      <c r="J11" s="416">
        <v>0</v>
      </c>
      <c r="K11" s="416">
        <v>0</v>
      </c>
      <c r="L11" s="416">
        <v>0</v>
      </c>
      <c r="M11" s="416">
        <v>0</v>
      </c>
      <c r="N11" s="416">
        <v>0</v>
      </c>
    </row>
    <row r="12" spans="1:29" ht="16" customHeight="1">
      <c r="A12" s="121" t="s">
        <v>22</v>
      </c>
      <c r="B12" s="666">
        <f>SUM(C12:N12)</f>
        <v>3970</v>
      </c>
      <c r="C12" s="416">
        <v>0</v>
      </c>
      <c r="D12" s="416">
        <v>0</v>
      </c>
      <c r="E12" s="416">
        <v>0</v>
      </c>
      <c r="F12" s="416">
        <v>60</v>
      </c>
      <c r="G12" s="416">
        <v>952</v>
      </c>
      <c r="H12" s="416">
        <v>953</v>
      </c>
      <c r="I12" s="416">
        <v>206</v>
      </c>
      <c r="J12" s="416">
        <v>9</v>
      </c>
      <c r="K12" s="416">
        <v>0</v>
      </c>
      <c r="L12" s="416">
        <v>230</v>
      </c>
      <c r="M12" s="416">
        <v>883</v>
      </c>
      <c r="N12" s="416">
        <v>677</v>
      </c>
    </row>
    <row r="13" spans="1:29" ht="16" customHeight="1">
      <c r="A13" s="121" t="s">
        <v>23</v>
      </c>
      <c r="B13" s="671" t="s">
        <v>213</v>
      </c>
      <c r="C13" s="416">
        <v>0</v>
      </c>
      <c r="D13" s="416">
        <v>0</v>
      </c>
      <c r="E13" s="416">
        <v>0</v>
      </c>
      <c r="F13" s="416">
        <v>0</v>
      </c>
      <c r="G13" s="416">
        <v>0</v>
      </c>
      <c r="H13" s="416">
        <v>0</v>
      </c>
      <c r="I13" s="416">
        <v>0</v>
      </c>
      <c r="J13" s="416">
        <v>0</v>
      </c>
      <c r="K13" s="416">
        <v>0</v>
      </c>
      <c r="L13" s="416">
        <v>0</v>
      </c>
      <c r="M13" s="416">
        <v>0</v>
      </c>
      <c r="N13" s="416">
        <v>0</v>
      </c>
    </row>
    <row r="14" spans="1:29" ht="16" customHeight="1">
      <c r="A14" s="119" t="s">
        <v>94</v>
      </c>
      <c r="B14" s="671" t="s">
        <v>213</v>
      </c>
      <c r="C14" s="416">
        <v>0</v>
      </c>
      <c r="D14" s="416">
        <v>0</v>
      </c>
      <c r="E14" s="416">
        <v>0</v>
      </c>
      <c r="F14" s="416">
        <v>0</v>
      </c>
      <c r="G14" s="416">
        <v>0</v>
      </c>
      <c r="H14" s="416">
        <v>0</v>
      </c>
      <c r="I14" s="416">
        <v>0</v>
      </c>
      <c r="J14" s="416">
        <v>0</v>
      </c>
      <c r="K14" s="416">
        <v>0</v>
      </c>
      <c r="L14" s="416">
        <v>0</v>
      </c>
      <c r="M14" s="416">
        <v>0</v>
      </c>
      <c r="N14" s="416">
        <v>0</v>
      </c>
    </row>
    <row r="15" spans="1:29" ht="16" customHeight="1">
      <c r="A15" s="119" t="s">
        <v>95</v>
      </c>
      <c r="B15" s="671" t="s">
        <v>213</v>
      </c>
      <c r="C15" s="416">
        <v>0</v>
      </c>
      <c r="D15" s="416">
        <v>0</v>
      </c>
      <c r="E15" s="416">
        <v>0</v>
      </c>
      <c r="F15" s="416">
        <v>0</v>
      </c>
      <c r="G15" s="416">
        <v>0</v>
      </c>
      <c r="H15" s="416">
        <v>0</v>
      </c>
      <c r="I15" s="416">
        <v>0</v>
      </c>
      <c r="J15" s="416">
        <v>0</v>
      </c>
      <c r="K15" s="416">
        <v>0</v>
      </c>
      <c r="L15" s="416">
        <v>0</v>
      </c>
      <c r="M15" s="416">
        <v>0</v>
      </c>
      <c r="N15" s="416">
        <v>0</v>
      </c>
    </row>
    <row r="16" spans="1:29" ht="16" customHeight="1">
      <c r="A16" s="119" t="s">
        <v>96</v>
      </c>
      <c r="B16" s="671" t="s">
        <v>213</v>
      </c>
      <c r="C16" s="416">
        <v>0</v>
      </c>
      <c r="D16" s="416">
        <v>0</v>
      </c>
      <c r="E16" s="416">
        <v>0</v>
      </c>
      <c r="F16" s="416">
        <v>0</v>
      </c>
      <c r="G16" s="416">
        <v>0</v>
      </c>
      <c r="H16" s="416">
        <v>0</v>
      </c>
      <c r="I16" s="416">
        <v>0</v>
      </c>
      <c r="J16" s="416">
        <v>0</v>
      </c>
      <c r="K16" s="416">
        <v>0</v>
      </c>
      <c r="L16" s="416">
        <v>0</v>
      </c>
      <c r="M16" s="416">
        <v>0</v>
      </c>
      <c r="N16" s="416">
        <v>0</v>
      </c>
    </row>
    <row r="17" spans="1:14" ht="16" customHeight="1">
      <c r="A17" s="143" t="s">
        <v>27</v>
      </c>
      <c r="B17" s="671" t="s">
        <v>213</v>
      </c>
      <c r="C17" s="416">
        <v>0</v>
      </c>
      <c r="D17" s="416">
        <v>0</v>
      </c>
      <c r="E17" s="416">
        <v>0</v>
      </c>
      <c r="F17" s="416">
        <v>0</v>
      </c>
      <c r="G17" s="416">
        <v>0</v>
      </c>
      <c r="H17" s="416">
        <v>0</v>
      </c>
      <c r="I17" s="416">
        <v>0</v>
      </c>
      <c r="J17" s="416">
        <v>0</v>
      </c>
      <c r="K17" s="416">
        <v>0</v>
      </c>
      <c r="L17" s="416">
        <v>0</v>
      </c>
      <c r="M17" s="416">
        <v>0</v>
      </c>
      <c r="N17" s="416">
        <v>0</v>
      </c>
    </row>
    <row r="18" spans="1:14" ht="16" customHeight="1">
      <c r="A18" s="121" t="s">
        <v>28</v>
      </c>
      <c r="B18" s="671" t="s">
        <v>213</v>
      </c>
      <c r="C18" s="416">
        <v>0</v>
      </c>
      <c r="D18" s="416">
        <v>0</v>
      </c>
      <c r="E18" s="416">
        <v>0</v>
      </c>
      <c r="F18" s="416">
        <v>0</v>
      </c>
      <c r="G18" s="416">
        <v>0</v>
      </c>
      <c r="H18" s="416">
        <v>0</v>
      </c>
      <c r="I18" s="416">
        <v>0</v>
      </c>
      <c r="J18" s="416">
        <v>0</v>
      </c>
      <c r="K18" s="416">
        <v>0</v>
      </c>
      <c r="L18" s="416">
        <v>0</v>
      </c>
      <c r="M18" s="416">
        <v>0</v>
      </c>
      <c r="N18" s="416">
        <v>0</v>
      </c>
    </row>
    <row r="19" spans="1:14" ht="16" customHeight="1">
      <c r="A19" s="121" t="s">
        <v>29</v>
      </c>
      <c r="B19" s="666">
        <f t="shared" ref="B19:B33" si="1">SUM(C19:N19)</f>
        <v>15162</v>
      </c>
      <c r="C19" s="416">
        <v>0</v>
      </c>
      <c r="D19" s="416">
        <v>0</v>
      </c>
      <c r="E19" s="416">
        <v>0</v>
      </c>
      <c r="F19" s="416">
        <v>5457</v>
      </c>
      <c r="G19" s="416">
        <v>5617</v>
      </c>
      <c r="H19" s="416">
        <v>1990</v>
      </c>
      <c r="I19" s="416">
        <v>1897</v>
      </c>
      <c r="J19" s="416">
        <v>201</v>
      </c>
      <c r="K19" s="416">
        <v>0</v>
      </c>
      <c r="L19" s="416">
        <v>0</v>
      </c>
      <c r="M19" s="416">
        <v>0</v>
      </c>
      <c r="N19" s="416">
        <v>0</v>
      </c>
    </row>
    <row r="20" spans="1:14" ht="16" customHeight="1">
      <c r="A20" s="143" t="s">
        <v>30</v>
      </c>
      <c r="B20" s="671" t="s">
        <v>213</v>
      </c>
      <c r="C20" s="416">
        <v>0</v>
      </c>
      <c r="D20" s="416">
        <v>0</v>
      </c>
      <c r="E20" s="416">
        <v>0</v>
      </c>
      <c r="F20" s="416">
        <v>0</v>
      </c>
      <c r="G20" s="416">
        <v>0</v>
      </c>
      <c r="H20" s="416">
        <v>0</v>
      </c>
      <c r="I20" s="416">
        <v>0</v>
      </c>
      <c r="J20" s="416">
        <v>0</v>
      </c>
      <c r="K20" s="416">
        <v>0</v>
      </c>
      <c r="L20" s="416">
        <v>0</v>
      </c>
      <c r="M20" s="416">
        <v>0</v>
      </c>
      <c r="N20" s="416">
        <v>0</v>
      </c>
    </row>
    <row r="21" spans="1:14" ht="16" customHeight="1">
      <c r="A21" s="143" t="s">
        <v>31</v>
      </c>
      <c r="B21" s="666">
        <f t="shared" si="1"/>
        <v>5211</v>
      </c>
      <c r="C21" s="416">
        <v>122</v>
      </c>
      <c r="D21" s="416">
        <v>315</v>
      </c>
      <c r="E21" s="416">
        <v>288</v>
      </c>
      <c r="F21" s="416">
        <v>92</v>
      </c>
      <c r="G21" s="416">
        <v>391</v>
      </c>
      <c r="H21" s="416">
        <v>405</v>
      </c>
      <c r="I21" s="416">
        <v>137</v>
      </c>
      <c r="J21" s="416">
        <v>76</v>
      </c>
      <c r="K21" s="416">
        <v>113</v>
      </c>
      <c r="L21" s="416">
        <v>958</v>
      </c>
      <c r="M21" s="416">
        <v>1702</v>
      </c>
      <c r="N21" s="416">
        <v>612</v>
      </c>
    </row>
    <row r="22" spans="1:14" ht="16" customHeight="1">
      <c r="A22" s="143" t="s">
        <v>32</v>
      </c>
      <c r="B22" s="666">
        <f t="shared" si="1"/>
        <v>93713</v>
      </c>
      <c r="C22" s="416">
        <v>930</v>
      </c>
      <c r="D22" s="416">
        <v>0</v>
      </c>
      <c r="E22" s="416">
        <v>0</v>
      </c>
      <c r="F22" s="416">
        <v>0</v>
      </c>
      <c r="G22" s="416">
        <v>0</v>
      </c>
      <c r="H22" s="416">
        <v>0</v>
      </c>
      <c r="I22" s="416">
        <v>0</v>
      </c>
      <c r="J22" s="416">
        <v>0</v>
      </c>
      <c r="K22" s="416">
        <v>0</v>
      </c>
      <c r="L22" s="416">
        <v>10451</v>
      </c>
      <c r="M22" s="416">
        <v>49624</v>
      </c>
      <c r="N22" s="416">
        <v>32708</v>
      </c>
    </row>
    <row r="23" spans="1:14" ht="16" customHeight="1">
      <c r="A23" s="143" t="s">
        <v>33</v>
      </c>
      <c r="B23" s="666">
        <f t="shared" si="1"/>
        <v>86863</v>
      </c>
      <c r="C23" s="416">
        <v>0</v>
      </c>
      <c r="D23" s="416">
        <v>0</v>
      </c>
      <c r="E23" s="416">
        <v>0</v>
      </c>
      <c r="F23" s="416">
        <v>0</v>
      </c>
      <c r="G23" s="416">
        <v>0</v>
      </c>
      <c r="H23" s="416">
        <v>0</v>
      </c>
      <c r="I23" s="416">
        <v>0</v>
      </c>
      <c r="J23" s="416">
        <v>0</v>
      </c>
      <c r="K23" s="416">
        <v>9805</v>
      </c>
      <c r="L23" s="416">
        <v>30134</v>
      </c>
      <c r="M23" s="416">
        <v>41942</v>
      </c>
      <c r="N23" s="416">
        <v>4982</v>
      </c>
    </row>
    <row r="24" spans="1:14" ht="16" customHeight="1">
      <c r="A24" s="143" t="s">
        <v>34</v>
      </c>
      <c r="B24" s="666">
        <f t="shared" si="1"/>
        <v>50110</v>
      </c>
      <c r="C24" s="416">
        <v>0</v>
      </c>
      <c r="D24" s="416">
        <v>7589</v>
      </c>
      <c r="E24" s="416">
        <v>3860</v>
      </c>
      <c r="F24" s="416">
        <v>2007</v>
      </c>
      <c r="G24" s="416">
        <v>11837</v>
      </c>
      <c r="H24" s="416">
        <v>17806</v>
      </c>
      <c r="I24" s="416">
        <v>0</v>
      </c>
      <c r="J24" s="416">
        <v>0</v>
      </c>
      <c r="K24" s="416">
        <v>410</v>
      </c>
      <c r="L24" s="416">
        <v>357</v>
      </c>
      <c r="M24" s="416">
        <v>230</v>
      </c>
      <c r="N24" s="416">
        <v>6014</v>
      </c>
    </row>
    <row r="25" spans="1:14" ht="16" customHeight="1">
      <c r="A25" s="121" t="s">
        <v>35</v>
      </c>
      <c r="B25" s="666">
        <f t="shared" si="1"/>
        <v>68033</v>
      </c>
      <c r="C25" s="416">
        <v>19072</v>
      </c>
      <c r="D25" s="416">
        <v>18075</v>
      </c>
      <c r="E25" s="416">
        <v>21671</v>
      </c>
      <c r="F25" s="416">
        <v>0</v>
      </c>
      <c r="G25" s="416">
        <v>0</v>
      </c>
      <c r="H25" s="416">
        <v>0</v>
      </c>
      <c r="I25" s="416">
        <v>0</v>
      </c>
      <c r="J25" s="416">
        <v>0</v>
      </c>
      <c r="K25" s="416">
        <v>0</v>
      </c>
      <c r="L25" s="416">
        <v>0</v>
      </c>
      <c r="M25" s="416">
        <v>0</v>
      </c>
      <c r="N25" s="416">
        <v>9215</v>
      </c>
    </row>
    <row r="26" spans="1:14" ht="16" customHeight="1">
      <c r="A26" s="143" t="s">
        <v>36</v>
      </c>
      <c r="B26" s="666">
        <f t="shared" si="1"/>
        <v>25923</v>
      </c>
      <c r="C26" s="416">
        <v>1720</v>
      </c>
      <c r="D26" s="416">
        <v>83</v>
      </c>
      <c r="E26" s="416">
        <v>1350</v>
      </c>
      <c r="F26" s="416">
        <v>1442</v>
      </c>
      <c r="G26" s="416">
        <v>0</v>
      </c>
      <c r="H26" s="416">
        <v>0</v>
      </c>
      <c r="I26" s="416">
        <v>0</v>
      </c>
      <c r="J26" s="416">
        <v>0</v>
      </c>
      <c r="K26" s="416">
        <v>1399</v>
      </c>
      <c r="L26" s="416">
        <v>842</v>
      </c>
      <c r="M26" s="416">
        <v>10928</v>
      </c>
      <c r="N26" s="416">
        <v>8159</v>
      </c>
    </row>
    <row r="27" spans="1:14" ht="16" customHeight="1">
      <c r="A27" s="143" t="s">
        <v>37</v>
      </c>
      <c r="B27" s="666">
        <f t="shared" si="1"/>
        <v>50111</v>
      </c>
      <c r="C27" s="416">
        <v>0</v>
      </c>
      <c r="D27" s="416">
        <v>0</v>
      </c>
      <c r="E27" s="416">
        <v>0</v>
      </c>
      <c r="F27" s="416">
        <v>0</v>
      </c>
      <c r="G27" s="416">
        <v>0</v>
      </c>
      <c r="H27" s="416">
        <v>0</v>
      </c>
      <c r="I27" s="416">
        <v>0</v>
      </c>
      <c r="J27" s="416">
        <v>0</v>
      </c>
      <c r="K27" s="416">
        <v>0</v>
      </c>
      <c r="L27" s="416">
        <v>35529</v>
      </c>
      <c r="M27" s="416">
        <v>14582</v>
      </c>
      <c r="N27" s="416">
        <v>0</v>
      </c>
    </row>
    <row r="28" spans="1:14" ht="16" customHeight="1">
      <c r="A28" s="143" t="s">
        <v>38</v>
      </c>
      <c r="B28" s="666">
        <f t="shared" si="1"/>
        <v>61594</v>
      </c>
      <c r="C28" s="416">
        <v>3560</v>
      </c>
      <c r="D28" s="416">
        <v>3769</v>
      </c>
      <c r="E28" s="416">
        <v>13508</v>
      </c>
      <c r="F28" s="416">
        <v>15970</v>
      </c>
      <c r="G28" s="416">
        <v>12889</v>
      </c>
      <c r="H28" s="416">
        <v>114</v>
      </c>
      <c r="I28" s="416">
        <v>0</v>
      </c>
      <c r="J28" s="416">
        <v>0</v>
      </c>
      <c r="K28" s="416">
        <v>993</v>
      </c>
      <c r="L28" s="416">
        <v>1697</v>
      </c>
      <c r="M28" s="416">
        <v>2547</v>
      </c>
      <c r="N28" s="416">
        <v>6547</v>
      </c>
    </row>
    <row r="29" spans="1:14" ht="16" customHeight="1">
      <c r="A29" s="121" t="s">
        <v>39</v>
      </c>
      <c r="B29" s="666">
        <f t="shared" si="1"/>
        <v>36054</v>
      </c>
      <c r="C29" s="416">
        <v>4380</v>
      </c>
      <c r="D29" s="416">
        <v>12287</v>
      </c>
      <c r="E29" s="416">
        <v>8894</v>
      </c>
      <c r="F29" s="416">
        <v>2016</v>
      </c>
      <c r="G29" s="416">
        <v>492</v>
      </c>
      <c r="H29" s="416">
        <v>0</v>
      </c>
      <c r="I29" s="416">
        <v>0</v>
      </c>
      <c r="J29" s="416">
        <v>0</v>
      </c>
      <c r="K29" s="416">
        <v>0</v>
      </c>
      <c r="L29" s="416">
        <v>0</v>
      </c>
      <c r="M29" s="416">
        <v>1014</v>
      </c>
      <c r="N29" s="416">
        <v>6971</v>
      </c>
    </row>
    <row r="30" spans="1:14" ht="16" customHeight="1">
      <c r="A30" s="119" t="s">
        <v>97</v>
      </c>
      <c r="B30" s="666">
        <f t="shared" si="1"/>
        <v>28017</v>
      </c>
      <c r="C30" s="416">
        <v>2034</v>
      </c>
      <c r="D30" s="416">
        <v>9578</v>
      </c>
      <c r="E30" s="416">
        <v>6807</v>
      </c>
      <c r="F30" s="416">
        <v>1613</v>
      </c>
      <c r="G30" s="416">
        <v>0</v>
      </c>
      <c r="H30" s="416">
        <v>0</v>
      </c>
      <c r="I30" s="416">
        <v>0</v>
      </c>
      <c r="J30" s="416">
        <v>0</v>
      </c>
      <c r="K30" s="416">
        <v>0</v>
      </c>
      <c r="L30" s="416">
        <v>0</v>
      </c>
      <c r="M30" s="416">
        <v>1014</v>
      </c>
      <c r="N30" s="416">
        <v>6971</v>
      </c>
    </row>
    <row r="31" spans="1:14" ht="16" customHeight="1">
      <c r="A31" s="119" t="s">
        <v>98</v>
      </c>
      <c r="B31" s="666">
        <f t="shared" si="1"/>
        <v>8037</v>
      </c>
      <c r="C31" s="416">
        <v>2346</v>
      </c>
      <c r="D31" s="416">
        <v>2709</v>
      </c>
      <c r="E31" s="416">
        <v>2087</v>
      </c>
      <c r="F31" s="416">
        <v>403</v>
      </c>
      <c r="G31" s="416">
        <v>492</v>
      </c>
      <c r="H31" s="416">
        <v>0</v>
      </c>
      <c r="I31" s="416">
        <v>0</v>
      </c>
      <c r="J31" s="416">
        <v>0</v>
      </c>
      <c r="K31" s="416">
        <v>0</v>
      </c>
      <c r="L31" s="416">
        <v>0</v>
      </c>
      <c r="M31" s="416">
        <v>0</v>
      </c>
      <c r="N31" s="416">
        <v>0</v>
      </c>
    </row>
    <row r="32" spans="1:14" ht="16" customHeight="1">
      <c r="A32" s="143" t="s">
        <v>42</v>
      </c>
      <c r="B32" s="666">
        <f t="shared" si="1"/>
        <v>346767</v>
      </c>
      <c r="C32" s="416">
        <v>103691</v>
      </c>
      <c r="D32" s="416">
        <v>36180</v>
      </c>
      <c r="E32" s="416">
        <v>1459</v>
      </c>
      <c r="F32" s="416">
        <v>0</v>
      </c>
      <c r="G32" s="416">
        <v>0</v>
      </c>
      <c r="H32" s="416">
        <v>0</v>
      </c>
      <c r="I32" s="416">
        <v>0</v>
      </c>
      <c r="J32" s="416">
        <v>0</v>
      </c>
      <c r="K32" s="416">
        <v>0</v>
      </c>
      <c r="L32" s="416">
        <v>0</v>
      </c>
      <c r="M32" s="416">
        <v>91088</v>
      </c>
      <c r="N32" s="416">
        <v>114349</v>
      </c>
    </row>
    <row r="33" spans="1:14" ht="16" customHeight="1">
      <c r="A33" s="143" t="s">
        <v>43</v>
      </c>
      <c r="B33" s="666">
        <f t="shared" si="1"/>
        <v>1275750</v>
      </c>
      <c r="C33" s="416">
        <v>72990</v>
      </c>
      <c r="D33" s="416">
        <v>229030</v>
      </c>
      <c r="E33" s="416">
        <v>241520</v>
      </c>
      <c r="F33" s="416">
        <v>0</v>
      </c>
      <c r="G33" s="416">
        <v>0</v>
      </c>
      <c r="H33" s="416">
        <v>0</v>
      </c>
      <c r="I33" s="416">
        <v>0</v>
      </c>
      <c r="J33" s="416">
        <v>0</v>
      </c>
      <c r="K33" s="416">
        <v>0</v>
      </c>
      <c r="L33" s="416">
        <v>0</v>
      </c>
      <c r="M33" s="416">
        <v>612130</v>
      </c>
      <c r="N33" s="416">
        <v>120080</v>
      </c>
    </row>
    <row r="34" spans="1:14" ht="16" customHeight="1">
      <c r="A34" s="121" t="s">
        <v>44</v>
      </c>
      <c r="B34" s="671" t="s">
        <v>213</v>
      </c>
      <c r="C34" s="416">
        <v>0</v>
      </c>
      <c r="D34" s="416">
        <v>0</v>
      </c>
      <c r="E34" s="416">
        <v>0</v>
      </c>
      <c r="F34" s="416">
        <v>0</v>
      </c>
      <c r="G34" s="416">
        <v>0</v>
      </c>
      <c r="H34" s="416">
        <v>0</v>
      </c>
      <c r="I34" s="416">
        <v>0</v>
      </c>
      <c r="J34" s="416">
        <v>0</v>
      </c>
      <c r="K34" s="416">
        <v>0</v>
      </c>
      <c r="L34" s="416">
        <v>0</v>
      </c>
      <c r="M34" s="416">
        <v>0</v>
      </c>
      <c r="N34" s="416">
        <v>0</v>
      </c>
    </row>
    <row r="35" spans="1:14" ht="16" customHeight="1">
      <c r="A35" s="121" t="s">
        <v>45</v>
      </c>
      <c r="B35" s="671" t="s">
        <v>213</v>
      </c>
      <c r="C35" s="416">
        <v>0</v>
      </c>
      <c r="D35" s="416">
        <v>0</v>
      </c>
      <c r="E35" s="416">
        <v>0</v>
      </c>
      <c r="F35" s="416">
        <v>0</v>
      </c>
      <c r="G35" s="416">
        <v>0</v>
      </c>
      <c r="H35" s="416">
        <v>0</v>
      </c>
      <c r="I35" s="416">
        <v>0</v>
      </c>
      <c r="J35" s="416">
        <v>0</v>
      </c>
      <c r="K35" s="416">
        <v>0</v>
      </c>
      <c r="L35" s="416">
        <v>0</v>
      </c>
      <c r="M35" s="416">
        <v>0</v>
      </c>
      <c r="N35" s="416">
        <v>0</v>
      </c>
    </row>
    <row r="36" spans="1:14" ht="16" customHeight="1">
      <c r="A36" s="121" t="s">
        <v>46</v>
      </c>
      <c r="B36" s="671" t="s">
        <v>213</v>
      </c>
      <c r="C36" s="416">
        <v>0</v>
      </c>
      <c r="D36" s="416">
        <v>0</v>
      </c>
      <c r="E36" s="416">
        <v>0</v>
      </c>
      <c r="F36" s="416">
        <v>0</v>
      </c>
      <c r="G36" s="416">
        <v>0</v>
      </c>
      <c r="H36" s="416">
        <v>0</v>
      </c>
      <c r="I36" s="416">
        <v>0</v>
      </c>
      <c r="J36" s="416">
        <v>0</v>
      </c>
      <c r="K36" s="416">
        <v>0</v>
      </c>
      <c r="L36" s="416">
        <v>0</v>
      </c>
      <c r="M36" s="416">
        <v>0</v>
      </c>
      <c r="N36" s="416">
        <v>0</v>
      </c>
    </row>
    <row r="37" spans="1:14" ht="16" customHeight="1" thickBot="1">
      <c r="A37" s="145" t="s">
        <v>47</v>
      </c>
      <c r="B37" s="672" t="s">
        <v>213</v>
      </c>
      <c r="C37" s="417">
        <v>0</v>
      </c>
      <c r="D37" s="417">
        <v>0</v>
      </c>
      <c r="E37" s="417">
        <v>0</v>
      </c>
      <c r="F37" s="417">
        <v>0</v>
      </c>
      <c r="G37" s="417">
        <v>0</v>
      </c>
      <c r="H37" s="417">
        <v>0</v>
      </c>
      <c r="I37" s="417">
        <v>0</v>
      </c>
      <c r="J37" s="417">
        <v>0</v>
      </c>
      <c r="K37" s="417">
        <v>0</v>
      </c>
      <c r="L37" s="417">
        <v>0</v>
      </c>
      <c r="M37" s="417">
        <v>0</v>
      </c>
      <c r="N37" s="417">
        <v>0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  <row r="49" spans="1:1" ht="13.25" customHeight="1">
      <c r="A49" s="67"/>
    </row>
    <row r="50" spans="1:1" ht="13.25" customHeight="1">
      <c r="A50" s="67"/>
    </row>
    <row r="51" spans="1:1" ht="13.25" customHeight="1">
      <c r="A51" s="67"/>
    </row>
    <row r="52" spans="1:1" ht="13.25" customHeight="1">
      <c r="A52" s="67"/>
    </row>
    <row r="53" spans="1:1" ht="13.25" customHeight="1">
      <c r="A53" s="67"/>
    </row>
    <row r="54" spans="1:1" ht="13.25" customHeight="1">
      <c r="A54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Hoja79">
    <tabColor theme="9" tint="0.59999389629810485"/>
  </sheetPr>
  <dimension ref="A4:P48"/>
  <sheetViews>
    <sheetView showGridLines="0" zoomScaleNormal="100" workbookViewId="0">
      <selection activeCell="D14" sqref="D14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553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3" t="s">
        <v>210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2"/>
      <c r="P5" s="842"/>
    </row>
    <row r="6" spans="1:16" ht="6" customHeight="1" thickBot="1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16" ht="18" customHeight="1">
      <c r="A8" s="647" t="s">
        <v>87</v>
      </c>
      <c r="B8" s="664">
        <f>SUM(C8:N8)</f>
        <v>4615.2265246605402</v>
      </c>
      <c r="C8" s="664">
        <f>(C9+C10+C11+C12+C13+C17+C18+C19+C20+C21+C22+C23+C24+C25+C26+C27+C28+C29+C32+C33+C34+C35+C36+C37)</f>
        <v>426.36313814054051</v>
      </c>
      <c r="D8" s="664">
        <f t="shared" ref="D8:N8" si="0">(D9+D10+D11+D12+D13+D17+D18+D19+D20+D21+D22+D23+D24+D25+D26+D27+D28+D29+D32+D33+D34+D35+D36+D37)</f>
        <v>621.88691399999993</v>
      </c>
      <c r="E8" s="664">
        <f t="shared" si="0"/>
        <v>594.19304262000003</v>
      </c>
      <c r="F8" s="664">
        <f t="shared" si="0"/>
        <v>44.591582600000002</v>
      </c>
      <c r="G8" s="664">
        <f t="shared" si="0"/>
        <v>60.461663600000001</v>
      </c>
      <c r="H8" s="664">
        <f t="shared" si="0"/>
        <v>40.1985314</v>
      </c>
      <c r="I8" s="664">
        <f t="shared" si="0"/>
        <v>4.0385752000000004</v>
      </c>
      <c r="J8" s="664">
        <f t="shared" si="0"/>
        <v>0.60658000000000001</v>
      </c>
      <c r="K8" s="664">
        <f t="shared" si="0"/>
        <v>26.7374568</v>
      </c>
      <c r="L8" s="664">
        <f t="shared" si="0"/>
        <v>228.44765080000002</v>
      </c>
      <c r="M8" s="664">
        <f t="shared" si="0"/>
        <v>1861.0866542999997</v>
      </c>
      <c r="N8" s="664">
        <f t="shared" si="0"/>
        <v>706.61473520000004</v>
      </c>
    </row>
    <row r="9" spans="1:16" ht="16" customHeight="1">
      <c r="A9" s="143" t="s">
        <v>19</v>
      </c>
      <c r="B9" s="673" t="s">
        <v>213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2">
        <v>0</v>
      </c>
      <c r="L9" s="242">
        <v>0</v>
      </c>
      <c r="M9" s="242">
        <v>0</v>
      </c>
      <c r="N9" s="242">
        <v>0</v>
      </c>
      <c r="O9" s="149"/>
    </row>
    <row r="10" spans="1:16" ht="16" customHeight="1">
      <c r="A10" s="143" t="s">
        <v>20</v>
      </c>
      <c r="B10" s="673">
        <f>SUM(C10:N10)</f>
        <v>0</v>
      </c>
      <c r="C10" s="242">
        <v>0</v>
      </c>
      <c r="D10" s="242">
        <v>0</v>
      </c>
      <c r="E10" s="242">
        <v>0</v>
      </c>
      <c r="F10" s="242">
        <v>0</v>
      </c>
      <c r="G10" s="242">
        <v>0</v>
      </c>
      <c r="H10" s="242">
        <v>0</v>
      </c>
      <c r="I10" s="242">
        <v>0</v>
      </c>
      <c r="J10" s="242">
        <v>0</v>
      </c>
      <c r="K10" s="242">
        <v>0</v>
      </c>
      <c r="L10" s="242">
        <v>0</v>
      </c>
      <c r="M10" s="242">
        <v>0</v>
      </c>
      <c r="N10" s="242">
        <v>0</v>
      </c>
    </row>
    <row r="11" spans="1:16" ht="16" customHeight="1">
      <c r="A11" s="143" t="s">
        <v>21</v>
      </c>
      <c r="B11" s="673" t="s">
        <v>213</v>
      </c>
      <c r="C11" s="242">
        <v>0</v>
      </c>
      <c r="D11" s="242">
        <v>0</v>
      </c>
      <c r="E11" s="242">
        <v>0</v>
      </c>
      <c r="F11" s="242">
        <v>0</v>
      </c>
      <c r="G11" s="242">
        <v>0</v>
      </c>
      <c r="H11" s="242">
        <v>0</v>
      </c>
      <c r="I11" s="242">
        <v>0</v>
      </c>
      <c r="J11" s="242">
        <v>0</v>
      </c>
      <c r="K11" s="242">
        <v>0</v>
      </c>
      <c r="L11" s="242">
        <v>0</v>
      </c>
      <c r="M11" s="242">
        <v>0</v>
      </c>
      <c r="N11" s="242">
        <v>0</v>
      </c>
    </row>
    <row r="12" spans="1:16" ht="16" customHeight="1">
      <c r="A12" s="121" t="s">
        <v>22</v>
      </c>
      <c r="B12" s="651">
        <f>SUM(C12:N12)</f>
        <v>13.664583300000002</v>
      </c>
      <c r="C12" s="242">
        <v>0</v>
      </c>
      <c r="D12" s="242">
        <v>0</v>
      </c>
      <c r="E12" s="242">
        <v>0</v>
      </c>
      <c r="F12" s="242">
        <v>0.192</v>
      </c>
      <c r="G12" s="242">
        <v>3.0640179999999999</v>
      </c>
      <c r="H12" s="242">
        <v>3.2644489999999995</v>
      </c>
      <c r="I12" s="242">
        <v>0.70365519999999993</v>
      </c>
      <c r="J12" s="242">
        <v>3.0780000000000002E-2</v>
      </c>
      <c r="K12" s="242">
        <v>0</v>
      </c>
      <c r="L12" s="242">
        <v>0.74303359999999996</v>
      </c>
      <c r="M12" s="242">
        <v>3.0371975000000004</v>
      </c>
      <c r="N12" s="242">
        <v>2.6294499999999998</v>
      </c>
    </row>
    <row r="13" spans="1:16" ht="16" customHeight="1">
      <c r="A13" s="121" t="s">
        <v>23</v>
      </c>
      <c r="B13" s="673" t="s">
        <v>213</v>
      </c>
      <c r="C13" s="242">
        <v>0</v>
      </c>
      <c r="D13" s="242">
        <v>0</v>
      </c>
      <c r="E13" s="242">
        <v>0</v>
      </c>
      <c r="F13" s="242">
        <v>0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</row>
    <row r="14" spans="1:16" ht="16" customHeight="1">
      <c r="A14" s="119" t="s">
        <v>94</v>
      </c>
      <c r="B14" s="673" t="s">
        <v>213</v>
      </c>
      <c r="C14" s="242">
        <v>0</v>
      </c>
      <c r="D14" s="242">
        <v>0</v>
      </c>
      <c r="E14" s="242">
        <v>0</v>
      </c>
      <c r="F14" s="242">
        <v>0</v>
      </c>
      <c r="G14" s="242">
        <v>0</v>
      </c>
      <c r="H14" s="242">
        <v>0</v>
      </c>
      <c r="I14" s="242">
        <v>0</v>
      </c>
      <c r="J14" s="242">
        <v>0</v>
      </c>
      <c r="K14" s="242">
        <v>0</v>
      </c>
      <c r="L14" s="242">
        <v>0</v>
      </c>
      <c r="M14" s="242">
        <v>0</v>
      </c>
      <c r="N14" s="242">
        <v>0</v>
      </c>
    </row>
    <row r="15" spans="1:16" ht="16" customHeight="1">
      <c r="A15" s="119" t="s">
        <v>95</v>
      </c>
      <c r="B15" s="673" t="s">
        <v>213</v>
      </c>
      <c r="C15" s="242">
        <v>0</v>
      </c>
      <c r="D15" s="242">
        <v>0</v>
      </c>
      <c r="E15" s="242">
        <v>0</v>
      </c>
      <c r="F15" s="242">
        <v>0</v>
      </c>
      <c r="G15" s="242">
        <v>0</v>
      </c>
      <c r="H15" s="242">
        <v>0</v>
      </c>
      <c r="I15" s="242">
        <v>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</row>
    <row r="16" spans="1:16" ht="16" customHeight="1">
      <c r="A16" s="119" t="s">
        <v>96</v>
      </c>
      <c r="B16" s="673" t="s">
        <v>213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</row>
    <row r="17" spans="1:14" ht="16" customHeight="1">
      <c r="A17" s="143" t="s">
        <v>27</v>
      </c>
      <c r="B17" s="673" t="s">
        <v>213</v>
      </c>
      <c r="C17" s="242">
        <v>0</v>
      </c>
      <c r="D17" s="242">
        <v>0</v>
      </c>
      <c r="E17" s="242">
        <v>0</v>
      </c>
      <c r="F17" s="242">
        <v>0</v>
      </c>
      <c r="G17" s="242">
        <v>0</v>
      </c>
      <c r="H17" s="242">
        <v>0</v>
      </c>
      <c r="I17" s="242">
        <v>0</v>
      </c>
      <c r="J17" s="242">
        <v>0</v>
      </c>
      <c r="K17" s="242">
        <v>0</v>
      </c>
      <c r="L17" s="242">
        <v>0</v>
      </c>
      <c r="M17" s="242">
        <v>0</v>
      </c>
      <c r="N17" s="242">
        <v>0</v>
      </c>
    </row>
    <row r="18" spans="1:14" ht="16" customHeight="1">
      <c r="A18" s="121" t="s">
        <v>28</v>
      </c>
      <c r="B18" s="673" t="s">
        <v>213</v>
      </c>
      <c r="C18" s="242">
        <v>0</v>
      </c>
      <c r="D18" s="242">
        <v>0</v>
      </c>
      <c r="E18" s="242">
        <v>0</v>
      </c>
      <c r="F18" s="242">
        <v>0</v>
      </c>
      <c r="G18" s="242">
        <v>0</v>
      </c>
      <c r="H18" s="242">
        <v>0</v>
      </c>
      <c r="I18" s="242">
        <v>0</v>
      </c>
      <c r="J18" s="242">
        <v>0</v>
      </c>
      <c r="K18" s="242">
        <v>0</v>
      </c>
      <c r="L18" s="242">
        <v>0</v>
      </c>
      <c r="M18" s="242">
        <v>0</v>
      </c>
      <c r="N18" s="242">
        <v>0</v>
      </c>
    </row>
    <row r="19" spans="1:14" ht="16" customHeight="1">
      <c r="A19" s="121" t="s">
        <v>29</v>
      </c>
      <c r="B19" s="651">
        <f>SUM(C19:N19)</f>
        <v>24.444194399999997</v>
      </c>
      <c r="C19" s="242">
        <v>0</v>
      </c>
      <c r="D19" s="242">
        <v>0</v>
      </c>
      <c r="E19" s="242">
        <v>0</v>
      </c>
      <c r="F19" s="242">
        <v>8.63504</v>
      </c>
      <c r="G19" s="242">
        <v>9.0457999999999998</v>
      </c>
      <c r="H19" s="242">
        <v>3.3172543999999999</v>
      </c>
      <c r="I19" s="242">
        <v>3.0293999999999999</v>
      </c>
      <c r="J19" s="242">
        <v>0.41670000000000001</v>
      </c>
      <c r="K19" s="242">
        <v>0</v>
      </c>
      <c r="L19" s="242">
        <v>0</v>
      </c>
      <c r="M19" s="242">
        <v>0</v>
      </c>
      <c r="N19" s="242">
        <v>0</v>
      </c>
    </row>
    <row r="20" spans="1:14" ht="16" customHeight="1">
      <c r="A20" s="143" t="s">
        <v>30</v>
      </c>
      <c r="B20" s="673" t="s">
        <v>213</v>
      </c>
      <c r="C20" s="242">
        <v>0</v>
      </c>
      <c r="D20" s="242">
        <v>0</v>
      </c>
      <c r="E20" s="242">
        <v>0</v>
      </c>
      <c r="F20" s="242">
        <v>0</v>
      </c>
      <c r="G20" s="242">
        <v>0</v>
      </c>
      <c r="H20" s="242">
        <v>0</v>
      </c>
      <c r="I20" s="242">
        <v>0</v>
      </c>
      <c r="J20" s="242">
        <v>0</v>
      </c>
      <c r="K20" s="242">
        <v>0</v>
      </c>
      <c r="L20" s="242">
        <v>0</v>
      </c>
      <c r="M20" s="242">
        <v>0</v>
      </c>
      <c r="N20" s="242">
        <v>0</v>
      </c>
    </row>
    <row r="21" spans="1:14" ht="16" customHeight="1">
      <c r="A21" s="143" t="s">
        <v>31</v>
      </c>
      <c r="B21" s="651">
        <f t="shared" ref="B21:B33" si="1">SUM(C21:N21)</f>
        <v>12.489115600000002</v>
      </c>
      <c r="C21" s="242">
        <v>0.28471999999999997</v>
      </c>
      <c r="D21" s="242">
        <v>0.85730400000000007</v>
      </c>
      <c r="E21" s="242">
        <v>0.60030079999999997</v>
      </c>
      <c r="F21" s="242">
        <v>0.2089152</v>
      </c>
      <c r="G21" s="242">
        <v>1.0641456</v>
      </c>
      <c r="H21" s="242">
        <v>0.91872799999999999</v>
      </c>
      <c r="I21" s="242">
        <v>0.30552000000000001</v>
      </c>
      <c r="J21" s="242">
        <v>0.15909999999999999</v>
      </c>
      <c r="K21" s="242">
        <v>0.22914080000000001</v>
      </c>
      <c r="L21" s="242">
        <v>2.0124</v>
      </c>
      <c r="M21" s="242">
        <v>4.6060812000000011</v>
      </c>
      <c r="N21" s="242">
        <v>1.2427600000000001</v>
      </c>
    </row>
    <row r="22" spans="1:14" ht="16" customHeight="1">
      <c r="A22" s="143" t="s">
        <v>32</v>
      </c>
      <c r="B22" s="651">
        <f t="shared" si="1"/>
        <v>307.60074814054053</v>
      </c>
      <c r="C22" s="242">
        <v>2.1803181405405332</v>
      </c>
      <c r="D22" s="242">
        <v>0</v>
      </c>
      <c r="E22" s="242">
        <v>0</v>
      </c>
      <c r="F22" s="242">
        <v>0</v>
      </c>
      <c r="G22" s="242">
        <v>0</v>
      </c>
      <c r="H22" s="242">
        <v>0</v>
      </c>
      <c r="I22" s="242">
        <v>0</v>
      </c>
      <c r="J22" s="242">
        <v>0</v>
      </c>
      <c r="K22" s="242">
        <v>0</v>
      </c>
      <c r="L22" s="242">
        <v>41.1218</v>
      </c>
      <c r="M22" s="242">
        <v>162.12368000000001</v>
      </c>
      <c r="N22" s="242">
        <v>102.17495</v>
      </c>
    </row>
    <row r="23" spans="1:14" ht="16" customHeight="1">
      <c r="A23" s="143" t="s">
        <v>33</v>
      </c>
      <c r="B23" s="651">
        <f t="shared" si="1"/>
        <v>219.17725200000001</v>
      </c>
      <c r="C23" s="242">
        <v>0</v>
      </c>
      <c r="D23" s="242">
        <v>0</v>
      </c>
      <c r="E23" s="242">
        <v>0</v>
      </c>
      <c r="F23" s="242">
        <v>0</v>
      </c>
      <c r="G23" s="242">
        <v>0</v>
      </c>
      <c r="H23" s="242">
        <v>0</v>
      </c>
      <c r="I23" s="242">
        <v>0</v>
      </c>
      <c r="J23" s="242">
        <v>0</v>
      </c>
      <c r="K23" s="242">
        <v>20.887516000000002</v>
      </c>
      <c r="L23" s="242">
        <v>85.606567200000015</v>
      </c>
      <c r="M23" s="242">
        <v>100.93175359999999</v>
      </c>
      <c r="N23" s="242">
        <v>11.751415200000002</v>
      </c>
    </row>
    <row r="24" spans="1:14" ht="16" customHeight="1">
      <c r="A24" s="143" t="s">
        <v>34</v>
      </c>
      <c r="B24" s="651">
        <f t="shared" si="1"/>
        <v>90.448800000000006</v>
      </c>
      <c r="C24" s="242">
        <v>0</v>
      </c>
      <c r="D24" s="242">
        <v>14.256</v>
      </c>
      <c r="E24" s="242">
        <v>7.6539999999999999</v>
      </c>
      <c r="F24" s="242">
        <v>3.4279999999999999</v>
      </c>
      <c r="G24" s="242">
        <v>22.373999999999999</v>
      </c>
      <c r="H24" s="242">
        <v>32.404000000000003</v>
      </c>
      <c r="I24" s="242">
        <v>0</v>
      </c>
      <c r="J24" s="242">
        <v>0</v>
      </c>
      <c r="K24" s="242">
        <v>0.76100000000000001</v>
      </c>
      <c r="L24" s="242">
        <v>0.64080000000000004</v>
      </c>
      <c r="M24" s="242">
        <v>0.32600000000000001</v>
      </c>
      <c r="N24" s="242">
        <v>8.6050000000000004</v>
      </c>
    </row>
    <row r="25" spans="1:14" ht="16" customHeight="1">
      <c r="A25" s="121" t="s">
        <v>35</v>
      </c>
      <c r="B25" s="651">
        <f t="shared" si="1"/>
        <v>134.70536999999999</v>
      </c>
      <c r="C25" s="242">
        <v>38.103589999999997</v>
      </c>
      <c r="D25" s="242">
        <v>35.571459999999995</v>
      </c>
      <c r="E25" s="242">
        <v>42.819959999999995</v>
      </c>
      <c r="F25" s="242">
        <v>0</v>
      </c>
      <c r="G25" s="242">
        <v>0</v>
      </c>
      <c r="H25" s="242">
        <v>0</v>
      </c>
      <c r="I25" s="242">
        <v>0</v>
      </c>
      <c r="J25" s="242">
        <v>0</v>
      </c>
      <c r="K25" s="242">
        <v>0</v>
      </c>
      <c r="L25" s="242">
        <v>0</v>
      </c>
      <c r="M25" s="242">
        <v>0</v>
      </c>
      <c r="N25" s="242">
        <v>18.210359999999998</v>
      </c>
    </row>
    <row r="26" spans="1:14" ht="16" customHeight="1">
      <c r="A26" s="143" t="s">
        <v>36</v>
      </c>
      <c r="B26" s="651">
        <f t="shared" si="1"/>
        <v>58.191819219999999</v>
      </c>
      <c r="C26" s="242">
        <v>3.0255100000000001</v>
      </c>
      <c r="D26" s="242">
        <v>0.12404999999999999</v>
      </c>
      <c r="E26" s="242">
        <v>2.14628182</v>
      </c>
      <c r="F26" s="242">
        <v>2.7826274</v>
      </c>
      <c r="G26" s="242">
        <v>0</v>
      </c>
      <c r="H26" s="242">
        <v>0</v>
      </c>
      <c r="I26" s="242">
        <v>0</v>
      </c>
      <c r="J26" s="242">
        <v>0</v>
      </c>
      <c r="K26" s="242">
        <v>3.0640000000000001</v>
      </c>
      <c r="L26" s="242">
        <v>1.86425</v>
      </c>
      <c r="M26" s="242">
        <v>26.116399999999999</v>
      </c>
      <c r="N26" s="242">
        <v>19.0687</v>
      </c>
    </row>
    <row r="27" spans="1:14" ht="16" customHeight="1">
      <c r="A27" s="143" t="s">
        <v>37</v>
      </c>
      <c r="B27" s="651">
        <f t="shared" si="1"/>
        <v>131.70804200000001</v>
      </c>
      <c r="C27" s="242">
        <v>0</v>
      </c>
      <c r="D27" s="242">
        <v>0</v>
      </c>
      <c r="E27" s="242">
        <v>0</v>
      </c>
      <c r="F27" s="242">
        <v>0</v>
      </c>
      <c r="G27" s="242">
        <v>0</v>
      </c>
      <c r="H27" s="242">
        <v>0</v>
      </c>
      <c r="I27" s="242">
        <v>0</v>
      </c>
      <c r="J27" s="242">
        <v>0</v>
      </c>
      <c r="K27" s="242">
        <v>0</v>
      </c>
      <c r="L27" s="242">
        <v>93.38</v>
      </c>
      <c r="M27" s="242">
        <v>38.328042000000003</v>
      </c>
      <c r="N27" s="242">
        <v>0</v>
      </c>
    </row>
    <row r="28" spans="1:14" ht="16" customHeight="1">
      <c r="A28" s="143" t="s">
        <v>38</v>
      </c>
      <c r="B28" s="651">
        <f t="shared" si="1"/>
        <v>106.8967</v>
      </c>
      <c r="C28" s="242">
        <v>5.7060000000000004</v>
      </c>
      <c r="D28" s="242">
        <v>6.1230000000000002</v>
      </c>
      <c r="E28" s="242">
        <v>21.428000000000001</v>
      </c>
      <c r="F28" s="242">
        <v>25.648</v>
      </c>
      <c r="G28" s="242">
        <v>24.045999999999999</v>
      </c>
      <c r="H28" s="242">
        <v>0.29409999999999997</v>
      </c>
      <c r="I28" s="242">
        <v>0</v>
      </c>
      <c r="J28" s="242">
        <v>0</v>
      </c>
      <c r="K28" s="242">
        <v>1.7958000000000001</v>
      </c>
      <c r="L28" s="242">
        <v>3.0788000000000002</v>
      </c>
      <c r="M28" s="242">
        <v>4.9829999999999997</v>
      </c>
      <c r="N28" s="242">
        <v>13.794</v>
      </c>
    </row>
    <row r="29" spans="1:14" ht="16" customHeight="1">
      <c r="A29" s="121" t="s">
        <v>39</v>
      </c>
      <c r="B29" s="651">
        <f t="shared" si="1"/>
        <v>68.480900000000005</v>
      </c>
      <c r="C29" s="242">
        <v>8.2860000000000014</v>
      </c>
      <c r="D29" s="242">
        <v>22.8371</v>
      </c>
      <c r="E29" s="242">
        <v>16.603999999999999</v>
      </c>
      <c r="F29" s="242">
        <v>3.6970000000000001</v>
      </c>
      <c r="G29" s="242">
        <v>0.86770000000000003</v>
      </c>
      <c r="H29" s="242">
        <v>0</v>
      </c>
      <c r="I29" s="242">
        <v>0</v>
      </c>
      <c r="J29" s="242">
        <v>0</v>
      </c>
      <c r="K29" s="242">
        <v>0</v>
      </c>
      <c r="L29" s="242">
        <v>0</v>
      </c>
      <c r="M29" s="242">
        <v>2.1429999999999998</v>
      </c>
      <c r="N29" s="242">
        <v>14.046099999999999</v>
      </c>
    </row>
    <row r="30" spans="1:14" ht="16" customHeight="1">
      <c r="A30" s="119" t="s">
        <v>97</v>
      </c>
      <c r="B30" s="651">
        <f t="shared" si="1"/>
        <v>54.577200000000005</v>
      </c>
      <c r="C30" s="242">
        <v>4.1470000000000002</v>
      </c>
      <c r="D30" s="242">
        <v>18.168099999999999</v>
      </c>
      <c r="E30" s="242">
        <v>13.064</v>
      </c>
      <c r="F30" s="242">
        <v>3.0089999999999999</v>
      </c>
      <c r="G30" s="242">
        <v>0</v>
      </c>
      <c r="H30" s="242">
        <v>0</v>
      </c>
      <c r="I30" s="242">
        <v>0</v>
      </c>
      <c r="J30" s="242">
        <v>0</v>
      </c>
      <c r="K30" s="242">
        <v>0</v>
      </c>
      <c r="L30" s="242">
        <v>0</v>
      </c>
      <c r="M30" s="242">
        <v>2.1429999999999998</v>
      </c>
      <c r="N30" s="242">
        <v>14.046099999999999</v>
      </c>
    </row>
    <row r="31" spans="1:14" ht="16" customHeight="1">
      <c r="A31" s="119" t="s">
        <v>98</v>
      </c>
      <c r="B31" s="651">
        <f t="shared" si="1"/>
        <v>13.903699999999999</v>
      </c>
      <c r="C31" s="242">
        <v>4.1390000000000002</v>
      </c>
      <c r="D31" s="242">
        <v>4.6689999999999996</v>
      </c>
      <c r="E31" s="242">
        <v>3.54</v>
      </c>
      <c r="F31" s="242">
        <v>0.68799999999999994</v>
      </c>
      <c r="G31" s="242">
        <v>0.86770000000000003</v>
      </c>
      <c r="H31" s="242">
        <v>0</v>
      </c>
      <c r="I31" s="242">
        <v>0</v>
      </c>
      <c r="J31" s="242">
        <v>0</v>
      </c>
      <c r="K31" s="242">
        <v>0</v>
      </c>
      <c r="L31" s="242">
        <v>0</v>
      </c>
      <c r="M31" s="242">
        <v>0</v>
      </c>
      <c r="N31" s="242">
        <v>0</v>
      </c>
    </row>
    <row r="32" spans="1:14" ht="16" customHeight="1">
      <c r="A32" s="143" t="s">
        <v>42</v>
      </c>
      <c r="B32" s="651">
        <f t="shared" si="1"/>
        <v>693.25600000000009</v>
      </c>
      <c r="C32" s="242">
        <v>220.369</v>
      </c>
      <c r="D32" s="242">
        <v>64.028999999999996</v>
      </c>
      <c r="E32" s="242">
        <v>2.7469999999999999</v>
      </c>
      <c r="F32" s="242">
        <v>0</v>
      </c>
      <c r="G32" s="242">
        <v>0</v>
      </c>
      <c r="H32" s="242">
        <v>0</v>
      </c>
      <c r="I32" s="242">
        <v>0</v>
      </c>
      <c r="J32" s="242">
        <v>0</v>
      </c>
      <c r="K32" s="242">
        <v>0</v>
      </c>
      <c r="L32" s="242">
        <v>0</v>
      </c>
      <c r="M32" s="242">
        <v>175.66399999999999</v>
      </c>
      <c r="N32" s="242">
        <v>230.447</v>
      </c>
    </row>
    <row r="33" spans="1:14" ht="16" customHeight="1">
      <c r="A33" s="143" t="s">
        <v>43</v>
      </c>
      <c r="B33" s="651">
        <f t="shared" si="1"/>
        <v>2754.1629999999996</v>
      </c>
      <c r="C33" s="242">
        <v>148.40799999999999</v>
      </c>
      <c r="D33" s="242">
        <v>478.089</v>
      </c>
      <c r="E33" s="242">
        <v>500.19350000000003</v>
      </c>
      <c r="F33" s="242">
        <v>0</v>
      </c>
      <c r="G33" s="242">
        <v>0</v>
      </c>
      <c r="H33" s="242">
        <v>0</v>
      </c>
      <c r="I33" s="242">
        <v>0</v>
      </c>
      <c r="J33" s="242">
        <v>0</v>
      </c>
      <c r="K33" s="242">
        <v>0</v>
      </c>
      <c r="L33" s="242">
        <v>0</v>
      </c>
      <c r="M33" s="242">
        <v>1342.8274999999996</v>
      </c>
      <c r="N33" s="242">
        <v>284.64500000000004</v>
      </c>
    </row>
    <row r="34" spans="1:14" ht="16" customHeight="1">
      <c r="A34" s="121" t="s">
        <v>44</v>
      </c>
      <c r="B34" s="673" t="s">
        <v>213</v>
      </c>
      <c r="C34" s="242">
        <v>0</v>
      </c>
      <c r="D34" s="242">
        <v>0</v>
      </c>
      <c r="E34" s="242">
        <v>0</v>
      </c>
      <c r="F34" s="242">
        <v>0</v>
      </c>
      <c r="G34" s="242">
        <v>0</v>
      </c>
      <c r="H34" s="242">
        <v>0</v>
      </c>
      <c r="I34" s="242">
        <v>0</v>
      </c>
      <c r="J34" s="242">
        <v>0</v>
      </c>
      <c r="K34" s="242">
        <v>0</v>
      </c>
      <c r="L34" s="242">
        <v>0</v>
      </c>
      <c r="M34" s="242">
        <v>0</v>
      </c>
      <c r="N34" s="242">
        <v>0</v>
      </c>
    </row>
    <row r="35" spans="1:14" ht="16" customHeight="1">
      <c r="A35" s="121" t="s">
        <v>45</v>
      </c>
      <c r="B35" s="673" t="s">
        <v>213</v>
      </c>
      <c r="C35" s="242">
        <v>0</v>
      </c>
      <c r="D35" s="242">
        <v>0</v>
      </c>
      <c r="E35" s="242">
        <v>0</v>
      </c>
      <c r="F35" s="242">
        <v>0</v>
      </c>
      <c r="G35" s="242">
        <v>0</v>
      </c>
      <c r="H35" s="242">
        <v>0</v>
      </c>
      <c r="I35" s="242">
        <v>0</v>
      </c>
      <c r="J35" s="242">
        <v>0</v>
      </c>
      <c r="K35" s="242">
        <v>0</v>
      </c>
      <c r="L35" s="242">
        <v>0</v>
      </c>
      <c r="M35" s="242">
        <v>0</v>
      </c>
      <c r="N35" s="242">
        <v>0</v>
      </c>
    </row>
    <row r="36" spans="1:14" ht="16" customHeight="1">
      <c r="A36" s="121" t="s">
        <v>46</v>
      </c>
      <c r="B36" s="673" t="s">
        <v>213</v>
      </c>
      <c r="C36" s="242">
        <v>0</v>
      </c>
      <c r="D36" s="242">
        <v>0</v>
      </c>
      <c r="E36" s="242">
        <v>0</v>
      </c>
      <c r="F36" s="242">
        <v>0</v>
      </c>
      <c r="G36" s="242">
        <v>0</v>
      </c>
      <c r="H36" s="242">
        <v>0</v>
      </c>
      <c r="I36" s="242">
        <v>0</v>
      </c>
      <c r="J36" s="242">
        <v>0</v>
      </c>
      <c r="K36" s="242">
        <v>0</v>
      </c>
      <c r="L36" s="242">
        <v>0</v>
      </c>
      <c r="M36" s="242">
        <v>0</v>
      </c>
      <c r="N36" s="242">
        <v>0</v>
      </c>
    </row>
    <row r="37" spans="1:14" ht="16" customHeight="1" thickBot="1">
      <c r="A37" s="145" t="s">
        <v>47</v>
      </c>
      <c r="B37" s="674" t="s">
        <v>213</v>
      </c>
      <c r="C37" s="243">
        <v>0</v>
      </c>
      <c r="D37" s="243">
        <v>0</v>
      </c>
      <c r="E37" s="243">
        <v>0</v>
      </c>
      <c r="F37" s="243">
        <v>0</v>
      </c>
      <c r="G37" s="243">
        <v>0</v>
      </c>
      <c r="H37" s="243">
        <v>0</v>
      </c>
      <c r="I37" s="243">
        <v>0</v>
      </c>
      <c r="J37" s="243">
        <v>0</v>
      </c>
      <c r="K37" s="243">
        <v>0</v>
      </c>
      <c r="L37" s="243">
        <v>0</v>
      </c>
      <c r="M37" s="243">
        <v>0</v>
      </c>
      <c r="N37" s="243">
        <v>0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Hoja80">
    <tabColor theme="9" tint="0.59999389629810485"/>
  </sheetPr>
  <dimension ref="A4:P48"/>
  <sheetViews>
    <sheetView showGridLines="0" zoomScaleNormal="100" workbookViewId="0">
      <selection activeCell="L21" sqref="L21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552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2" t="s">
        <v>383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16" ht="6" customHeight="1" thickBot="1"/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16" ht="18" customHeight="1">
      <c r="A8" s="647" t="s">
        <v>87</v>
      </c>
      <c r="B8" s="675">
        <v>2.1777527754535853</v>
      </c>
      <c r="C8" s="675">
        <v>2.0650625439689074</v>
      </c>
      <c r="D8" s="675">
        <v>2.0235283280403995</v>
      </c>
      <c r="E8" s="675">
        <v>2.0310820120321313</v>
      </c>
      <c r="F8" s="675">
        <v>1.6488530764679783</v>
      </c>
      <c r="G8" s="675">
        <v>1.8789751880166574</v>
      </c>
      <c r="H8" s="675">
        <v>1.8900945740078994</v>
      </c>
      <c r="I8" s="675">
        <v>1.8029353571428572</v>
      </c>
      <c r="J8" s="675">
        <v>2.1209090909090906</v>
      </c>
      <c r="K8" s="675">
        <v>2.102001320754717</v>
      </c>
      <c r="L8" s="675">
        <v>2.8485454849248115</v>
      </c>
      <c r="M8" s="675">
        <v>2.2513054233249057</v>
      </c>
      <c r="N8" s="675">
        <v>2.2770958938365657</v>
      </c>
    </row>
    <row r="9" spans="1:16" ht="16" customHeight="1">
      <c r="A9" s="143" t="s">
        <v>19</v>
      </c>
      <c r="B9" s="645" t="s">
        <v>73</v>
      </c>
      <c r="C9" s="240" t="s">
        <v>73</v>
      </c>
      <c r="D9" s="240" t="s">
        <v>73</v>
      </c>
      <c r="E9" s="240" t="s">
        <v>73</v>
      </c>
      <c r="F9" s="240" t="s">
        <v>73</v>
      </c>
      <c r="G9" s="240" t="s">
        <v>73</v>
      </c>
      <c r="H9" s="240" t="s">
        <v>73</v>
      </c>
      <c r="I9" s="240" t="s">
        <v>73</v>
      </c>
      <c r="J9" s="240" t="s">
        <v>73</v>
      </c>
      <c r="K9" s="240" t="s">
        <v>73</v>
      </c>
      <c r="L9" s="240" t="s">
        <v>73</v>
      </c>
      <c r="M9" s="240" t="s">
        <v>73</v>
      </c>
      <c r="N9" s="240" t="s">
        <v>73</v>
      </c>
      <c r="O9" s="149"/>
    </row>
    <row r="10" spans="1:16" ht="16" customHeight="1">
      <c r="A10" s="143" t="s">
        <v>20</v>
      </c>
      <c r="B10" s="645" t="s">
        <v>73</v>
      </c>
      <c r="C10" s="240" t="s">
        <v>73</v>
      </c>
      <c r="D10" s="240" t="s">
        <v>73</v>
      </c>
      <c r="E10" s="240" t="s">
        <v>73</v>
      </c>
      <c r="F10" s="240" t="s">
        <v>73</v>
      </c>
      <c r="G10" s="240" t="s">
        <v>73</v>
      </c>
      <c r="H10" s="240" t="s">
        <v>73</v>
      </c>
      <c r="I10" s="240" t="s">
        <v>73</v>
      </c>
      <c r="J10" s="240" t="s">
        <v>73</v>
      </c>
      <c r="K10" s="240" t="s">
        <v>73</v>
      </c>
      <c r="L10" s="240" t="s">
        <v>73</v>
      </c>
      <c r="M10" s="240" t="s">
        <v>73</v>
      </c>
      <c r="N10" s="240" t="s">
        <v>73</v>
      </c>
    </row>
    <row r="11" spans="1:16" ht="16" customHeight="1">
      <c r="A11" s="143" t="s">
        <v>21</v>
      </c>
      <c r="B11" s="645" t="s">
        <v>73</v>
      </c>
      <c r="C11" s="240" t="s">
        <v>73</v>
      </c>
      <c r="D11" s="240" t="s">
        <v>73</v>
      </c>
      <c r="E11" s="240" t="s">
        <v>73</v>
      </c>
      <c r="F11" s="240" t="s">
        <v>73</v>
      </c>
      <c r="G11" s="240" t="s">
        <v>73</v>
      </c>
      <c r="H11" s="240" t="s">
        <v>73</v>
      </c>
      <c r="I11" s="240" t="s">
        <v>73</v>
      </c>
      <c r="J11" s="240" t="s">
        <v>73</v>
      </c>
      <c r="K11" s="240" t="s">
        <v>73</v>
      </c>
      <c r="L11" s="240" t="s">
        <v>73</v>
      </c>
      <c r="M11" s="240" t="s">
        <v>73</v>
      </c>
      <c r="N11" s="240" t="s">
        <v>73</v>
      </c>
    </row>
    <row r="12" spans="1:16" ht="16" customHeight="1">
      <c r="A12" s="121" t="s">
        <v>22</v>
      </c>
      <c r="B12" s="645">
        <v>3.4419605289672548</v>
      </c>
      <c r="C12" s="240" t="s">
        <v>73</v>
      </c>
      <c r="D12" s="240" t="s">
        <v>73</v>
      </c>
      <c r="E12" s="240" t="s">
        <v>73</v>
      </c>
      <c r="F12" s="240">
        <v>3.2</v>
      </c>
      <c r="G12" s="240">
        <v>3.2185063025210083</v>
      </c>
      <c r="H12" s="240">
        <v>3.4254449108079745</v>
      </c>
      <c r="I12" s="240">
        <v>3.4158019417475725</v>
      </c>
      <c r="J12" s="240">
        <v>3.4200000000000004</v>
      </c>
      <c r="K12" s="240" t="s">
        <v>73</v>
      </c>
      <c r="L12" s="240">
        <v>3.2305808695652174</v>
      </c>
      <c r="M12" s="240">
        <v>3.4396347678369201</v>
      </c>
      <c r="N12" s="240">
        <v>3.88397341211226</v>
      </c>
    </row>
    <row r="13" spans="1:16" ht="16" customHeight="1">
      <c r="A13" s="121" t="s">
        <v>23</v>
      </c>
      <c r="B13" s="645" t="s">
        <v>73</v>
      </c>
      <c r="C13" s="240" t="s">
        <v>73</v>
      </c>
      <c r="D13" s="240" t="s">
        <v>73</v>
      </c>
      <c r="E13" s="240" t="s">
        <v>73</v>
      </c>
      <c r="F13" s="240" t="s">
        <v>73</v>
      </c>
      <c r="G13" s="240" t="s">
        <v>73</v>
      </c>
      <c r="H13" s="240" t="s">
        <v>73</v>
      </c>
      <c r="I13" s="240" t="s">
        <v>73</v>
      </c>
      <c r="J13" s="240" t="s">
        <v>73</v>
      </c>
      <c r="K13" s="240" t="s">
        <v>73</v>
      </c>
      <c r="L13" s="240" t="s">
        <v>73</v>
      </c>
      <c r="M13" s="240" t="s">
        <v>73</v>
      </c>
      <c r="N13" s="240" t="s">
        <v>73</v>
      </c>
    </row>
    <row r="14" spans="1:16" ht="16" customHeight="1">
      <c r="A14" s="119" t="s">
        <v>94</v>
      </c>
      <c r="B14" s="645" t="s">
        <v>73</v>
      </c>
      <c r="C14" s="240" t="s">
        <v>73</v>
      </c>
      <c r="D14" s="240" t="s">
        <v>73</v>
      </c>
      <c r="E14" s="240" t="s">
        <v>73</v>
      </c>
      <c r="F14" s="240" t="s">
        <v>73</v>
      </c>
      <c r="G14" s="240" t="s">
        <v>73</v>
      </c>
      <c r="H14" s="240" t="s">
        <v>73</v>
      </c>
      <c r="I14" s="240" t="s">
        <v>73</v>
      </c>
      <c r="J14" s="240" t="s">
        <v>73</v>
      </c>
      <c r="K14" s="240" t="s">
        <v>73</v>
      </c>
      <c r="L14" s="240" t="s">
        <v>73</v>
      </c>
      <c r="M14" s="240" t="s">
        <v>73</v>
      </c>
      <c r="N14" s="240" t="s">
        <v>73</v>
      </c>
    </row>
    <row r="15" spans="1:16" ht="16" customHeight="1">
      <c r="A15" s="119" t="s">
        <v>95</v>
      </c>
      <c r="B15" s="645" t="s">
        <v>73</v>
      </c>
      <c r="C15" s="240" t="s">
        <v>73</v>
      </c>
      <c r="D15" s="240" t="s">
        <v>73</v>
      </c>
      <c r="E15" s="240" t="s">
        <v>73</v>
      </c>
      <c r="F15" s="240" t="s">
        <v>73</v>
      </c>
      <c r="G15" s="240" t="s">
        <v>73</v>
      </c>
      <c r="H15" s="240" t="s">
        <v>73</v>
      </c>
      <c r="I15" s="240" t="s">
        <v>73</v>
      </c>
      <c r="J15" s="240" t="s">
        <v>73</v>
      </c>
      <c r="K15" s="240" t="s">
        <v>73</v>
      </c>
      <c r="L15" s="240" t="s">
        <v>73</v>
      </c>
      <c r="M15" s="240" t="s">
        <v>73</v>
      </c>
      <c r="N15" s="240" t="s">
        <v>73</v>
      </c>
    </row>
    <row r="16" spans="1:16" ht="16" customHeight="1">
      <c r="A16" s="119" t="s">
        <v>96</v>
      </c>
      <c r="B16" s="645" t="s">
        <v>73</v>
      </c>
      <c r="C16" s="240" t="s">
        <v>73</v>
      </c>
      <c r="D16" s="240" t="s">
        <v>73</v>
      </c>
      <c r="E16" s="240" t="s">
        <v>73</v>
      </c>
      <c r="F16" s="240" t="s">
        <v>73</v>
      </c>
      <c r="G16" s="240" t="s">
        <v>73</v>
      </c>
      <c r="H16" s="240" t="s">
        <v>73</v>
      </c>
      <c r="I16" s="240" t="s">
        <v>73</v>
      </c>
      <c r="J16" s="240" t="s">
        <v>73</v>
      </c>
      <c r="K16" s="240" t="s">
        <v>73</v>
      </c>
      <c r="L16" s="240" t="s">
        <v>73</v>
      </c>
      <c r="M16" s="240" t="s">
        <v>73</v>
      </c>
      <c r="N16" s="240" t="s">
        <v>73</v>
      </c>
    </row>
    <row r="17" spans="1:14" ht="16" customHeight="1">
      <c r="A17" s="143" t="s">
        <v>27</v>
      </c>
      <c r="B17" s="645" t="s">
        <v>73</v>
      </c>
      <c r="C17" s="240" t="s">
        <v>73</v>
      </c>
      <c r="D17" s="240" t="s">
        <v>73</v>
      </c>
      <c r="E17" s="240" t="s">
        <v>73</v>
      </c>
      <c r="F17" s="240" t="s">
        <v>73</v>
      </c>
      <c r="G17" s="240" t="s">
        <v>73</v>
      </c>
      <c r="H17" s="240" t="s">
        <v>73</v>
      </c>
      <c r="I17" s="240" t="s">
        <v>73</v>
      </c>
      <c r="J17" s="240" t="s">
        <v>73</v>
      </c>
      <c r="K17" s="240" t="s">
        <v>73</v>
      </c>
      <c r="L17" s="240" t="s">
        <v>73</v>
      </c>
      <c r="M17" s="240" t="s">
        <v>73</v>
      </c>
      <c r="N17" s="240" t="s">
        <v>73</v>
      </c>
    </row>
    <row r="18" spans="1:14" ht="16" customHeight="1">
      <c r="A18" s="121" t="s">
        <v>28</v>
      </c>
      <c r="B18" s="645" t="s">
        <v>73</v>
      </c>
      <c r="C18" s="240" t="s">
        <v>73</v>
      </c>
      <c r="D18" s="240" t="s">
        <v>73</v>
      </c>
      <c r="E18" s="240" t="s">
        <v>73</v>
      </c>
      <c r="F18" s="240" t="s">
        <v>73</v>
      </c>
      <c r="G18" s="240" t="s">
        <v>73</v>
      </c>
      <c r="H18" s="240" t="s">
        <v>73</v>
      </c>
      <c r="I18" s="240" t="s">
        <v>73</v>
      </c>
      <c r="J18" s="240" t="s">
        <v>73</v>
      </c>
      <c r="K18" s="240" t="s">
        <v>73</v>
      </c>
      <c r="L18" s="240" t="s">
        <v>73</v>
      </c>
      <c r="M18" s="240" t="s">
        <v>73</v>
      </c>
      <c r="N18" s="240" t="s">
        <v>73</v>
      </c>
    </row>
    <row r="19" spans="1:14" ht="16" customHeight="1">
      <c r="A19" s="121" t="s">
        <v>29</v>
      </c>
      <c r="B19" s="645">
        <v>1.6122011871784723</v>
      </c>
      <c r="C19" s="240" t="s">
        <v>73</v>
      </c>
      <c r="D19" s="240" t="s">
        <v>73</v>
      </c>
      <c r="E19" s="240" t="s">
        <v>73</v>
      </c>
      <c r="F19" s="240">
        <v>1.5823785962983326</v>
      </c>
      <c r="G19" s="240">
        <v>1.6104326152750579</v>
      </c>
      <c r="H19" s="240">
        <v>1.6669620100502511</v>
      </c>
      <c r="I19" s="240">
        <v>1.5969425408539799</v>
      </c>
      <c r="J19" s="240" t="s">
        <v>73</v>
      </c>
      <c r="K19" s="240" t="s">
        <v>73</v>
      </c>
      <c r="L19" s="240" t="s">
        <v>73</v>
      </c>
      <c r="M19" s="240" t="s">
        <v>73</v>
      </c>
      <c r="N19" s="240" t="s">
        <v>73</v>
      </c>
    </row>
    <row r="20" spans="1:14" ht="16" customHeight="1">
      <c r="A20" s="143" t="s">
        <v>30</v>
      </c>
      <c r="B20" s="645" t="s">
        <v>73</v>
      </c>
      <c r="C20" s="240" t="s">
        <v>73</v>
      </c>
      <c r="D20" s="240" t="s">
        <v>73</v>
      </c>
      <c r="E20" s="240" t="s">
        <v>73</v>
      </c>
      <c r="F20" s="240" t="s">
        <v>73</v>
      </c>
      <c r="G20" s="240" t="s">
        <v>73</v>
      </c>
      <c r="H20" s="240" t="s">
        <v>73</v>
      </c>
      <c r="I20" s="240" t="s">
        <v>73</v>
      </c>
      <c r="J20" s="240" t="s">
        <v>73</v>
      </c>
      <c r="K20" s="240" t="s">
        <v>73</v>
      </c>
      <c r="L20" s="240" t="s">
        <v>73</v>
      </c>
      <c r="M20" s="240" t="s">
        <v>73</v>
      </c>
      <c r="N20" s="240" t="s">
        <v>73</v>
      </c>
    </row>
    <row r="21" spans="1:14" ht="16" customHeight="1">
      <c r="A21" s="143" t="s">
        <v>31</v>
      </c>
      <c r="B21" s="645">
        <v>2.3966830934561512</v>
      </c>
      <c r="C21" s="240">
        <v>2.3337704918032784</v>
      </c>
      <c r="D21" s="240">
        <v>2.7216</v>
      </c>
      <c r="E21" s="240">
        <v>2.0843777777777777</v>
      </c>
      <c r="F21" s="240">
        <v>2.2708173913043481</v>
      </c>
      <c r="G21" s="240">
        <v>2.7216</v>
      </c>
      <c r="H21" s="240">
        <v>2.2684641975308639</v>
      </c>
      <c r="I21" s="240">
        <v>2.2300729927007299</v>
      </c>
      <c r="J21" s="240">
        <v>2.0934210526315788</v>
      </c>
      <c r="K21" s="240">
        <v>2.0277946902654866</v>
      </c>
      <c r="L21" s="240">
        <v>2.1006263048016698</v>
      </c>
      <c r="M21" s="240">
        <v>2.7062756756756761</v>
      </c>
      <c r="N21" s="240">
        <v>2.0306535947712421</v>
      </c>
    </row>
    <row r="22" spans="1:14" ht="16" customHeight="1">
      <c r="A22" s="143" t="s">
        <v>32</v>
      </c>
      <c r="B22" s="645">
        <v>3.2823700888941825</v>
      </c>
      <c r="C22" s="240" t="s">
        <v>73</v>
      </c>
      <c r="D22" s="240" t="s">
        <v>73</v>
      </c>
      <c r="E22" s="240" t="s">
        <v>73</v>
      </c>
      <c r="F22" s="240" t="s">
        <v>73</v>
      </c>
      <c r="G22" s="240" t="s">
        <v>73</v>
      </c>
      <c r="H22" s="240" t="s">
        <v>73</v>
      </c>
      <c r="I22" s="240" t="s">
        <v>73</v>
      </c>
      <c r="J22" s="240" t="s">
        <v>73</v>
      </c>
      <c r="K22" s="240" t="s">
        <v>73</v>
      </c>
      <c r="L22" s="240">
        <v>3.9347239498612576</v>
      </c>
      <c r="M22" s="240">
        <v>3.267041753990005</v>
      </c>
      <c r="N22" s="240">
        <v>3.1238519628225507</v>
      </c>
    </row>
    <row r="23" spans="1:14" ht="16" customHeight="1">
      <c r="A23" s="143" t="s">
        <v>33</v>
      </c>
      <c r="B23" s="645">
        <v>2.5232521556934482</v>
      </c>
      <c r="C23" s="240" t="s">
        <v>73</v>
      </c>
      <c r="D23" s="240" t="s">
        <v>73</v>
      </c>
      <c r="E23" s="240" t="s">
        <v>73</v>
      </c>
      <c r="F23" s="240" t="s">
        <v>73</v>
      </c>
      <c r="G23" s="240" t="s">
        <v>73</v>
      </c>
      <c r="H23" s="240" t="s">
        <v>73</v>
      </c>
      <c r="I23" s="240" t="s">
        <v>73</v>
      </c>
      <c r="J23" s="240" t="s">
        <v>73</v>
      </c>
      <c r="K23" s="240" t="s">
        <v>73</v>
      </c>
      <c r="L23" s="240">
        <v>2.8408630517023967</v>
      </c>
      <c r="M23" s="240">
        <v>2.4064601974154787</v>
      </c>
      <c r="N23" s="240">
        <v>2.3587746286631881</v>
      </c>
    </row>
    <row r="24" spans="1:14" ht="16" customHeight="1">
      <c r="A24" s="143" t="s">
        <v>34</v>
      </c>
      <c r="B24" s="645">
        <v>1.8050049890241469</v>
      </c>
      <c r="C24" s="240" t="s">
        <v>73</v>
      </c>
      <c r="D24" s="240">
        <v>1.8785083673738308</v>
      </c>
      <c r="E24" s="240">
        <v>1.9829015544041451</v>
      </c>
      <c r="F24" s="240">
        <v>1.7080219232685601</v>
      </c>
      <c r="G24" s="240">
        <v>1.8901748753907239</v>
      </c>
      <c r="H24" s="240">
        <v>1.8198360103335955</v>
      </c>
      <c r="I24" s="240" t="s">
        <v>73</v>
      </c>
      <c r="J24" s="240" t="s">
        <v>73</v>
      </c>
      <c r="K24" s="240">
        <v>1.8560975609756099</v>
      </c>
      <c r="L24" s="240">
        <v>1.7949579831932774</v>
      </c>
      <c r="M24" s="240">
        <v>1.4173913043478261</v>
      </c>
      <c r="N24" s="240" t="s">
        <v>73</v>
      </c>
    </row>
    <row r="25" spans="1:14" ht="16" customHeight="1">
      <c r="A25" s="121" t="s">
        <v>35</v>
      </c>
      <c r="B25" s="645">
        <v>1.9800004409624741</v>
      </c>
      <c r="C25" s="240">
        <v>1.9978811870805369</v>
      </c>
      <c r="D25" s="240">
        <v>1.9679922544951589</v>
      </c>
      <c r="E25" s="240">
        <v>1.9759106640210418</v>
      </c>
      <c r="F25" s="240" t="s">
        <v>73</v>
      </c>
      <c r="G25" s="240" t="s">
        <v>73</v>
      </c>
      <c r="H25" s="240" t="s">
        <v>73</v>
      </c>
      <c r="I25" s="240" t="s">
        <v>73</v>
      </c>
      <c r="J25" s="240" t="s">
        <v>73</v>
      </c>
      <c r="K25" s="240" t="s">
        <v>73</v>
      </c>
      <c r="L25" s="240" t="s">
        <v>73</v>
      </c>
      <c r="M25" s="240" t="s">
        <v>73</v>
      </c>
      <c r="N25" s="240">
        <v>1.9761649484536081</v>
      </c>
    </row>
    <row r="26" spans="1:14" ht="16" customHeight="1">
      <c r="A26" s="143" t="s">
        <v>36</v>
      </c>
      <c r="B26" s="645">
        <v>2.2447949396289006</v>
      </c>
      <c r="C26" s="240">
        <v>1.7590174418604652</v>
      </c>
      <c r="D26" s="240">
        <v>1.4945783132530119</v>
      </c>
      <c r="E26" s="240">
        <v>1.5898383851851854</v>
      </c>
      <c r="F26" s="240">
        <v>1.9297</v>
      </c>
      <c r="G26" s="240" t="s">
        <v>73</v>
      </c>
      <c r="H26" s="240" t="s">
        <v>73</v>
      </c>
      <c r="I26" s="240" t="s">
        <v>73</v>
      </c>
      <c r="J26" s="240" t="s">
        <v>73</v>
      </c>
      <c r="K26" s="240">
        <v>2.1901358112937817</v>
      </c>
      <c r="L26" s="240">
        <v>2.2140736342042753</v>
      </c>
      <c r="M26" s="240">
        <v>2.3898609077598825</v>
      </c>
      <c r="N26" s="240">
        <v>2.3371369040323571</v>
      </c>
    </row>
    <row r="27" spans="1:14" ht="16" customHeight="1">
      <c r="A27" s="143" t="s">
        <v>37</v>
      </c>
      <c r="B27" s="645">
        <v>2.6283259563768437</v>
      </c>
      <c r="C27" s="240" t="s">
        <v>73</v>
      </c>
      <c r="D27" s="240" t="s">
        <v>73</v>
      </c>
      <c r="E27" s="240" t="s">
        <v>73</v>
      </c>
      <c r="F27" s="240" t="s">
        <v>73</v>
      </c>
      <c r="G27" s="240" t="s">
        <v>73</v>
      </c>
      <c r="H27" s="240" t="s">
        <v>73</v>
      </c>
      <c r="I27" s="240" t="s">
        <v>73</v>
      </c>
      <c r="J27" s="240" t="s">
        <v>73</v>
      </c>
      <c r="K27" s="240" t="s">
        <v>73</v>
      </c>
      <c r="L27" s="240">
        <v>2.6282754932590278</v>
      </c>
      <c r="M27" s="240">
        <v>2.6284489096145935</v>
      </c>
      <c r="N27" s="240" t="s">
        <v>73</v>
      </c>
    </row>
    <row r="28" spans="1:14" ht="16" customHeight="1">
      <c r="A28" s="143" t="s">
        <v>38</v>
      </c>
      <c r="B28" s="645">
        <v>1.7355050816637985</v>
      </c>
      <c r="C28" s="240">
        <v>1.6028089887640451</v>
      </c>
      <c r="D28" s="240">
        <v>1.6245688511541525</v>
      </c>
      <c r="E28" s="240">
        <v>1.5863192182410424</v>
      </c>
      <c r="F28" s="240">
        <v>1.6060112711333752</v>
      </c>
      <c r="G28" s="240">
        <v>1.8656218480875164</v>
      </c>
      <c r="H28" s="240" t="s">
        <v>73</v>
      </c>
      <c r="I28" s="240" t="s">
        <v>73</v>
      </c>
      <c r="J28" s="240" t="s">
        <v>73</v>
      </c>
      <c r="K28" s="240" t="s">
        <v>73</v>
      </c>
      <c r="L28" s="240" t="s">
        <v>73</v>
      </c>
      <c r="M28" s="240">
        <v>1.956419316843345</v>
      </c>
      <c r="N28" s="240">
        <v>2.10691919963342</v>
      </c>
    </row>
    <row r="29" spans="1:14" ht="16" customHeight="1">
      <c r="A29" s="121" t="s">
        <v>39</v>
      </c>
      <c r="B29" s="645">
        <v>1.8993981250346703</v>
      </c>
      <c r="C29" s="240">
        <v>1.8917808219178085</v>
      </c>
      <c r="D29" s="240">
        <v>1.85863921217547</v>
      </c>
      <c r="E29" s="240">
        <v>1.8668765459860579</v>
      </c>
      <c r="F29" s="240">
        <v>1.8338293650793651</v>
      </c>
      <c r="G29" s="240">
        <v>1.7636178861788618</v>
      </c>
      <c r="H29" s="240" t="s">
        <v>73</v>
      </c>
      <c r="I29" s="240" t="s">
        <v>73</v>
      </c>
      <c r="J29" s="240" t="s">
        <v>73</v>
      </c>
      <c r="K29" s="240" t="s">
        <v>73</v>
      </c>
      <c r="L29" s="240" t="s">
        <v>73</v>
      </c>
      <c r="M29" s="240">
        <v>2.113412228796844</v>
      </c>
      <c r="N29" s="240">
        <v>2.014933295079615</v>
      </c>
    </row>
    <row r="30" spans="1:14" ht="16" customHeight="1">
      <c r="A30" s="119" t="s">
        <v>97</v>
      </c>
      <c r="B30" s="645">
        <v>1.9480029981796769</v>
      </c>
      <c r="C30" s="240">
        <v>2.0388397246804324</v>
      </c>
      <c r="D30" s="240">
        <v>1.8968573814992691</v>
      </c>
      <c r="E30" s="240">
        <v>1.9192008226825328</v>
      </c>
      <c r="F30" s="240">
        <v>1.8654680719156849</v>
      </c>
      <c r="G30" s="240" t="s">
        <v>73</v>
      </c>
      <c r="H30" s="240" t="s">
        <v>73</v>
      </c>
      <c r="I30" s="240" t="s">
        <v>73</v>
      </c>
      <c r="J30" s="240" t="s">
        <v>73</v>
      </c>
      <c r="K30" s="240" t="s">
        <v>73</v>
      </c>
      <c r="L30" s="240" t="s">
        <v>73</v>
      </c>
      <c r="M30" s="240">
        <v>2.113412228796844</v>
      </c>
      <c r="N30" s="240">
        <v>2.014933295079615</v>
      </c>
    </row>
    <row r="31" spans="1:14" ht="16" customHeight="1">
      <c r="A31" s="119" t="s">
        <v>98</v>
      </c>
      <c r="B31" s="645">
        <v>1.7299614283936791</v>
      </c>
      <c r="C31" s="240">
        <v>1.7642796248934358</v>
      </c>
      <c r="D31" s="240">
        <v>1.7235142118863047</v>
      </c>
      <c r="E31" s="240">
        <v>1.6962146621945375</v>
      </c>
      <c r="F31" s="240">
        <v>1.7071960297766748</v>
      </c>
      <c r="G31" s="240">
        <v>1.7636178861788618</v>
      </c>
      <c r="H31" s="240" t="s">
        <v>73</v>
      </c>
      <c r="I31" s="240" t="s">
        <v>73</v>
      </c>
      <c r="J31" s="240" t="s">
        <v>73</v>
      </c>
      <c r="K31" s="240" t="s">
        <v>73</v>
      </c>
      <c r="L31" s="240" t="s">
        <v>73</v>
      </c>
      <c r="M31" s="240" t="s">
        <v>73</v>
      </c>
      <c r="N31" s="240" t="s">
        <v>73</v>
      </c>
    </row>
    <row r="32" spans="1:14" ht="16" customHeight="1">
      <c r="A32" s="143" t="s">
        <v>42</v>
      </c>
      <c r="B32" s="645">
        <v>1.9991983089509675</v>
      </c>
      <c r="C32" s="240">
        <v>2.1252471284875254</v>
      </c>
      <c r="D32" s="240">
        <v>1.7697346600331674</v>
      </c>
      <c r="E32" s="240">
        <v>1.8827964359150102</v>
      </c>
      <c r="F32" s="240" t="s">
        <v>73</v>
      </c>
      <c r="G32" s="240" t="s">
        <v>73</v>
      </c>
      <c r="H32" s="240" t="s">
        <v>73</v>
      </c>
      <c r="I32" s="240" t="s">
        <v>73</v>
      </c>
      <c r="J32" s="240" t="s">
        <v>73</v>
      </c>
      <c r="K32" s="240" t="s">
        <v>73</v>
      </c>
      <c r="L32" s="240" t="s">
        <v>73</v>
      </c>
      <c r="M32" s="240">
        <v>1.9285086948884593</v>
      </c>
      <c r="N32" s="240">
        <v>2.015295280238568</v>
      </c>
    </row>
    <row r="33" spans="1:14" ht="16" customHeight="1">
      <c r="A33" s="143" t="s">
        <v>43</v>
      </c>
      <c r="B33" s="645">
        <v>2.1588579267097781</v>
      </c>
      <c r="C33" s="240">
        <v>2.0332648307987391</v>
      </c>
      <c r="D33" s="240">
        <v>2.0874514255774352</v>
      </c>
      <c r="E33" s="240">
        <v>2.0710231036767142</v>
      </c>
      <c r="F33" s="240" t="s">
        <v>73</v>
      </c>
      <c r="G33" s="240" t="s">
        <v>73</v>
      </c>
      <c r="H33" s="240" t="s">
        <v>73</v>
      </c>
      <c r="I33" s="240" t="s">
        <v>73</v>
      </c>
      <c r="J33" s="240" t="s">
        <v>73</v>
      </c>
      <c r="K33" s="240" t="s">
        <v>73</v>
      </c>
      <c r="L33" s="240" t="s">
        <v>73</v>
      </c>
      <c r="M33" s="240">
        <v>2.1936966003953402</v>
      </c>
      <c r="N33" s="240">
        <v>2.3704613590939378</v>
      </c>
    </row>
    <row r="34" spans="1:14" ht="16" customHeight="1">
      <c r="A34" s="121" t="s">
        <v>44</v>
      </c>
      <c r="B34" s="645" t="s">
        <v>73</v>
      </c>
      <c r="C34" s="240" t="s">
        <v>73</v>
      </c>
      <c r="D34" s="240" t="s">
        <v>73</v>
      </c>
      <c r="E34" s="240" t="s">
        <v>73</v>
      </c>
      <c r="F34" s="240" t="s">
        <v>73</v>
      </c>
      <c r="G34" s="240" t="s">
        <v>73</v>
      </c>
      <c r="H34" s="240" t="s">
        <v>73</v>
      </c>
      <c r="I34" s="240" t="s">
        <v>73</v>
      </c>
      <c r="J34" s="240" t="s">
        <v>73</v>
      </c>
      <c r="K34" s="240" t="s">
        <v>73</v>
      </c>
      <c r="L34" s="240" t="s">
        <v>73</v>
      </c>
      <c r="M34" s="240" t="s">
        <v>73</v>
      </c>
      <c r="N34" s="240" t="s">
        <v>73</v>
      </c>
    </row>
    <row r="35" spans="1:14" ht="16" customHeight="1">
      <c r="A35" s="121" t="s">
        <v>45</v>
      </c>
      <c r="B35" s="645" t="s">
        <v>73</v>
      </c>
      <c r="C35" s="240" t="s">
        <v>73</v>
      </c>
      <c r="D35" s="240" t="s">
        <v>73</v>
      </c>
      <c r="E35" s="240" t="s">
        <v>73</v>
      </c>
      <c r="F35" s="240" t="s">
        <v>73</v>
      </c>
      <c r="G35" s="240" t="s">
        <v>73</v>
      </c>
      <c r="H35" s="240" t="s">
        <v>73</v>
      </c>
      <c r="I35" s="240" t="s">
        <v>73</v>
      </c>
      <c r="J35" s="240" t="s">
        <v>73</v>
      </c>
      <c r="K35" s="240" t="s">
        <v>73</v>
      </c>
      <c r="L35" s="240" t="s">
        <v>73</v>
      </c>
      <c r="M35" s="240" t="s">
        <v>73</v>
      </c>
      <c r="N35" s="240" t="s">
        <v>73</v>
      </c>
    </row>
    <row r="36" spans="1:14" ht="16" customHeight="1">
      <c r="A36" s="121" t="s">
        <v>46</v>
      </c>
      <c r="B36" s="645" t="s">
        <v>73</v>
      </c>
      <c r="C36" s="240" t="s">
        <v>73</v>
      </c>
      <c r="D36" s="240" t="s">
        <v>73</v>
      </c>
      <c r="E36" s="240" t="s">
        <v>73</v>
      </c>
      <c r="F36" s="240" t="s">
        <v>73</v>
      </c>
      <c r="G36" s="240" t="s">
        <v>73</v>
      </c>
      <c r="H36" s="240" t="s">
        <v>73</v>
      </c>
      <c r="I36" s="240" t="s">
        <v>73</v>
      </c>
      <c r="J36" s="240" t="s">
        <v>73</v>
      </c>
      <c r="K36" s="240" t="s">
        <v>73</v>
      </c>
      <c r="L36" s="240" t="s">
        <v>73</v>
      </c>
      <c r="M36" s="240" t="s">
        <v>73</v>
      </c>
      <c r="N36" s="240" t="s">
        <v>73</v>
      </c>
    </row>
    <row r="37" spans="1:14" ht="16" customHeight="1" thickBot="1">
      <c r="A37" s="145" t="s">
        <v>47</v>
      </c>
      <c r="B37" s="646" t="s">
        <v>73</v>
      </c>
      <c r="C37" s="241" t="s">
        <v>73</v>
      </c>
      <c r="D37" s="241" t="s">
        <v>73</v>
      </c>
      <c r="E37" s="241" t="s">
        <v>73</v>
      </c>
      <c r="F37" s="241" t="s">
        <v>73</v>
      </c>
      <c r="G37" s="241" t="s">
        <v>73</v>
      </c>
      <c r="H37" s="241" t="s">
        <v>73</v>
      </c>
      <c r="I37" s="241" t="s">
        <v>73</v>
      </c>
      <c r="J37" s="241" t="s">
        <v>73</v>
      </c>
      <c r="K37" s="241" t="s">
        <v>73</v>
      </c>
      <c r="L37" s="241" t="s">
        <v>73</v>
      </c>
      <c r="M37" s="241" t="s">
        <v>73</v>
      </c>
      <c r="N37" s="241" t="s">
        <v>73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Hoja81">
    <tabColor theme="9" tint="0.59999389629810485"/>
  </sheetPr>
  <dimension ref="A4:P48"/>
  <sheetViews>
    <sheetView showGridLines="0" zoomScaleNormal="100" workbookViewId="0">
      <selection activeCell="N29" sqref="N29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551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3" t="s">
        <v>211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2"/>
      <c r="P5" s="842"/>
    </row>
    <row r="6" spans="1:16" ht="6" customHeight="1" thickBot="1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  <c r="O7" s="147"/>
    </row>
    <row r="8" spans="1:16" ht="18" customHeight="1">
      <c r="A8" s="647" t="s">
        <v>87</v>
      </c>
      <c r="B8" s="648">
        <f>SUM(C8:N8)</f>
        <v>336239</v>
      </c>
      <c r="C8" s="648">
        <f t="shared" ref="C8:N8" si="0">(C9+C10+C11+C12+C13+C17+C18+C19+C20+C21+C22+C23+C24+C25+C26+C27+C28+C29+C32+C33+C34+C35+C36+C37)</f>
        <v>17515</v>
      </c>
      <c r="D8" s="648">
        <f t="shared" si="0"/>
        <v>56589</v>
      </c>
      <c r="E8" s="648">
        <f t="shared" si="0"/>
        <v>52733</v>
      </c>
      <c r="F8" s="648">
        <f t="shared" si="0"/>
        <v>5797</v>
      </c>
      <c r="G8" s="648">
        <f t="shared" si="0"/>
        <v>3509</v>
      </c>
      <c r="H8" s="648">
        <f t="shared" si="0"/>
        <v>1462</v>
      </c>
      <c r="I8" s="648">
        <f t="shared" si="0"/>
        <v>118</v>
      </c>
      <c r="J8" s="648">
        <f t="shared" si="0"/>
        <v>0</v>
      </c>
      <c r="K8" s="648">
        <f t="shared" si="0"/>
        <v>4924</v>
      </c>
      <c r="L8" s="648">
        <f t="shared" si="0"/>
        <v>17563</v>
      </c>
      <c r="M8" s="648">
        <f t="shared" si="0"/>
        <v>146821</v>
      </c>
      <c r="N8" s="648">
        <f t="shared" si="0"/>
        <v>29208</v>
      </c>
    </row>
    <row r="9" spans="1:16" ht="16" customHeight="1">
      <c r="A9" s="143" t="s">
        <v>19</v>
      </c>
      <c r="B9" s="676" t="s">
        <v>215</v>
      </c>
      <c r="C9" s="238">
        <v>0</v>
      </c>
      <c r="D9" s="238">
        <v>0</v>
      </c>
      <c r="E9" s="238">
        <v>0</v>
      </c>
      <c r="F9" s="238">
        <v>0</v>
      </c>
      <c r="G9" s="238">
        <v>0</v>
      </c>
      <c r="H9" s="238">
        <v>0</v>
      </c>
      <c r="I9" s="238">
        <v>0</v>
      </c>
      <c r="J9" s="238">
        <v>0</v>
      </c>
      <c r="K9" s="238">
        <v>0</v>
      </c>
      <c r="L9" s="238">
        <v>0</v>
      </c>
      <c r="M9" s="238">
        <v>0</v>
      </c>
      <c r="N9" s="238">
        <v>0</v>
      </c>
      <c r="O9" s="149"/>
    </row>
    <row r="10" spans="1:16" ht="16" customHeight="1">
      <c r="A10" s="143" t="s">
        <v>20</v>
      </c>
      <c r="B10" s="676" t="s">
        <v>215</v>
      </c>
      <c r="C10" s="238">
        <v>0</v>
      </c>
      <c r="D10" s="238">
        <v>0</v>
      </c>
      <c r="E10" s="238">
        <v>0</v>
      </c>
      <c r="F10" s="238">
        <v>0</v>
      </c>
      <c r="G10" s="238">
        <v>0</v>
      </c>
      <c r="H10" s="238">
        <v>0</v>
      </c>
      <c r="I10" s="238">
        <v>0</v>
      </c>
      <c r="J10" s="238">
        <v>0</v>
      </c>
      <c r="K10" s="238">
        <v>0</v>
      </c>
      <c r="L10" s="238">
        <v>0</v>
      </c>
      <c r="M10" s="238">
        <v>0</v>
      </c>
      <c r="N10" s="238">
        <v>0</v>
      </c>
    </row>
    <row r="11" spans="1:16" ht="16" customHeight="1">
      <c r="A11" s="143" t="s">
        <v>21</v>
      </c>
      <c r="B11" s="676" t="s">
        <v>215</v>
      </c>
      <c r="C11" s="238">
        <v>0</v>
      </c>
      <c r="D11" s="238">
        <v>0</v>
      </c>
      <c r="E11" s="238">
        <v>0</v>
      </c>
      <c r="F11" s="238">
        <v>0</v>
      </c>
      <c r="G11" s="238">
        <v>0</v>
      </c>
      <c r="H11" s="238">
        <v>0</v>
      </c>
      <c r="I11" s="238">
        <v>0</v>
      </c>
      <c r="J11" s="238">
        <v>0</v>
      </c>
      <c r="K11" s="238">
        <v>0</v>
      </c>
      <c r="L11" s="238">
        <v>0</v>
      </c>
      <c r="M11" s="238">
        <v>0</v>
      </c>
      <c r="N11" s="238">
        <v>0</v>
      </c>
    </row>
    <row r="12" spans="1:16" ht="16" customHeight="1">
      <c r="A12" s="121" t="s">
        <v>22</v>
      </c>
      <c r="B12" s="676" t="s">
        <v>215</v>
      </c>
      <c r="C12" s="238">
        <v>0</v>
      </c>
      <c r="D12" s="238">
        <v>0</v>
      </c>
      <c r="E12" s="238">
        <v>0</v>
      </c>
      <c r="F12" s="238">
        <v>0</v>
      </c>
      <c r="G12" s="238">
        <v>0</v>
      </c>
      <c r="H12" s="238">
        <v>0</v>
      </c>
      <c r="I12" s="238">
        <v>0</v>
      </c>
      <c r="J12" s="238">
        <v>0</v>
      </c>
      <c r="K12" s="238">
        <v>0</v>
      </c>
      <c r="L12" s="238">
        <v>0</v>
      </c>
      <c r="M12" s="238">
        <v>0</v>
      </c>
      <c r="N12" s="238">
        <v>0</v>
      </c>
    </row>
    <row r="13" spans="1:16" ht="16" customHeight="1">
      <c r="A13" s="121" t="s">
        <v>23</v>
      </c>
      <c r="B13" s="676" t="s">
        <v>215</v>
      </c>
      <c r="C13" s="238">
        <v>0</v>
      </c>
      <c r="D13" s="238">
        <v>0</v>
      </c>
      <c r="E13" s="238">
        <v>0</v>
      </c>
      <c r="F13" s="238">
        <v>0</v>
      </c>
      <c r="G13" s="238">
        <v>0</v>
      </c>
      <c r="H13" s="238">
        <v>0</v>
      </c>
      <c r="I13" s="238">
        <v>0</v>
      </c>
      <c r="J13" s="238">
        <v>0</v>
      </c>
      <c r="K13" s="238">
        <v>0</v>
      </c>
      <c r="L13" s="238">
        <v>0</v>
      </c>
      <c r="M13" s="238">
        <v>0</v>
      </c>
      <c r="N13" s="238">
        <v>0</v>
      </c>
    </row>
    <row r="14" spans="1:16" ht="16" customHeight="1">
      <c r="A14" s="119" t="s">
        <v>94</v>
      </c>
      <c r="B14" s="676" t="s">
        <v>215</v>
      </c>
      <c r="C14" s="238">
        <v>0</v>
      </c>
      <c r="D14" s="238">
        <v>0</v>
      </c>
      <c r="E14" s="238">
        <v>0</v>
      </c>
      <c r="F14" s="238">
        <v>0</v>
      </c>
      <c r="G14" s="238">
        <v>0</v>
      </c>
      <c r="H14" s="238">
        <v>0</v>
      </c>
      <c r="I14" s="238">
        <v>0</v>
      </c>
      <c r="J14" s="238">
        <v>0</v>
      </c>
      <c r="K14" s="238">
        <v>0</v>
      </c>
      <c r="L14" s="238">
        <v>0</v>
      </c>
      <c r="M14" s="238">
        <v>0</v>
      </c>
      <c r="N14" s="238">
        <v>0</v>
      </c>
    </row>
    <row r="15" spans="1:16" ht="16" customHeight="1">
      <c r="A15" s="119" t="s">
        <v>95</v>
      </c>
      <c r="B15" s="676" t="s">
        <v>215</v>
      </c>
      <c r="C15" s="238">
        <v>0</v>
      </c>
      <c r="D15" s="238">
        <v>0</v>
      </c>
      <c r="E15" s="238">
        <v>0</v>
      </c>
      <c r="F15" s="238">
        <v>0</v>
      </c>
      <c r="G15" s="238">
        <v>0</v>
      </c>
      <c r="H15" s="238">
        <v>0</v>
      </c>
      <c r="I15" s="238">
        <v>0</v>
      </c>
      <c r="J15" s="238">
        <v>0</v>
      </c>
      <c r="K15" s="238">
        <v>0</v>
      </c>
      <c r="L15" s="238">
        <v>0</v>
      </c>
      <c r="M15" s="238">
        <v>0</v>
      </c>
      <c r="N15" s="238">
        <v>0</v>
      </c>
    </row>
    <row r="16" spans="1:16" ht="16" customHeight="1">
      <c r="A16" s="119" t="s">
        <v>96</v>
      </c>
      <c r="B16" s="676" t="s">
        <v>215</v>
      </c>
      <c r="C16" s="238">
        <v>0</v>
      </c>
      <c r="D16" s="238">
        <v>0</v>
      </c>
      <c r="E16" s="238">
        <v>0</v>
      </c>
      <c r="F16" s="238">
        <v>0</v>
      </c>
      <c r="G16" s="238">
        <v>0</v>
      </c>
      <c r="H16" s="238">
        <v>0</v>
      </c>
      <c r="I16" s="238">
        <v>0</v>
      </c>
      <c r="J16" s="238">
        <v>0</v>
      </c>
      <c r="K16" s="238">
        <v>0</v>
      </c>
      <c r="L16" s="238">
        <v>0</v>
      </c>
      <c r="M16" s="238">
        <v>0</v>
      </c>
      <c r="N16" s="238">
        <v>0</v>
      </c>
    </row>
    <row r="17" spans="1:14" ht="16" customHeight="1">
      <c r="A17" s="143" t="s">
        <v>27</v>
      </c>
      <c r="B17" s="676" t="s">
        <v>215</v>
      </c>
      <c r="C17" s="238">
        <v>0</v>
      </c>
      <c r="D17" s="238">
        <v>0</v>
      </c>
      <c r="E17" s="238">
        <v>0</v>
      </c>
      <c r="F17" s="238">
        <v>0</v>
      </c>
      <c r="G17" s="238">
        <v>0</v>
      </c>
      <c r="H17" s="238">
        <v>0</v>
      </c>
      <c r="I17" s="238">
        <v>0</v>
      </c>
      <c r="J17" s="238">
        <v>0</v>
      </c>
      <c r="K17" s="238">
        <v>0</v>
      </c>
      <c r="L17" s="238">
        <v>0</v>
      </c>
      <c r="M17" s="238">
        <v>0</v>
      </c>
      <c r="N17" s="238">
        <v>0</v>
      </c>
    </row>
    <row r="18" spans="1:14" ht="16" customHeight="1">
      <c r="A18" s="121" t="s">
        <v>28</v>
      </c>
      <c r="B18" s="676" t="s">
        <v>215</v>
      </c>
      <c r="C18" s="238">
        <v>0</v>
      </c>
      <c r="D18" s="238">
        <v>0</v>
      </c>
      <c r="E18" s="238">
        <v>0</v>
      </c>
      <c r="F18" s="238">
        <v>0</v>
      </c>
      <c r="G18" s="238">
        <v>0</v>
      </c>
      <c r="H18" s="238">
        <v>0</v>
      </c>
      <c r="I18" s="238">
        <v>0</v>
      </c>
      <c r="J18" s="238">
        <v>0</v>
      </c>
      <c r="K18" s="238">
        <v>0</v>
      </c>
      <c r="L18" s="238">
        <v>0</v>
      </c>
      <c r="M18" s="238">
        <v>0</v>
      </c>
      <c r="N18" s="238">
        <v>0</v>
      </c>
    </row>
    <row r="19" spans="1:14" ht="16" customHeight="1">
      <c r="A19" s="121" t="s">
        <v>29</v>
      </c>
      <c r="B19" s="642">
        <f>SUM(C19:N19)</f>
        <v>1324</v>
      </c>
      <c r="C19" s="238">
        <v>0</v>
      </c>
      <c r="D19" s="238">
        <v>0</v>
      </c>
      <c r="E19" s="238">
        <v>289</v>
      </c>
      <c r="F19" s="238">
        <v>230</v>
      </c>
      <c r="G19" s="238">
        <v>397</v>
      </c>
      <c r="H19" s="238">
        <v>290</v>
      </c>
      <c r="I19" s="238">
        <v>118</v>
      </c>
      <c r="J19" s="238">
        <v>0</v>
      </c>
      <c r="K19" s="238">
        <v>0</v>
      </c>
      <c r="L19" s="238">
        <v>0</v>
      </c>
      <c r="M19" s="238">
        <v>0</v>
      </c>
      <c r="N19" s="238">
        <v>0</v>
      </c>
    </row>
    <row r="20" spans="1:14" ht="16" customHeight="1">
      <c r="A20" s="143" t="s">
        <v>30</v>
      </c>
      <c r="B20" s="676" t="s">
        <v>215</v>
      </c>
      <c r="C20" s="238">
        <v>0</v>
      </c>
      <c r="D20" s="238">
        <v>0</v>
      </c>
      <c r="E20" s="238">
        <v>0</v>
      </c>
      <c r="F20" s="238">
        <v>0</v>
      </c>
      <c r="G20" s="238">
        <v>0</v>
      </c>
      <c r="H20" s="238">
        <v>0</v>
      </c>
      <c r="I20" s="238">
        <v>0</v>
      </c>
      <c r="J20" s="238">
        <v>0</v>
      </c>
      <c r="K20" s="238">
        <v>0</v>
      </c>
      <c r="L20" s="238">
        <v>0</v>
      </c>
      <c r="M20" s="238">
        <v>0</v>
      </c>
      <c r="N20" s="238">
        <v>0</v>
      </c>
    </row>
    <row r="21" spans="1:14" ht="16" customHeight="1">
      <c r="A21" s="143" t="s">
        <v>31</v>
      </c>
      <c r="B21" s="676" t="s">
        <v>215</v>
      </c>
      <c r="C21" s="238">
        <v>0</v>
      </c>
      <c r="D21" s="238">
        <v>0</v>
      </c>
      <c r="E21" s="238">
        <v>0</v>
      </c>
      <c r="F21" s="238">
        <v>0</v>
      </c>
      <c r="G21" s="238">
        <v>0</v>
      </c>
      <c r="H21" s="238">
        <v>0</v>
      </c>
      <c r="I21" s="238">
        <v>0</v>
      </c>
      <c r="J21" s="238">
        <v>0</v>
      </c>
      <c r="K21" s="238">
        <v>0</v>
      </c>
      <c r="L21" s="238">
        <v>0</v>
      </c>
      <c r="M21" s="238">
        <v>0</v>
      </c>
      <c r="N21" s="238">
        <v>0</v>
      </c>
    </row>
    <row r="22" spans="1:14" ht="16" customHeight="1">
      <c r="A22" s="143" t="s">
        <v>32</v>
      </c>
      <c r="B22" s="642">
        <f t="shared" ref="B22:B33" si="1">SUM(C22:N22)</f>
        <v>7826</v>
      </c>
      <c r="C22" s="238">
        <v>0</v>
      </c>
      <c r="D22" s="238">
        <v>0</v>
      </c>
      <c r="E22" s="238">
        <v>0</v>
      </c>
      <c r="F22" s="238">
        <v>0</v>
      </c>
      <c r="G22" s="238">
        <v>0</v>
      </c>
      <c r="H22" s="238">
        <v>0</v>
      </c>
      <c r="I22" s="238">
        <v>0</v>
      </c>
      <c r="J22" s="238">
        <v>0</v>
      </c>
      <c r="K22" s="238">
        <v>0</v>
      </c>
      <c r="L22" s="238">
        <v>1164</v>
      </c>
      <c r="M22" s="238">
        <v>4348</v>
      </c>
      <c r="N22" s="238">
        <v>2314</v>
      </c>
    </row>
    <row r="23" spans="1:14" ht="16" customHeight="1">
      <c r="A23" s="143" t="s">
        <v>33</v>
      </c>
      <c r="B23" s="642">
        <f t="shared" si="1"/>
        <v>39048</v>
      </c>
      <c r="C23" s="238">
        <v>0</v>
      </c>
      <c r="D23" s="238">
        <v>0</v>
      </c>
      <c r="E23" s="238">
        <v>0</v>
      </c>
      <c r="F23" s="238">
        <v>0</v>
      </c>
      <c r="G23" s="238">
        <v>0</v>
      </c>
      <c r="H23" s="238">
        <v>0</v>
      </c>
      <c r="I23" s="238">
        <v>0</v>
      </c>
      <c r="J23" s="238">
        <v>0</v>
      </c>
      <c r="K23" s="238">
        <v>4795</v>
      </c>
      <c r="L23" s="238">
        <v>15685</v>
      </c>
      <c r="M23" s="238">
        <v>15997</v>
      </c>
      <c r="N23" s="238">
        <v>2571</v>
      </c>
    </row>
    <row r="24" spans="1:14" ht="16" customHeight="1">
      <c r="A24" s="143" t="s">
        <v>34</v>
      </c>
      <c r="B24" s="642">
        <f t="shared" si="1"/>
        <v>6057</v>
      </c>
      <c r="C24" s="238">
        <v>0</v>
      </c>
      <c r="D24" s="238">
        <v>3487</v>
      </c>
      <c r="E24" s="238">
        <v>340</v>
      </c>
      <c r="F24" s="238">
        <v>52</v>
      </c>
      <c r="G24" s="238">
        <v>697</v>
      </c>
      <c r="H24" s="238">
        <v>1012</v>
      </c>
      <c r="I24" s="238">
        <v>0</v>
      </c>
      <c r="J24" s="238">
        <v>0</v>
      </c>
      <c r="K24" s="238">
        <v>0</v>
      </c>
      <c r="L24" s="238">
        <v>0</v>
      </c>
      <c r="M24" s="238">
        <v>31</v>
      </c>
      <c r="N24" s="238">
        <v>438</v>
      </c>
    </row>
    <row r="25" spans="1:14" ht="16" customHeight="1">
      <c r="A25" s="121" t="s">
        <v>35</v>
      </c>
      <c r="B25" s="642">
        <f t="shared" si="1"/>
        <v>17755</v>
      </c>
      <c r="C25" s="238">
        <v>4200</v>
      </c>
      <c r="D25" s="238">
        <v>4363</v>
      </c>
      <c r="E25" s="238">
        <v>6257</v>
      </c>
      <c r="F25" s="238">
        <v>0</v>
      </c>
      <c r="G25" s="238">
        <v>0</v>
      </c>
      <c r="H25" s="238">
        <v>0</v>
      </c>
      <c r="I25" s="238">
        <v>0</v>
      </c>
      <c r="J25" s="238">
        <v>0</v>
      </c>
      <c r="K25" s="238">
        <v>0</v>
      </c>
      <c r="L25" s="238">
        <v>0</v>
      </c>
      <c r="M25" s="238">
        <v>0</v>
      </c>
      <c r="N25" s="238">
        <v>2935</v>
      </c>
    </row>
    <row r="26" spans="1:14" ht="16" customHeight="1">
      <c r="A26" s="143" t="s">
        <v>36</v>
      </c>
      <c r="B26" s="642">
        <f t="shared" si="1"/>
        <v>4225</v>
      </c>
      <c r="C26" s="238">
        <v>0</v>
      </c>
      <c r="D26" s="238">
        <v>0</v>
      </c>
      <c r="E26" s="238">
        <v>0</v>
      </c>
      <c r="F26" s="238">
        <v>0</v>
      </c>
      <c r="G26" s="238">
        <v>0</v>
      </c>
      <c r="H26" s="238">
        <v>0</v>
      </c>
      <c r="I26" s="238">
        <v>0</v>
      </c>
      <c r="J26" s="238">
        <v>0</v>
      </c>
      <c r="K26" s="238">
        <v>129</v>
      </c>
      <c r="L26" s="238">
        <v>714</v>
      </c>
      <c r="M26" s="238">
        <v>1223</v>
      </c>
      <c r="N26" s="238">
        <v>2159</v>
      </c>
    </row>
    <row r="27" spans="1:14" ht="16" customHeight="1">
      <c r="A27" s="143" t="s">
        <v>37</v>
      </c>
      <c r="B27" s="642">
        <f t="shared" si="1"/>
        <v>0</v>
      </c>
      <c r="C27" s="238">
        <v>0</v>
      </c>
      <c r="D27" s="238">
        <v>0</v>
      </c>
      <c r="E27" s="238">
        <v>0</v>
      </c>
      <c r="F27" s="238">
        <v>0</v>
      </c>
      <c r="G27" s="238">
        <v>0</v>
      </c>
      <c r="H27" s="238">
        <v>0</v>
      </c>
      <c r="I27" s="238">
        <v>0</v>
      </c>
      <c r="J27" s="238">
        <v>0</v>
      </c>
      <c r="K27" s="238">
        <v>0</v>
      </c>
      <c r="L27" s="238">
        <v>0</v>
      </c>
      <c r="M27" s="238">
        <v>0</v>
      </c>
      <c r="N27" s="238">
        <v>0</v>
      </c>
    </row>
    <row r="28" spans="1:14" ht="16" customHeight="1">
      <c r="A28" s="143" t="s">
        <v>38</v>
      </c>
      <c r="B28" s="642">
        <f t="shared" si="1"/>
        <v>5782</v>
      </c>
      <c r="C28" s="238">
        <v>0</v>
      </c>
      <c r="D28" s="238">
        <v>0</v>
      </c>
      <c r="E28" s="238">
        <v>706</v>
      </c>
      <c r="F28" s="238">
        <v>2173</v>
      </c>
      <c r="G28" s="238">
        <v>2113</v>
      </c>
      <c r="H28" s="238">
        <v>160</v>
      </c>
      <c r="I28" s="238">
        <v>0</v>
      </c>
      <c r="J28" s="238">
        <v>0</v>
      </c>
      <c r="K28" s="238">
        <v>0</v>
      </c>
      <c r="L28" s="238">
        <v>0</v>
      </c>
      <c r="M28" s="238">
        <v>0</v>
      </c>
      <c r="N28" s="238">
        <v>630</v>
      </c>
    </row>
    <row r="29" spans="1:14" ht="16" customHeight="1">
      <c r="A29" s="121" t="s">
        <v>39</v>
      </c>
      <c r="B29" s="642">
        <f t="shared" si="1"/>
        <v>16752</v>
      </c>
      <c r="C29" s="238">
        <v>3167</v>
      </c>
      <c r="D29" s="238">
        <v>5685</v>
      </c>
      <c r="E29" s="238">
        <v>2143</v>
      </c>
      <c r="F29" s="238">
        <v>3342</v>
      </c>
      <c r="G29" s="238">
        <v>302</v>
      </c>
      <c r="H29" s="238">
        <v>0</v>
      </c>
      <c r="I29" s="238">
        <v>0</v>
      </c>
      <c r="J29" s="238">
        <v>0</v>
      </c>
      <c r="K29" s="238">
        <v>0</v>
      </c>
      <c r="L29" s="238">
        <v>0</v>
      </c>
      <c r="M29" s="238">
        <v>1009</v>
      </c>
      <c r="N29" s="238">
        <v>1104</v>
      </c>
    </row>
    <row r="30" spans="1:14" ht="16" customHeight="1">
      <c r="A30" s="119" t="s">
        <v>97</v>
      </c>
      <c r="B30" s="642">
        <f t="shared" si="1"/>
        <v>10555</v>
      </c>
      <c r="C30" s="238">
        <v>820</v>
      </c>
      <c r="D30" s="238">
        <v>3176</v>
      </c>
      <c r="E30" s="238">
        <v>1327</v>
      </c>
      <c r="F30" s="238">
        <v>3047</v>
      </c>
      <c r="G30" s="238">
        <v>72</v>
      </c>
      <c r="H30" s="238">
        <v>0</v>
      </c>
      <c r="I30" s="238">
        <v>0</v>
      </c>
      <c r="J30" s="238">
        <v>0</v>
      </c>
      <c r="K30" s="238">
        <v>0</v>
      </c>
      <c r="L30" s="238">
        <v>0</v>
      </c>
      <c r="M30" s="238">
        <v>1009</v>
      </c>
      <c r="N30" s="238">
        <v>1104</v>
      </c>
    </row>
    <row r="31" spans="1:14" ht="16" customHeight="1">
      <c r="A31" s="119" t="s">
        <v>98</v>
      </c>
      <c r="B31" s="642">
        <f t="shared" si="1"/>
        <v>6197</v>
      </c>
      <c r="C31" s="238">
        <v>2347</v>
      </c>
      <c r="D31" s="238">
        <v>2509</v>
      </c>
      <c r="E31" s="238">
        <v>816</v>
      </c>
      <c r="F31" s="238">
        <v>295</v>
      </c>
      <c r="G31" s="238">
        <v>230</v>
      </c>
      <c r="H31" s="238">
        <v>0</v>
      </c>
      <c r="I31" s="238">
        <v>0</v>
      </c>
      <c r="J31" s="238">
        <v>0</v>
      </c>
      <c r="K31" s="238">
        <v>0</v>
      </c>
      <c r="L31" s="238">
        <v>0</v>
      </c>
      <c r="M31" s="238">
        <v>0</v>
      </c>
      <c r="N31" s="238">
        <v>0</v>
      </c>
    </row>
    <row r="32" spans="1:14" ht="16" customHeight="1">
      <c r="A32" s="143" t="s">
        <v>42</v>
      </c>
      <c r="B32" s="642">
        <f t="shared" si="1"/>
        <v>18550</v>
      </c>
      <c r="C32" s="238">
        <v>10148</v>
      </c>
      <c r="D32" s="238">
        <v>2304</v>
      </c>
      <c r="E32" s="238">
        <v>1428</v>
      </c>
      <c r="F32" s="238">
        <v>0</v>
      </c>
      <c r="G32" s="238">
        <v>0</v>
      </c>
      <c r="H32" s="238">
        <v>0</v>
      </c>
      <c r="I32" s="238">
        <v>0</v>
      </c>
      <c r="J32" s="238">
        <v>0</v>
      </c>
      <c r="K32" s="238">
        <v>0</v>
      </c>
      <c r="L32" s="238">
        <v>0</v>
      </c>
      <c r="M32" s="238">
        <v>4053</v>
      </c>
      <c r="N32" s="238">
        <v>617</v>
      </c>
    </row>
    <row r="33" spans="1:14" ht="16" customHeight="1">
      <c r="A33" s="143" t="s">
        <v>43</v>
      </c>
      <c r="B33" s="642">
        <f t="shared" si="1"/>
        <v>218920</v>
      </c>
      <c r="C33" s="238">
        <v>0</v>
      </c>
      <c r="D33" s="238">
        <v>40750</v>
      </c>
      <c r="E33" s="238">
        <v>41570</v>
      </c>
      <c r="F33" s="238">
        <v>0</v>
      </c>
      <c r="G33" s="238">
        <v>0</v>
      </c>
      <c r="H33" s="238">
        <v>0</v>
      </c>
      <c r="I33" s="238">
        <v>0</v>
      </c>
      <c r="J33" s="238">
        <v>0</v>
      </c>
      <c r="K33" s="238">
        <v>0</v>
      </c>
      <c r="L33" s="238">
        <v>0</v>
      </c>
      <c r="M33" s="238">
        <v>120160</v>
      </c>
      <c r="N33" s="238">
        <v>16440</v>
      </c>
    </row>
    <row r="34" spans="1:14" ht="16" customHeight="1">
      <c r="A34" s="121" t="s">
        <v>44</v>
      </c>
      <c r="B34" s="676" t="s">
        <v>215</v>
      </c>
      <c r="C34" s="238">
        <v>0</v>
      </c>
      <c r="D34" s="238">
        <v>0</v>
      </c>
      <c r="E34" s="238">
        <v>0</v>
      </c>
      <c r="F34" s="238">
        <v>0</v>
      </c>
      <c r="G34" s="238">
        <v>0</v>
      </c>
      <c r="H34" s="238">
        <v>0</v>
      </c>
      <c r="I34" s="238">
        <v>0</v>
      </c>
      <c r="J34" s="238">
        <v>0</v>
      </c>
      <c r="K34" s="238">
        <v>0</v>
      </c>
      <c r="L34" s="238">
        <v>0</v>
      </c>
      <c r="M34" s="238">
        <v>0</v>
      </c>
      <c r="N34" s="238">
        <v>0</v>
      </c>
    </row>
    <row r="35" spans="1:14" ht="16" customHeight="1">
      <c r="A35" s="121" t="s">
        <v>45</v>
      </c>
      <c r="B35" s="676" t="s">
        <v>215</v>
      </c>
      <c r="C35" s="238">
        <v>0</v>
      </c>
      <c r="D35" s="238">
        <v>0</v>
      </c>
      <c r="E35" s="238">
        <v>0</v>
      </c>
      <c r="F35" s="238">
        <v>0</v>
      </c>
      <c r="G35" s="238">
        <v>0</v>
      </c>
      <c r="H35" s="238">
        <v>0</v>
      </c>
      <c r="I35" s="238">
        <v>0</v>
      </c>
      <c r="J35" s="238">
        <v>0</v>
      </c>
      <c r="K35" s="238">
        <v>0</v>
      </c>
      <c r="L35" s="238">
        <v>0</v>
      </c>
      <c r="M35" s="238">
        <v>0</v>
      </c>
      <c r="N35" s="238">
        <v>0</v>
      </c>
    </row>
    <row r="36" spans="1:14" ht="16" customHeight="1">
      <c r="A36" s="121" t="s">
        <v>46</v>
      </c>
      <c r="B36" s="676" t="s">
        <v>215</v>
      </c>
      <c r="C36" s="238">
        <v>0</v>
      </c>
      <c r="D36" s="238">
        <v>0</v>
      </c>
      <c r="E36" s="238">
        <v>0</v>
      </c>
      <c r="F36" s="238">
        <v>0</v>
      </c>
      <c r="G36" s="238">
        <v>0</v>
      </c>
      <c r="H36" s="238">
        <v>0</v>
      </c>
      <c r="I36" s="238">
        <v>0</v>
      </c>
      <c r="J36" s="238">
        <v>0</v>
      </c>
      <c r="K36" s="238">
        <v>0</v>
      </c>
      <c r="L36" s="238">
        <v>0</v>
      </c>
      <c r="M36" s="238">
        <v>0</v>
      </c>
      <c r="N36" s="238">
        <v>0</v>
      </c>
    </row>
    <row r="37" spans="1:14" ht="16" customHeight="1" thickBot="1">
      <c r="A37" s="145" t="s">
        <v>47</v>
      </c>
      <c r="B37" s="677" t="s">
        <v>215</v>
      </c>
      <c r="C37" s="239">
        <v>0</v>
      </c>
      <c r="D37" s="239">
        <v>0</v>
      </c>
      <c r="E37" s="239">
        <v>0</v>
      </c>
      <c r="F37" s="239">
        <v>0</v>
      </c>
      <c r="G37" s="239">
        <v>0</v>
      </c>
      <c r="H37" s="239">
        <v>0</v>
      </c>
      <c r="I37" s="239">
        <v>0</v>
      </c>
      <c r="J37" s="239">
        <v>0</v>
      </c>
      <c r="K37" s="239">
        <v>0</v>
      </c>
      <c r="L37" s="239">
        <v>0</v>
      </c>
      <c r="M37" s="239">
        <v>0</v>
      </c>
      <c r="N37" s="239">
        <v>0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Hoja82">
    <tabColor theme="9" tint="0.59999389629810485"/>
  </sheetPr>
  <dimension ref="A4:P48"/>
  <sheetViews>
    <sheetView showGridLines="0" zoomScaleNormal="100" workbookViewId="0">
      <selection activeCell="F29" sqref="F29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550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3" t="s">
        <v>210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2"/>
      <c r="P5" s="842"/>
    </row>
    <row r="6" spans="1:16" ht="6" customHeight="1" thickBot="1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  <c r="O7" s="147"/>
    </row>
    <row r="8" spans="1:16" ht="18" customHeight="1">
      <c r="A8" s="647" t="s">
        <v>87</v>
      </c>
      <c r="B8" s="678">
        <f>SUM(C8:N8)</f>
        <v>712.41002359999993</v>
      </c>
      <c r="C8" s="679">
        <f t="shared" ref="C8:N8" si="0">(C9+C10+C11+C12+C13+C17+C18+C19+C20+C21+C22+C23+C24+C25+C26+C27+C28+C29+C32+C33+C34+C35+C36+C37)</f>
        <v>36.064759999999993</v>
      </c>
      <c r="D8" s="679">
        <f t="shared" si="0"/>
        <v>110.94144</v>
      </c>
      <c r="E8" s="679">
        <f t="shared" si="0"/>
        <v>104.76349999999998</v>
      </c>
      <c r="F8" s="679">
        <f t="shared" si="0"/>
        <v>9.9406280000000002</v>
      </c>
      <c r="G8" s="679">
        <f t="shared" si="0"/>
        <v>5.7963000000000005</v>
      </c>
      <c r="H8" s="679">
        <f t="shared" si="0"/>
        <v>2.7265535999999999</v>
      </c>
      <c r="I8" s="679">
        <f t="shared" si="0"/>
        <v>0.16059999999999999</v>
      </c>
      <c r="J8" s="679">
        <f t="shared" si="0"/>
        <v>0</v>
      </c>
      <c r="K8" s="679">
        <f t="shared" si="0"/>
        <v>6.829288</v>
      </c>
      <c r="L8" s="679">
        <f t="shared" si="0"/>
        <v>52.046274799999999</v>
      </c>
      <c r="M8" s="679">
        <f t="shared" si="0"/>
        <v>317.3992528</v>
      </c>
      <c r="N8" s="679">
        <f t="shared" si="0"/>
        <v>65.741426399999995</v>
      </c>
    </row>
    <row r="9" spans="1:16" ht="16" customHeight="1">
      <c r="A9" s="143" t="s">
        <v>19</v>
      </c>
      <c r="B9" s="680" t="s">
        <v>215</v>
      </c>
      <c r="C9" s="248">
        <v>0</v>
      </c>
      <c r="D9" s="248">
        <v>0</v>
      </c>
      <c r="E9" s="248">
        <v>0</v>
      </c>
      <c r="F9" s="248">
        <v>0</v>
      </c>
      <c r="G9" s="248">
        <v>0</v>
      </c>
      <c r="H9" s="248">
        <v>0</v>
      </c>
      <c r="I9" s="248">
        <v>0</v>
      </c>
      <c r="J9" s="248">
        <v>0</v>
      </c>
      <c r="K9" s="248">
        <v>0</v>
      </c>
      <c r="L9" s="248">
        <v>0</v>
      </c>
      <c r="M9" s="248">
        <v>0</v>
      </c>
      <c r="N9" s="248">
        <v>0</v>
      </c>
      <c r="O9" s="149"/>
    </row>
    <row r="10" spans="1:16" ht="16" customHeight="1">
      <c r="A10" s="143" t="s">
        <v>20</v>
      </c>
      <c r="B10" s="680" t="s">
        <v>215</v>
      </c>
      <c r="C10" s="248">
        <v>0</v>
      </c>
      <c r="D10" s="248">
        <v>0</v>
      </c>
      <c r="E10" s="248">
        <v>0</v>
      </c>
      <c r="F10" s="248">
        <v>0</v>
      </c>
      <c r="G10" s="248">
        <v>0</v>
      </c>
      <c r="H10" s="248">
        <v>0</v>
      </c>
      <c r="I10" s="248">
        <v>0</v>
      </c>
      <c r="J10" s="248">
        <v>0</v>
      </c>
      <c r="K10" s="248">
        <v>0</v>
      </c>
      <c r="L10" s="248">
        <v>0</v>
      </c>
      <c r="M10" s="248">
        <v>0</v>
      </c>
      <c r="N10" s="248">
        <v>0</v>
      </c>
    </row>
    <row r="11" spans="1:16" ht="16" customHeight="1">
      <c r="A11" s="143" t="s">
        <v>21</v>
      </c>
      <c r="B11" s="680" t="s">
        <v>215</v>
      </c>
      <c r="C11" s="248">
        <v>0</v>
      </c>
      <c r="D11" s="248">
        <v>0</v>
      </c>
      <c r="E11" s="248">
        <v>0</v>
      </c>
      <c r="F11" s="248">
        <v>0</v>
      </c>
      <c r="G11" s="248">
        <v>0</v>
      </c>
      <c r="H11" s="248">
        <v>0</v>
      </c>
      <c r="I11" s="248">
        <v>0</v>
      </c>
      <c r="J11" s="248">
        <v>0</v>
      </c>
      <c r="K11" s="248">
        <v>0</v>
      </c>
      <c r="L11" s="248">
        <v>0</v>
      </c>
      <c r="M11" s="248">
        <v>0</v>
      </c>
      <c r="N11" s="248">
        <v>0</v>
      </c>
    </row>
    <row r="12" spans="1:16" ht="16" customHeight="1">
      <c r="A12" s="121" t="s">
        <v>22</v>
      </c>
      <c r="B12" s="680" t="s">
        <v>215</v>
      </c>
      <c r="C12" s="248">
        <v>0</v>
      </c>
      <c r="D12" s="248">
        <v>0</v>
      </c>
      <c r="E12" s="248">
        <v>0</v>
      </c>
      <c r="F12" s="248">
        <v>0</v>
      </c>
      <c r="G12" s="248">
        <v>0</v>
      </c>
      <c r="H12" s="248">
        <v>0</v>
      </c>
      <c r="I12" s="248">
        <v>0</v>
      </c>
      <c r="J12" s="248">
        <v>0</v>
      </c>
      <c r="K12" s="248">
        <v>0</v>
      </c>
      <c r="L12" s="248">
        <v>0</v>
      </c>
      <c r="M12" s="248">
        <v>0</v>
      </c>
      <c r="N12" s="248">
        <v>0</v>
      </c>
    </row>
    <row r="13" spans="1:16" ht="16" customHeight="1">
      <c r="A13" s="121" t="s">
        <v>23</v>
      </c>
      <c r="B13" s="680" t="s">
        <v>215</v>
      </c>
      <c r="C13" s="248">
        <v>0</v>
      </c>
      <c r="D13" s="248">
        <v>0</v>
      </c>
      <c r="E13" s="248">
        <v>0</v>
      </c>
      <c r="F13" s="248">
        <v>0</v>
      </c>
      <c r="G13" s="248">
        <v>0</v>
      </c>
      <c r="H13" s="248">
        <v>0</v>
      </c>
      <c r="I13" s="248">
        <v>0</v>
      </c>
      <c r="J13" s="248">
        <v>0</v>
      </c>
      <c r="K13" s="248">
        <v>0</v>
      </c>
      <c r="L13" s="248">
        <v>0</v>
      </c>
      <c r="M13" s="248">
        <v>0</v>
      </c>
      <c r="N13" s="248">
        <v>0</v>
      </c>
    </row>
    <row r="14" spans="1:16" ht="16" customHeight="1">
      <c r="A14" s="119" t="s">
        <v>94</v>
      </c>
      <c r="B14" s="680" t="s">
        <v>215</v>
      </c>
      <c r="C14" s="248">
        <v>0</v>
      </c>
      <c r="D14" s="248">
        <v>0</v>
      </c>
      <c r="E14" s="248">
        <v>0</v>
      </c>
      <c r="F14" s="248">
        <v>0</v>
      </c>
      <c r="G14" s="248">
        <v>0</v>
      </c>
      <c r="H14" s="248">
        <v>0</v>
      </c>
      <c r="I14" s="248">
        <v>0</v>
      </c>
      <c r="J14" s="248">
        <v>0</v>
      </c>
      <c r="K14" s="248">
        <v>0</v>
      </c>
      <c r="L14" s="248">
        <v>0</v>
      </c>
      <c r="M14" s="248">
        <v>0</v>
      </c>
      <c r="N14" s="248">
        <v>0</v>
      </c>
    </row>
    <row r="15" spans="1:16" ht="16" customHeight="1">
      <c r="A15" s="119" t="s">
        <v>95</v>
      </c>
      <c r="B15" s="680" t="s">
        <v>215</v>
      </c>
      <c r="C15" s="248">
        <v>0</v>
      </c>
      <c r="D15" s="248">
        <v>0</v>
      </c>
      <c r="E15" s="248">
        <v>0</v>
      </c>
      <c r="F15" s="248">
        <v>0</v>
      </c>
      <c r="G15" s="248">
        <v>0</v>
      </c>
      <c r="H15" s="248">
        <v>0</v>
      </c>
      <c r="I15" s="248">
        <v>0</v>
      </c>
      <c r="J15" s="248">
        <v>0</v>
      </c>
      <c r="K15" s="248">
        <v>0</v>
      </c>
      <c r="L15" s="248">
        <v>0</v>
      </c>
      <c r="M15" s="248">
        <v>0</v>
      </c>
      <c r="N15" s="248">
        <v>0</v>
      </c>
    </row>
    <row r="16" spans="1:16" ht="16" customHeight="1">
      <c r="A16" s="119" t="s">
        <v>96</v>
      </c>
      <c r="B16" s="680" t="s">
        <v>215</v>
      </c>
      <c r="C16" s="248">
        <v>0</v>
      </c>
      <c r="D16" s="248">
        <v>0</v>
      </c>
      <c r="E16" s="248">
        <v>0</v>
      </c>
      <c r="F16" s="248">
        <v>0</v>
      </c>
      <c r="G16" s="248">
        <v>0</v>
      </c>
      <c r="H16" s="248">
        <v>0</v>
      </c>
      <c r="I16" s="248">
        <v>0</v>
      </c>
      <c r="J16" s="248">
        <v>0</v>
      </c>
      <c r="K16" s="248">
        <v>0</v>
      </c>
      <c r="L16" s="248">
        <v>0</v>
      </c>
      <c r="M16" s="248">
        <v>0</v>
      </c>
      <c r="N16" s="248">
        <v>0</v>
      </c>
    </row>
    <row r="17" spans="1:14" ht="16" customHeight="1">
      <c r="A17" s="143" t="s">
        <v>27</v>
      </c>
      <c r="B17" s="680" t="s">
        <v>215</v>
      </c>
      <c r="C17" s="248">
        <v>0</v>
      </c>
      <c r="D17" s="248">
        <v>0</v>
      </c>
      <c r="E17" s="248">
        <v>0</v>
      </c>
      <c r="F17" s="248">
        <v>0</v>
      </c>
      <c r="G17" s="248">
        <v>0</v>
      </c>
      <c r="H17" s="248">
        <v>0</v>
      </c>
      <c r="I17" s="248">
        <v>0</v>
      </c>
      <c r="J17" s="248">
        <v>0</v>
      </c>
      <c r="K17" s="248">
        <v>0</v>
      </c>
      <c r="L17" s="248">
        <v>0</v>
      </c>
      <c r="M17" s="248">
        <v>0</v>
      </c>
      <c r="N17" s="248">
        <v>0</v>
      </c>
    </row>
    <row r="18" spans="1:14" ht="16" customHeight="1">
      <c r="A18" s="121" t="s">
        <v>28</v>
      </c>
      <c r="B18" s="680" t="s">
        <v>215</v>
      </c>
      <c r="C18" s="248">
        <v>0</v>
      </c>
      <c r="D18" s="248">
        <v>0</v>
      </c>
      <c r="E18" s="248">
        <v>0</v>
      </c>
      <c r="F18" s="248">
        <v>0</v>
      </c>
      <c r="G18" s="248">
        <v>0</v>
      </c>
      <c r="H18" s="248">
        <v>0</v>
      </c>
      <c r="I18" s="248">
        <v>0</v>
      </c>
      <c r="J18" s="248">
        <v>0</v>
      </c>
      <c r="K18" s="248">
        <v>0</v>
      </c>
      <c r="L18" s="248">
        <v>0</v>
      </c>
      <c r="M18" s="248">
        <v>0</v>
      </c>
      <c r="N18" s="248">
        <v>0</v>
      </c>
    </row>
    <row r="19" spans="1:14" ht="16" customHeight="1">
      <c r="A19" s="121" t="s">
        <v>29</v>
      </c>
      <c r="B19" s="681">
        <f>SUM(C19:N19)</f>
        <v>2.0703816000000002</v>
      </c>
      <c r="C19" s="248">
        <v>0</v>
      </c>
      <c r="D19" s="248">
        <v>0</v>
      </c>
      <c r="E19" s="248">
        <v>0.36720000000000003</v>
      </c>
      <c r="F19" s="248">
        <v>0.48432799999999998</v>
      </c>
      <c r="G19" s="248">
        <v>0.59079999999999999</v>
      </c>
      <c r="H19" s="248">
        <v>0.46745360000000002</v>
      </c>
      <c r="I19" s="248">
        <v>0.16059999999999999</v>
      </c>
      <c r="J19" s="248">
        <v>0</v>
      </c>
      <c r="K19" s="248">
        <v>0</v>
      </c>
      <c r="L19" s="248">
        <v>0</v>
      </c>
      <c r="M19" s="248">
        <v>0</v>
      </c>
      <c r="N19" s="248">
        <v>0</v>
      </c>
    </row>
    <row r="20" spans="1:14" ht="16" customHeight="1">
      <c r="A20" s="143" t="s">
        <v>30</v>
      </c>
      <c r="B20" s="680" t="s">
        <v>215</v>
      </c>
      <c r="C20" s="248">
        <v>0</v>
      </c>
      <c r="D20" s="248">
        <v>0</v>
      </c>
      <c r="E20" s="248">
        <v>0</v>
      </c>
      <c r="F20" s="248">
        <v>0</v>
      </c>
      <c r="G20" s="248">
        <v>0</v>
      </c>
      <c r="H20" s="248">
        <v>0</v>
      </c>
      <c r="I20" s="248">
        <v>0</v>
      </c>
      <c r="J20" s="248">
        <v>0</v>
      </c>
      <c r="K20" s="248">
        <v>0</v>
      </c>
      <c r="L20" s="248">
        <v>0</v>
      </c>
      <c r="M20" s="248">
        <v>0</v>
      </c>
      <c r="N20" s="248">
        <v>0</v>
      </c>
    </row>
    <row r="21" spans="1:14" ht="16" customHeight="1">
      <c r="A21" s="143" t="s">
        <v>31</v>
      </c>
      <c r="B21" s="680" t="s">
        <v>215</v>
      </c>
      <c r="C21" s="248">
        <v>0</v>
      </c>
      <c r="D21" s="248">
        <v>0</v>
      </c>
      <c r="E21" s="248">
        <v>0</v>
      </c>
      <c r="F21" s="248">
        <v>0</v>
      </c>
      <c r="G21" s="248">
        <v>0</v>
      </c>
      <c r="H21" s="248">
        <v>0</v>
      </c>
      <c r="I21" s="248">
        <v>0</v>
      </c>
      <c r="J21" s="248">
        <v>0</v>
      </c>
      <c r="K21" s="248">
        <v>0</v>
      </c>
      <c r="L21" s="248">
        <v>0</v>
      </c>
      <c r="M21" s="248">
        <v>0</v>
      </c>
      <c r="N21" s="248">
        <v>0</v>
      </c>
    </row>
    <row r="22" spans="1:14" ht="16" customHeight="1">
      <c r="A22" s="143" t="s">
        <v>32</v>
      </c>
      <c r="B22" s="681">
        <f t="shared" ref="B22:B26" si="1">SUM(C22:N22)</f>
        <v>17.417290000000001</v>
      </c>
      <c r="C22" s="248">
        <v>0</v>
      </c>
      <c r="D22" s="248">
        <v>0</v>
      </c>
      <c r="E22" s="248">
        <v>0</v>
      </c>
      <c r="F22" s="248">
        <v>0</v>
      </c>
      <c r="G22" s="248">
        <v>0</v>
      </c>
      <c r="H22" s="248">
        <v>0</v>
      </c>
      <c r="I22" s="248">
        <v>0</v>
      </c>
      <c r="J22" s="248">
        <v>0</v>
      </c>
      <c r="K22" s="248">
        <v>0</v>
      </c>
      <c r="L22" s="248">
        <v>2.1838899999999999</v>
      </c>
      <c r="M22" s="248">
        <v>8.1083999999999996</v>
      </c>
      <c r="N22" s="248">
        <v>7.125</v>
      </c>
    </row>
    <row r="23" spans="1:14" ht="16" customHeight="1">
      <c r="A23" s="143" t="s">
        <v>33</v>
      </c>
      <c r="B23" s="681">
        <f t="shared" si="1"/>
        <v>109.39471200000001</v>
      </c>
      <c r="C23" s="248">
        <v>0</v>
      </c>
      <c r="D23" s="248">
        <v>0</v>
      </c>
      <c r="E23" s="248">
        <v>0</v>
      </c>
      <c r="F23" s="248">
        <v>0</v>
      </c>
      <c r="G23" s="248">
        <v>0</v>
      </c>
      <c r="H23" s="248">
        <v>0</v>
      </c>
      <c r="I23" s="248">
        <v>0</v>
      </c>
      <c r="J23" s="248">
        <v>0</v>
      </c>
      <c r="K23" s="248">
        <v>6.530888</v>
      </c>
      <c r="L23" s="248">
        <v>48.319784800000001</v>
      </c>
      <c r="M23" s="248">
        <v>48.636352800000004</v>
      </c>
      <c r="N23" s="248">
        <v>5.9076864000000002</v>
      </c>
    </row>
    <row r="24" spans="1:14" ht="16" customHeight="1">
      <c r="A24" s="143" t="s">
        <v>34</v>
      </c>
      <c r="B24" s="681">
        <f t="shared" si="1"/>
        <v>11.11857</v>
      </c>
      <c r="C24" s="248">
        <v>0</v>
      </c>
      <c r="D24" s="248">
        <v>6.2427999999999999</v>
      </c>
      <c r="E24" s="248">
        <v>0.60199999999999998</v>
      </c>
      <c r="F24" s="248">
        <v>9.3100000000000002E-2</v>
      </c>
      <c r="G24" s="248">
        <v>1.3608</v>
      </c>
      <c r="H24" s="248">
        <v>1.9930000000000001</v>
      </c>
      <c r="I24" s="248">
        <v>0</v>
      </c>
      <c r="J24" s="248">
        <v>0</v>
      </c>
      <c r="K24" s="248">
        <v>0</v>
      </c>
      <c r="L24" s="248">
        <v>0</v>
      </c>
      <c r="M24" s="248">
        <v>4.3400000000000001E-2</v>
      </c>
      <c r="N24" s="248">
        <v>0.78347</v>
      </c>
    </row>
    <row r="25" spans="1:14" ht="16" customHeight="1">
      <c r="A25" s="121" t="s">
        <v>35</v>
      </c>
      <c r="B25" s="681">
        <f t="shared" si="1"/>
        <v>37.665970000000002</v>
      </c>
      <c r="C25" s="248">
        <v>8.8807599999999987</v>
      </c>
      <c r="D25" s="248">
        <v>9.2907399999999996</v>
      </c>
      <c r="E25" s="248">
        <v>13.311999999999999</v>
      </c>
      <c r="F25" s="248">
        <v>0</v>
      </c>
      <c r="G25" s="248">
        <v>0</v>
      </c>
      <c r="H25" s="248">
        <v>0</v>
      </c>
      <c r="I25" s="248">
        <v>0</v>
      </c>
      <c r="J25" s="248">
        <v>0</v>
      </c>
      <c r="K25" s="248">
        <v>0</v>
      </c>
      <c r="L25" s="248">
        <v>0</v>
      </c>
      <c r="M25" s="248">
        <v>0</v>
      </c>
      <c r="N25" s="248">
        <v>6.1824700000000004</v>
      </c>
    </row>
    <row r="26" spans="1:14" ht="16" customHeight="1">
      <c r="A26" s="143" t="s">
        <v>36</v>
      </c>
      <c r="B26" s="681">
        <f t="shared" si="1"/>
        <v>8.1539999999999999</v>
      </c>
      <c r="C26" s="248">
        <v>0</v>
      </c>
      <c r="D26" s="248">
        <v>0</v>
      </c>
      <c r="E26" s="248">
        <v>0</v>
      </c>
      <c r="F26" s="248">
        <v>0</v>
      </c>
      <c r="G26" s="248">
        <v>0</v>
      </c>
      <c r="H26" s="248">
        <v>0</v>
      </c>
      <c r="I26" s="248">
        <v>0</v>
      </c>
      <c r="J26" s="248">
        <v>0</v>
      </c>
      <c r="K26" s="248">
        <v>0.2984</v>
      </c>
      <c r="L26" s="248">
        <v>1.5426</v>
      </c>
      <c r="M26" s="248">
        <v>2.6240000000000001</v>
      </c>
      <c r="N26" s="248">
        <v>3.6890000000000001</v>
      </c>
    </row>
    <row r="27" spans="1:14" ht="16" customHeight="1">
      <c r="A27" s="143" t="s">
        <v>37</v>
      </c>
      <c r="B27" s="681">
        <f t="shared" ref="B27:B33" si="2">SUM(C27:N27)</f>
        <v>0</v>
      </c>
      <c r="C27" s="248">
        <v>0</v>
      </c>
      <c r="D27" s="248">
        <v>0</v>
      </c>
      <c r="E27" s="248">
        <v>0</v>
      </c>
      <c r="F27" s="248">
        <v>0</v>
      </c>
      <c r="G27" s="248">
        <v>0</v>
      </c>
      <c r="H27" s="248">
        <v>0</v>
      </c>
      <c r="I27" s="248">
        <v>0</v>
      </c>
      <c r="J27" s="248">
        <v>0</v>
      </c>
      <c r="K27" s="248">
        <v>0</v>
      </c>
      <c r="L27" s="248">
        <v>0</v>
      </c>
      <c r="M27" s="248">
        <v>0</v>
      </c>
      <c r="N27" s="248">
        <v>0</v>
      </c>
    </row>
    <row r="28" spans="1:14" ht="16" customHeight="1">
      <c r="A28" s="143" t="s">
        <v>38</v>
      </c>
      <c r="B28" s="681">
        <f t="shared" si="2"/>
        <v>9.3288000000000011</v>
      </c>
      <c r="C28" s="248">
        <v>0</v>
      </c>
      <c r="D28" s="248">
        <v>0</v>
      </c>
      <c r="E28" s="248">
        <v>1.1785000000000001</v>
      </c>
      <c r="F28" s="248">
        <v>3.6040000000000001</v>
      </c>
      <c r="G28" s="248">
        <v>3.3094000000000001</v>
      </c>
      <c r="H28" s="248">
        <v>0.2661</v>
      </c>
      <c r="I28" s="248">
        <v>0</v>
      </c>
      <c r="J28" s="248">
        <v>0</v>
      </c>
      <c r="K28" s="248">
        <v>0</v>
      </c>
      <c r="L28" s="248">
        <v>0</v>
      </c>
      <c r="M28" s="248">
        <v>0</v>
      </c>
      <c r="N28" s="248">
        <v>0.9708</v>
      </c>
    </row>
    <row r="29" spans="1:14" ht="16" customHeight="1">
      <c r="A29" s="121" t="s">
        <v>39</v>
      </c>
      <c r="B29" s="681">
        <f t="shared" si="2"/>
        <v>29.648499999999999</v>
      </c>
      <c r="C29" s="248">
        <v>5.5369999999999999</v>
      </c>
      <c r="D29" s="248">
        <v>10.449</v>
      </c>
      <c r="E29" s="248">
        <v>4.008</v>
      </c>
      <c r="F29" s="248">
        <v>5.7591999999999999</v>
      </c>
      <c r="G29" s="248">
        <v>0.5353</v>
      </c>
      <c r="H29" s="248">
        <v>0</v>
      </c>
      <c r="I29" s="248">
        <v>0</v>
      </c>
      <c r="J29" s="248">
        <v>0</v>
      </c>
      <c r="K29" s="248">
        <v>0</v>
      </c>
      <c r="L29" s="248">
        <v>0</v>
      </c>
      <c r="M29" s="248">
        <v>1.5760000000000001</v>
      </c>
      <c r="N29" s="248">
        <v>1.784</v>
      </c>
    </row>
    <row r="30" spans="1:14" ht="16" customHeight="1">
      <c r="A30" s="119" t="s">
        <v>97</v>
      </c>
      <c r="B30" s="681">
        <f t="shared" si="2"/>
        <v>18.118599999999997</v>
      </c>
      <c r="C30" s="248">
        <v>1.3029999999999999</v>
      </c>
      <c r="D30" s="248">
        <v>5.5620000000000003</v>
      </c>
      <c r="E30" s="248">
        <v>2.4809999999999999</v>
      </c>
      <c r="F30" s="248">
        <v>5.2779999999999996</v>
      </c>
      <c r="G30" s="248">
        <v>0.1346</v>
      </c>
      <c r="H30" s="248">
        <v>0</v>
      </c>
      <c r="I30" s="248">
        <v>0</v>
      </c>
      <c r="J30" s="248">
        <v>0</v>
      </c>
      <c r="K30" s="248">
        <v>0</v>
      </c>
      <c r="L30" s="248">
        <v>0</v>
      </c>
      <c r="M30" s="248">
        <v>1.5760000000000001</v>
      </c>
      <c r="N30" s="248">
        <v>1.784</v>
      </c>
    </row>
    <row r="31" spans="1:14" ht="16" customHeight="1">
      <c r="A31" s="119" t="s">
        <v>98</v>
      </c>
      <c r="B31" s="681">
        <f t="shared" si="2"/>
        <v>11.529899999999998</v>
      </c>
      <c r="C31" s="248">
        <v>4.234</v>
      </c>
      <c r="D31" s="248">
        <v>4.8869999999999996</v>
      </c>
      <c r="E31" s="248">
        <v>1.5269999999999999</v>
      </c>
      <c r="F31" s="248">
        <v>0.48120000000000002</v>
      </c>
      <c r="G31" s="248">
        <v>0.4007</v>
      </c>
      <c r="H31" s="248">
        <v>0</v>
      </c>
      <c r="I31" s="248">
        <v>0</v>
      </c>
      <c r="J31" s="248">
        <v>0</v>
      </c>
      <c r="K31" s="248">
        <v>0</v>
      </c>
      <c r="L31" s="248">
        <v>0</v>
      </c>
      <c r="M31" s="248">
        <v>0</v>
      </c>
      <c r="N31" s="248">
        <v>0</v>
      </c>
    </row>
    <row r="32" spans="1:14" ht="16" customHeight="1">
      <c r="A32" s="143" t="s">
        <v>42</v>
      </c>
      <c r="B32" s="681">
        <f t="shared" si="2"/>
        <v>36.977400000000003</v>
      </c>
      <c r="C32" s="248">
        <v>21.646999999999998</v>
      </c>
      <c r="D32" s="248">
        <v>3.3140000000000001</v>
      </c>
      <c r="E32" s="248">
        <v>2.1503999999999999</v>
      </c>
      <c r="F32" s="248">
        <v>0</v>
      </c>
      <c r="G32" s="248">
        <v>0</v>
      </c>
      <c r="H32" s="248">
        <v>0</v>
      </c>
      <c r="I32" s="248">
        <v>0</v>
      </c>
      <c r="J32" s="248">
        <v>0</v>
      </c>
      <c r="K32" s="248">
        <v>0</v>
      </c>
      <c r="L32" s="248">
        <v>0</v>
      </c>
      <c r="M32" s="248">
        <v>8.6720000000000006</v>
      </c>
      <c r="N32" s="248">
        <v>1.194</v>
      </c>
    </row>
    <row r="33" spans="1:14" ht="16" customHeight="1">
      <c r="A33" s="143" t="s">
        <v>43</v>
      </c>
      <c r="B33" s="681">
        <f t="shared" si="2"/>
        <v>450.63440000000003</v>
      </c>
      <c r="C33" s="248">
        <v>0</v>
      </c>
      <c r="D33" s="248">
        <v>81.644900000000007</v>
      </c>
      <c r="E33" s="248">
        <v>83.145399999999981</v>
      </c>
      <c r="F33" s="248">
        <v>0</v>
      </c>
      <c r="G33" s="248">
        <v>0</v>
      </c>
      <c r="H33" s="248">
        <v>0</v>
      </c>
      <c r="I33" s="248">
        <v>0</v>
      </c>
      <c r="J33" s="248">
        <v>0</v>
      </c>
      <c r="K33" s="248">
        <v>0</v>
      </c>
      <c r="L33" s="248">
        <v>0</v>
      </c>
      <c r="M33" s="248">
        <v>247.73910000000001</v>
      </c>
      <c r="N33" s="248">
        <v>38.104999999999997</v>
      </c>
    </row>
    <row r="34" spans="1:14" ht="16" customHeight="1">
      <c r="A34" s="121" t="s">
        <v>44</v>
      </c>
      <c r="B34" s="680" t="s">
        <v>215</v>
      </c>
      <c r="C34" s="248">
        <v>0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48">
        <v>0</v>
      </c>
      <c r="J34" s="248">
        <v>0</v>
      </c>
      <c r="K34" s="248">
        <v>0</v>
      </c>
      <c r="L34" s="248">
        <v>0</v>
      </c>
      <c r="M34" s="248">
        <v>0</v>
      </c>
      <c r="N34" s="248">
        <v>0</v>
      </c>
    </row>
    <row r="35" spans="1:14" ht="16" customHeight="1">
      <c r="A35" s="121" t="s">
        <v>45</v>
      </c>
      <c r="B35" s="680" t="s">
        <v>215</v>
      </c>
      <c r="C35" s="248">
        <v>0</v>
      </c>
      <c r="D35" s="248">
        <v>0</v>
      </c>
      <c r="E35" s="248">
        <v>0</v>
      </c>
      <c r="F35" s="248">
        <v>0</v>
      </c>
      <c r="G35" s="248">
        <v>0</v>
      </c>
      <c r="H35" s="248">
        <v>0</v>
      </c>
      <c r="I35" s="248">
        <v>0</v>
      </c>
      <c r="J35" s="248">
        <v>0</v>
      </c>
      <c r="K35" s="248">
        <v>0</v>
      </c>
      <c r="L35" s="248">
        <v>0</v>
      </c>
      <c r="M35" s="248">
        <v>0</v>
      </c>
      <c r="N35" s="248">
        <v>0</v>
      </c>
    </row>
    <row r="36" spans="1:14" ht="16" customHeight="1">
      <c r="A36" s="121" t="s">
        <v>46</v>
      </c>
      <c r="B36" s="680" t="s">
        <v>215</v>
      </c>
      <c r="C36" s="248">
        <v>0</v>
      </c>
      <c r="D36" s="248">
        <v>0</v>
      </c>
      <c r="E36" s="248">
        <v>0</v>
      </c>
      <c r="F36" s="248">
        <v>0</v>
      </c>
      <c r="G36" s="248">
        <v>0</v>
      </c>
      <c r="H36" s="248">
        <v>0</v>
      </c>
      <c r="I36" s="248">
        <v>0</v>
      </c>
      <c r="J36" s="248">
        <v>0</v>
      </c>
      <c r="K36" s="248">
        <v>0</v>
      </c>
      <c r="L36" s="248">
        <v>0</v>
      </c>
      <c r="M36" s="248">
        <v>0</v>
      </c>
      <c r="N36" s="248">
        <v>0</v>
      </c>
    </row>
    <row r="37" spans="1:14" ht="16" customHeight="1" thickBot="1">
      <c r="A37" s="145" t="s">
        <v>47</v>
      </c>
      <c r="B37" s="682" t="s">
        <v>215</v>
      </c>
      <c r="C37" s="249">
        <v>0</v>
      </c>
      <c r="D37" s="249">
        <v>0</v>
      </c>
      <c r="E37" s="249">
        <v>0</v>
      </c>
      <c r="F37" s="249">
        <v>0</v>
      </c>
      <c r="G37" s="249">
        <v>0</v>
      </c>
      <c r="H37" s="249">
        <v>0</v>
      </c>
      <c r="I37" s="249">
        <v>0</v>
      </c>
      <c r="J37" s="249">
        <v>0</v>
      </c>
      <c r="K37" s="249">
        <v>0</v>
      </c>
      <c r="L37" s="249">
        <v>0</v>
      </c>
      <c r="M37" s="249">
        <v>0</v>
      </c>
      <c r="N37" s="249">
        <v>0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Hoja83">
    <tabColor theme="9" tint="0.59999389629810485"/>
  </sheetPr>
  <dimension ref="A4:P48"/>
  <sheetViews>
    <sheetView showGridLines="0" zoomScaleNormal="100" workbookViewId="0">
      <selection activeCell="H34" sqref="H34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16" ht="13" customHeight="1">
      <c r="A4" s="229" t="s">
        <v>549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2" t="s">
        <v>384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16" ht="6" customHeight="1" thickBot="1"/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16" ht="18" customHeight="1">
      <c r="A8" s="647" t="s">
        <v>87</v>
      </c>
      <c r="B8" s="675">
        <v>2.1187608326220335</v>
      </c>
      <c r="C8" s="675">
        <v>2.0590785041393085</v>
      </c>
      <c r="D8" s="675">
        <v>1.9604771245295021</v>
      </c>
      <c r="E8" s="675">
        <v>1.9866781711641661</v>
      </c>
      <c r="F8" s="675">
        <v>1.7147883387959288</v>
      </c>
      <c r="G8" s="675">
        <v>1.6518381305215162</v>
      </c>
      <c r="H8" s="675">
        <v>1.8649477428180574</v>
      </c>
      <c r="I8" s="675">
        <v>1.3610169491525423</v>
      </c>
      <c r="J8" s="675" t="s">
        <v>73</v>
      </c>
      <c r="K8" s="675">
        <v>1.3869390739236394</v>
      </c>
      <c r="L8" s="675">
        <v>2.9634045891931899</v>
      </c>
      <c r="M8" s="675">
        <v>2.1618109997888584</v>
      </c>
      <c r="N8" s="675">
        <v>2.2508020542317171</v>
      </c>
    </row>
    <row r="9" spans="1:16" ht="16" customHeight="1">
      <c r="A9" s="143" t="s">
        <v>19</v>
      </c>
      <c r="B9" s="645" t="s">
        <v>73</v>
      </c>
      <c r="C9" s="240" t="s">
        <v>73</v>
      </c>
      <c r="D9" s="240" t="s">
        <v>73</v>
      </c>
      <c r="E9" s="240" t="s">
        <v>73</v>
      </c>
      <c r="F9" s="240" t="s">
        <v>73</v>
      </c>
      <c r="G9" s="240" t="s">
        <v>73</v>
      </c>
      <c r="H9" s="240" t="s">
        <v>73</v>
      </c>
      <c r="I9" s="240" t="s">
        <v>73</v>
      </c>
      <c r="J9" s="240" t="s">
        <v>73</v>
      </c>
      <c r="K9" s="240" t="s">
        <v>73</v>
      </c>
      <c r="L9" s="240" t="s">
        <v>73</v>
      </c>
      <c r="M9" s="240" t="s">
        <v>73</v>
      </c>
      <c r="N9" s="240" t="s">
        <v>73</v>
      </c>
      <c r="O9" s="149"/>
    </row>
    <row r="10" spans="1:16" ht="16" customHeight="1">
      <c r="A10" s="143" t="s">
        <v>20</v>
      </c>
      <c r="B10" s="645" t="s">
        <v>73</v>
      </c>
      <c r="C10" s="240" t="s">
        <v>73</v>
      </c>
      <c r="D10" s="240" t="s">
        <v>73</v>
      </c>
      <c r="E10" s="240" t="s">
        <v>73</v>
      </c>
      <c r="F10" s="240" t="s">
        <v>73</v>
      </c>
      <c r="G10" s="240" t="s">
        <v>73</v>
      </c>
      <c r="H10" s="240" t="s">
        <v>73</v>
      </c>
      <c r="I10" s="240" t="s">
        <v>73</v>
      </c>
      <c r="J10" s="240" t="s">
        <v>73</v>
      </c>
      <c r="K10" s="240" t="s">
        <v>73</v>
      </c>
      <c r="L10" s="240" t="s">
        <v>73</v>
      </c>
      <c r="M10" s="240" t="s">
        <v>73</v>
      </c>
      <c r="N10" s="240" t="s">
        <v>73</v>
      </c>
    </row>
    <row r="11" spans="1:16" ht="16" customHeight="1">
      <c r="A11" s="143" t="s">
        <v>21</v>
      </c>
      <c r="B11" s="645" t="s">
        <v>73</v>
      </c>
      <c r="C11" s="240" t="s">
        <v>73</v>
      </c>
      <c r="D11" s="240" t="s">
        <v>73</v>
      </c>
      <c r="E11" s="240" t="s">
        <v>73</v>
      </c>
      <c r="F11" s="240" t="s">
        <v>73</v>
      </c>
      <c r="G11" s="240" t="s">
        <v>73</v>
      </c>
      <c r="H11" s="240" t="s">
        <v>73</v>
      </c>
      <c r="I11" s="240" t="s">
        <v>73</v>
      </c>
      <c r="J11" s="240" t="s">
        <v>73</v>
      </c>
      <c r="K11" s="240" t="s">
        <v>73</v>
      </c>
      <c r="L11" s="240" t="s">
        <v>73</v>
      </c>
      <c r="M11" s="240" t="s">
        <v>73</v>
      </c>
      <c r="N11" s="240" t="s">
        <v>73</v>
      </c>
    </row>
    <row r="12" spans="1:16" ht="16" customHeight="1">
      <c r="A12" s="121" t="s">
        <v>22</v>
      </c>
      <c r="B12" s="645" t="s">
        <v>73</v>
      </c>
      <c r="C12" s="240" t="s">
        <v>73</v>
      </c>
      <c r="D12" s="240" t="s">
        <v>73</v>
      </c>
      <c r="E12" s="240" t="s">
        <v>73</v>
      </c>
      <c r="F12" s="240" t="s">
        <v>73</v>
      </c>
      <c r="G12" s="240" t="s">
        <v>73</v>
      </c>
      <c r="H12" s="240" t="s">
        <v>73</v>
      </c>
      <c r="I12" s="240" t="s">
        <v>73</v>
      </c>
      <c r="J12" s="240" t="s">
        <v>73</v>
      </c>
      <c r="K12" s="240" t="s">
        <v>73</v>
      </c>
      <c r="L12" s="240" t="s">
        <v>73</v>
      </c>
      <c r="M12" s="240" t="s">
        <v>73</v>
      </c>
      <c r="N12" s="240" t="s">
        <v>73</v>
      </c>
    </row>
    <row r="13" spans="1:16" ht="16" customHeight="1">
      <c r="A13" s="121" t="s">
        <v>23</v>
      </c>
      <c r="B13" s="645" t="s">
        <v>73</v>
      </c>
      <c r="C13" s="240" t="s">
        <v>73</v>
      </c>
      <c r="D13" s="240" t="s">
        <v>73</v>
      </c>
      <c r="E13" s="240" t="s">
        <v>73</v>
      </c>
      <c r="F13" s="240" t="s">
        <v>73</v>
      </c>
      <c r="G13" s="240" t="s">
        <v>73</v>
      </c>
      <c r="H13" s="240" t="s">
        <v>73</v>
      </c>
      <c r="I13" s="240" t="s">
        <v>73</v>
      </c>
      <c r="J13" s="240" t="s">
        <v>73</v>
      </c>
      <c r="K13" s="240" t="s">
        <v>73</v>
      </c>
      <c r="L13" s="240" t="s">
        <v>73</v>
      </c>
      <c r="M13" s="240" t="s">
        <v>73</v>
      </c>
      <c r="N13" s="240" t="s">
        <v>73</v>
      </c>
    </row>
    <row r="14" spans="1:16" ht="16" customHeight="1">
      <c r="A14" s="119" t="s">
        <v>94</v>
      </c>
      <c r="B14" s="645" t="s">
        <v>73</v>
      </c>
      <c r="C14" s="240" t="s">
        <v>73</v>
      </c>
      <c r="D14" s="240" t="s">
        <v>73</v>
      </c>
      <c r="E14" s="240" t="s">
        <v>73</v>
      </c>
      <c r="F14" s="240" t="s">
        <v>73</v>
      </c>
      <c r="G14" s="240" t="s">
        <v>73</v>
      </c>
      <c r="H14" s="240" t="s">
        <v>73</v>
      </c>
      <c r="I14" s="240" t="s">
        <v>73</v>
      </c>
      <c r="J14" s="240" t="s">
        <v>73</v>
      </c>
      <c r="K14" s="240" t="s">
        <v>73</v>
      </c>
      <c r="L14" s="240" t="s">
        <v>73</v>
      </c>
      <c r="M14" s="240" t="s">
        <v>73</v>
      </c>
      <c r="N14" s="240" t="s">
        <v>73</v>
      </c>
    </row>
    <row r="15" spans="1:16" ht="16" customHeight="1">
      <c r="A15" s="119" t="s">
        <v>95</v>
      </c>
      <c r="B15" s="645" t="s">
        <v>73</v>
      </c>
      <c r="C15" s="240" t="s">
        <v>73</v>
      </c>
      <c r="D15" s="240" t="s">
        <v>73</v>
      </c>
      <c r="E15" s="240" t="s">
        <v>73</v>
      </c>
      <c r="F15" s="240" t="s">
        <v>73</v>
      </c>
      <c r="G15" s="240" t="s">
        <v>73</v>
      </c>
      <c r="H15" s="240" t="s">
        <v>73</v>
      </c>
      <c r="I15" s="240" t="s">
        <v>73</v>
      </c>
      <c r="J15" s="240" t="s">
        <v>73</v>
      </c>
      <c r="K15" s="240" t="s">
        <v>73</v>
      </c>
      <c r="L15" s="240" t="s">
        <v>73</v>
      </c>
      <c r="M15" s="240" t="s">
        <v>73</v>
      </c>
      <c r="N15" s="240" t="s">
        <v>73</v>
      </c>
    </row>
    <row r="16" spans="1:16" ht="16" customHeight="1">
      <c r="A16" s="119" t="s">
        <v>96</v>
      </c>
      <c r="B16" s="645" t="s">
        <v>73</v>
      </c>
      <c r="C16" s="240" t="s">
        <v>73</v>
      </c>
      <c r="D16" s="240" t="s">
        <v>73</v>
      </c>
      <c r="E16" s="240" t="s">
        <v>73</v>
      </c>
      <c r="F16" s="240" t="s">
        <v>73</v>
      </c>
      <c r="G16" s="240" t="s">
        <v>73</v>
      </c>
      <c r="H16" s="240" t="s">
        <v>73</v>
      </c>
      <c r="I16" s="240" t="s">
        <v>73</v>
      </c>
      <c r="J16" s="240" t="s">
        <v>73</v>
      </c>
      <c r="K16" s="240" t="s">
        <v>73</v>
      </c>
      <c r="L16" s="240" t="s">
        <v>73</v>
      </c>
      <c r="M16" s="240" t="s">
        <v>73</v>
      </c>
      <c r="N16" s="240" t="s">
        <v>73</v>
      </c>
    </row>
    <row r="17" spans="1:14" ht="16" customHeight="1">
      <c r="A17" s="143" t="s">
        <v>27</v>
      </c>
      <c r="B17" s="645" t="s">
        <v>73</v>
      </c>
      <c r="C17" s="240" t="s">
        <v>73</v>
      </c>
      <c r="D17" s="240" t="s">
        <v>73</v>
      </c>
      <c r="E17" s="240" t="s">
        <v>73</v>
      </c>
      <c r="F17" s="240" t="s">
        <v>73</v>
      </c>
      <c r="G17" s="240" t="s">
        <v>73</v>
      </c>
      <c r="H17" s="240" t="s">
        <v>73</v>
      </c>
      <c r="I17" s="240" t="s">
        <v>73</v>
      </c>
      <c r="J17" s="240" t="s">
        <v>73</v>
      </c>
      <c r="K17" s="240" t="s">
        <v>73</v>
      </c>
      <c r="L17" s="240" t="s">
        <v>73</v>
      </c>
      <c r="M17" s="240" t="s">
        <v>73</v>
      </c>
      <c r="N17" s="240" t="s">
        <v>73</v>
      </c>
    </row>
    <row r="18" spans="1:14" ht="16" customHeight="1">
      <c r="A18" s="121" t="s">
        <v>28</v>
      </c>
      <c r="B18" s="645" t="s">
        <v>73</v>
      </c>
      <c r="C18" s="240" t="s">
        <v>73</v>
      </c>
      <c r="D18" s="240" t="s">
        <v>73</v>
      </c>
      <c r="E18" s="240" t="s">
        <v>73</v>
      </c>
      <c r="F18" s="240" t="s">
        <v>73</v>
      </c>
      <c r="G18" s="240" t="s">
        <v>73</v>
      </c>
      <c r="H18" s="240" t="s">
        <v>73</v>
      </c>
      <c r="I18" s="240" t="s">
        <v>73</v>
      </c>
      <c r="J18" s="240" t="s">
        <v>73</v>
      </c>
      <c r="K18" s="240" t="s">
        <v>73</v>
      </c>
      <c r="L18" s="240" t="s">
        <v>73</v>
      </c>
      <c r="M18" s="240" t="s">
        <v>73</v>
      </c>
      <c r="N18" s="240" t="s">
        <v>73</v>
      </c>
    </row>
    <row r="19" spans="1:14" ht="16" customHeight="1">
      <c r="A19" s="121" t="s">
        <v>29</v>
      </c>
      <c r="B19" s="645">
        <v>1.5637323262839882</v>
      </c>
      <c r="C19" s="240" t="s">
        <v>73</v>
      </c>
      <c r="D19" s="240" t="s">
        <v>73</v>
      </c>
      <c r="E19" s="240">
        <v>1.2705882352941178</v>
      </c>
      <c r="F19" s="240">
        <v>2.1057739130434783</v>
      </c>
      <c r="G19" s="240">
        <v>1.4881612090680101</v>
      </c>
      <c r="H19" s="240">
        <v>1.6119089655172414</v>
      </c>
      <c r="I19" s="240">
        <v>1.3610169491525423</v>
      </c>
      <c r="J19" s="240" t="s">
        <v>73</v>
      </c>
      <c r="K19" s="240" t="s">
        <v>73</v>
      </c>
      <c r="L19" s="240" t="s">
        <v>73</v>
      </c>
      <c r="M19" s="240" t="s">
        <v>73</v>
      </c>
      <c r="N19" s="240" t="s">
        <v>73</v>
      </c>
    </row>
    <row r="20" spans="1:14" ht="16" customHeight="1">
      <c r="A20" s="143" t="s">
        <v>30</v>
      </c>
      <c r="B20" s="645" t="s">
        <v>73</v>
      </c>
      <c r="C20" s="240" t="s">
        <v>73</v>
      </c>
      <c r="D20" s="240" t="s">
        <v>73</v>
      </c>
      <c r="E20" s="240" t="s">
        <v>73</v>
      </c>
      <c r="F20" s="240" t="s">
        <v>73</v>
      </c>
      <c r="G20" s="240" t="s">
        <v>73</v>
      </c>
      <c r="H20" s="240" t="s">
        <v>73</v>
      </c>
      <c r="I20" s="240" t="s">
        <v>73</v>
      </c>
      <c r="J20" s="240" t="s">
        <v>73</v>
      </c>
      <c r="K20" s="240" t="s">
        <v>73</v>
      </c>
      <c r="L20" s="240" t="s">
        <v>73</v>
      </c>
      <c r="M20" s="240" t="s">
        <v>73</v>
      </c>
      <c r="N20" s="240" t="s">
        <v>73</v>
      </c>
    </row>
    <row r="21" spans="1:14" ht="16" customHeight="1">
      <c r="A21" s="143" t="s">
        <v>31</v>
      </c>
      <c r="B21" s="645" t="s">
        <v>73</v>
      </c>
      <c r="C21" s="240" t="s">
        <v>73</v>
      </c>
      <c r="D21" s="240" t="s">
        <v>73</v>
      </c>
      <c r="E21" s="240" t="s">
        <v>73</v>
      </c>
      <c r="F21" s="240" t="s">
        <v>73</v>
      </c>
      <c r="G21" s="240" t="s">
        <v>73</v>
      </c>
      <c r="H21" s="240" t="s">
        <v>73</v>
      </c>
      <c r="I21" s="240" t="s">
        <v>73</v>
      </c>
      <c r="J21" s="240" t="s">
        <v>73</v>
      </c>
      <c r="K21" s="240" t="s">
        <v>73</v>
      </c>
      <c r="L21" s="240" t="s">
        <v>73</v>
      </c>
      <c r="M21" s="240" t="s">
        <v>73</v>
      </c>
      <c r="N21" s="240" t="s">
        <v>73</v>
      </c>
    </row>
    <row r="22" spans="1:14" ht="16" customHeight="1">
      <c r="A22" s="143" t="s">
        <v>32</v>
      </c>
      <c r="B22" s="645">
        <v>2.2255673396371076</v>
      </c>
      <c r="C22" s="240" t="s">
        <v>73</v>
      </c>
      <c r="D22" s="240" t="s">
        <v>73</v>
      </c>
      <c r="E22" s="240" t="s">
        <v>73</v>
      </c>
      <c r="F22" s="240" t="s">
        <v>73</v>
      </c>
      <c r="G22" s="240" t="s">
        <v>73</v>
      </c>
      <c r="H22" s="240" t="s">
        <v>73</v>
      </c>
      <c r="I22" s="240" t="s">
        <v>73</v>
      </c>
      <c r="J22" s="240" t="s">
        <v>73</v>
      </c>
      <c r="K22" s="240" t="s">
        <v>73</v>
      </c>
      <c r="L22" s="240">
        <v>1.8761941580756012</v>
      </c>
      <c r="M22" s="240">
        <v>1.8648574057037717</v>
      </c>
      <c r="N22" s="240">
        <v>3.0790838375108041</v>
      </c>
    </row>
    <row r="23" spans="1:14" ht="16" customHeight="1">
      <c r="A23" s="143" t="s">
        <v>33</v>
      </c>
      <c r="B23" s="645">
        <v>2.8015445605408731</v>
      </c>
      <c r="C23" s="240" t="s">
        <v>73</v>
      </c>
      <c r="D23" s="240" t="s">
        <v>73</v>
      </c>
      <c r="E23" s="240" t="s">
        <v>73</v>
      </c>
      <c r="F23" s="240" t="s">
        <v>73</v>
      </c>
      <c r="G23" s="240" t="s">
        <v>73</v>
      </c>
      <c r="H23" s="240" t="s">
        <v>73</v>
      </c>
      <c r="I23" s="240" t="s">
        <v>73</v>
      </c>
      <c r="J23" s="240" t="s">
        <v>73</v>
      </c>
      <c r="K23" s="240" t="s">
        <v>73</v>
      </c>
      <c r="L23" s="240">
        <v>3.0806365827223465</v>
      </c>
      <c r="M23" s="240">
        <v>3.0403421141464024</v>
      </c>
      <c r="N23" s="240">
        <v>2.2978165694282384</v>
      </c>
    </row>
    <row r="24" spans="1:14" ht="16" customHeight="1">
      <c r="A24" s="143" t="s">
        <v>34</v>
      </c>
      <c r="B24" s="645">
        <v>1.8356562654779593</v>
      </c>
      <c r="C24" s="240" t="s">
        <v>73</v>
      </c>
      <c r="D24" s="240">
        <v>1.7903068540292513</v>
      </c>
      <c r="E24" s="240">
        <v>1.7705882352941176</v>
      </c>
      <c r="F24" s="240">
        <v>1.7903846153846152</v>
      </c>
      <c r="G24" s="240">
        <v>1.9523672883787662</v>
      </c>
      <c r="H24" s="240">
        <v>1.9693675889328062</v>
      </c>
      <c r="I24" s="240" t="s">
        <v>73</v>
      </c>
      <c r="J24" s="240" t="s">
        <v>73</v>
      </c>
      <c r="K24" s="240" t="s">
        <v>73</v>
      </c>
      <c r="L24" s="240" t="s">
        <v>73</v>
      </c>
      <c r="M24" s="240">
        <v>1.4</v>
      </c>
      <c r="N24" s="240">
        <v>1.7887442922374428</v>
      </c>
    </row>
    <row r="25" spans="1:14" ht="16" customHeight="1">
      <c r="A25" s="121" t="s">
        <v>35</v>
      </c>
      <c r="B25" s="645">
        <v>2.1214288932695018</v>
      </c>
      <c r="C25" s="240">
        <v>2.1144666666666665</v>
      </c>
      <c r="D25" s="240">
        <v>2.1294384597753839</v>
      </c>
      <c r="E25" s="240">
        <v>2.1275371583826113</v>
      </c>
      <c r="F25" s="240" t="s">
        <v>73</v>
      </c>
      <c r="G25" s="240" t="s">
        <v>73</v>
      </c>
      <c r="H25" s="240" t="s">
        <v>73</v>
      </c>
      <c r="I25" s="240" t="s">
        <v>73</v>
      </c>
      <c r="J25" s="240" t="s">
        <v>73</v>
      </c>
      <c r="K25" s="240" t="s">
        <v>73</v>
      </c>
      <c r="L25" s="240" t="s">
        <v>73</v>
      </c>
      <c r="M25" s="240" t="s">
        <v>73</v>
      </c>
      <c r="N25" s="240">
        <v>2.1064633730834754</v>
      </c>
    </row>
    <row r="26" spans="1:14" ht="16" customHeight="1">
      <c r="A26" s="143" t="s">
        <v>36</v>
      </c>
      <c r="B26" s="645">
        <v>1.9299408284023669</v>
      </c>
      <c r="C26" s="240" t="s">
        <v>73</v>
      </c>
      <c r="D26" s="240" t="s">
        <v>73</v>
      </c>
      <c r="E26" s="240" t="s">
        <v>73</v>
      </c>
      <c r="F26" s="240" t="s">
        <v>73</v>
      </c>
      <c r="G26" s="240" t="s">
        <v>73</v>
      </c>
      <c r="H26" s="240" t="s">
        <v>73</v>
      </c>
      <c r="I26" s="240" t="s">
        <v>73</v>
      </c>
      <c r="J26" s="240" t="s">
        <v>73</v>
      </c>
      <c r="K26" s="240">
        <v>2.313178294573643</v>
      </c>
      <c r="L26" s="240">
        <v>2.1605042016806721</v>
      </c>
      <c r="M26" s="240">
        <v>2.1455437448896157</v>
      </c>
      <c r="N26" s="240">
        <v>1.7086614173228347</v>
      </c>
    </row>
    <row r="27" spans="1:14" ht="16" customHeight="1">
      <c r="A27" s="143" t="s">
        <v>37</v>
      </c>
      <c r="B27" s="645" t="s">
        <v>73</v>
      </c>
      <c r="C27" s="240" t="s">
        <v>73</v>
      </c>
      <c r="D27" s="240" t="s">
        <v>73</v>
      </c>
      <c r="E27" s="240" t="s">
        <v>73</v>
      </c>
      <c r="F27" s="240" t="s">
        <v>73</v>
      </c>
      <c r="G27" s="240" t="s">
        <v>73</v>
      </c>
      <c r="H27" s="240" t="s">
        <v>73</v>
      </c>
      <c r="I27" s="240" t="s">
        <v>73</v>
      </c>
      <c r="J27" s="240" t="s">
        <v>73</v>
      </c>
      <c r="K27" s="240" t="s">
        <v>73</v>
      </c>
      <c r="L27" s="240" t="s">
        <v>73</v>
      </c>
      <c r="M27" s="240" t="s">
        <v>73</v>
      </c>
      <c r="N27" s="240" t="s">
        <v>73</v>
      </c>
    </row>
    <row r="28" spans="1:14" ht="16" customHeight="1">
      <c r="A28" s="143" t="s">
        <v>38</v>
      </c>
      <c r="B28" s="645">
        <v>1.6134209616049811</v>
      </c>
      <c r="C28" s="240" t="s">
        <v>73</v>
      </c>
      <c r="D28" s="240" t="s">
        <v>73</v>
      </c>
      <c r="E28" s="240">
        <v>1.6692634560906516</v>
      </c>
      <c r="F28" s="240">
        <v>1.6585365853658536</v>
      </c>
      <c r="G28" s="240">
        <v>1.5662091812588737</v>
      </c>
      <c r="H28" s="240">
        <v>1.6631250000000002</v>
      </c>
      <c r="I28" s="240" t="s">
        <v>73</v>
      </c>
      <c r="J28" s="240" t="s">
        <v>73</v>
      </c>
      <c r="K28" s="240" t="s">
        <v>73</v>
      </c>
      <c r="L28" s="240" t="s">
        <v>73</v>
      </c>
      <c r="M28" s="240" t="s">
        <v>73</v>
      </c>
      <c r="N28" s="240">
        <v>1.5409523809523809</v>
      </c>
    </row>
    <row r="29" spans="1:14" ht="16" customHeight="1">
      <c r="A29" s="121" t="s">
        <v>39</v>
      </c>
      <c r="B29" s="645">
        <v>1.769848376313276</v>
      </c>
      <c r="C29" s="240">
        <v>1.7483422797600252</v>
      </c>
      <c r="D29" s="240">
        <v>1.837994722955145</v>
      </c>
      <c r="E29" s="240">
        <v>1.8702753149790015</v>
      </c>
      <c r="F29" s="240">
        <v>1.72327947336924</v>
      </c>
      <c r="G29" s="240">
        <v>1.7725165562913907</v>
      </c>
      <c r="H29" s="240" t="s">
        <v>73</v>
      </c>
      <c r="I29" s="240" t="s">
        <v>73</v>
      </c>
      <c r="J29" s="240" t="s">
        <v>73</v>
      </c>
      <c r="K29" s="240" t="s">
        <v>73</v>
      </c>
      <c r="L29" s="240" t="s">
        <v>73</v>
      </c>
      <c r="M29" s="240">
        <v>1.561942517343905</v>
      </c>
      <c r="N29" s="240">
        <v>1.6159420289855073</v>
      </c>
    </row>
    <row r="30" spans="1:14" ht="16" customHeight="1">
      <c r="A30" s="119" t="s">
        <v>97</v>
      </c>
      <c r="B30" s="645">
        <v>1.7165892941733771</v>
      </c>
      <c r="C30" s="240">
        <v>1.5890243902439023</v>
      </c>
      <c r="D30" s="240">
        <v>1.7512594458438289</v>
      </c>
      <c r="E30" s="240">
        <v>1.8696307460437074</v>
      </c>
      <c r="F30" s="240">
        <v>1.7321956022317033</v>
      </c>
      <c r="G30" s="240">
        <v>1.8694444444444445</v>
      </c>
      <c r="H30" s="240" t="s">
        <v>73</v>
      </c>
      <c r="I30" s="240" t="s">
        <v>73</v>
      </c>
      <c r="J30" s="240" t="s">
        <v>73</v>
      </c>
      <c r="K30" s="240" t="s">
        <v>73</v>
      </c>
      <c r="L30" s="240" t="s">
        <v>73</v>
      </c>
      <c r="M30" s="240">
        <v>1.561942517343905</v>
      </c>
      <c r="N30" s="240">
        <v>1.6159420289855073</v>
      </c>
    </row>
    <row r="31" spans="1:14" ht="16" customHeight="1">
      <c r="A31" s="119" t="s">
        <v>98</v>
      </c>
      <c r="B31" s="645">
        <v>1.8605615620461511</v>
      </c>
      <c r="C31" s="240">
        <v>1.804005112910098</v>
      </c>
      <c r="D31" s="240">
        <v>1.9477879633320045</v>
      </c>
      <c r="E31" s="240">
        <v>1.8713235294117647</v>
      </c>
      <c r="F31" s="240">
        <v>1.6311864406779661</v>
      </c>
      <c r="G31" s="240">
        <v>1.7421739130434784</v>
      </c>
      <c r="H31" s="240" t="s">
        <v>73</v>
      </c>
      <c r="I31" s="240" t="s">
        <v>73</v>
      </c>
      <c r="J31" s="240" t="s">
        <v>73</v>
      </c>
      <c r="K31" s="240" t="s">
        <v>73</v>
      </c>
      <c r="L31" s="240" t="s">
        <v>73</v>
      </c>
      <c r="M31" s="240" t="s">
        <v>73</v>
      </c>
      <c r="N31" s="240" t="s">
        <v>73</v>
      </c>
    </row>
    <row r="32" spans="1:14" ht="16" customHeight="1">
      <c r="A32" s="143" t="s">
        <v>42</v>
      </c>
      <c r="B32" s="645">
        <v>1.9933908355795151</v>
      </c>
      <c r="C32" s="240">
        <v>2.1331296807252658</v>
      </c>
      <c r="D32" s="240">
        <v>1.4383680555555556</v>
      </c>
      <c r="E32" s="240">
        <v>1.5058823529411764</v>
      </c>
      <c r="F32" s="240" t="s">
        <v>73</v>
      </c>
      <c r="G32" s="240" t="s">
        <v>73</v>
      </c>
      <c r="H32" s="240" t="s">
        <v>73</v>
      </c>
      <c r="I32" s="240" t="s">
        <v>73</v>
      </c>
      <c r="J32" s="240" t="s">
        <v>73</v>
      </c>
      <c r="K32" s="240" t="s">
        <v>73</v>
      </c>
      <c r="L32" s="240" t="s">
        <v>73</v>
      </c>
      <c r="M32" s="240" t="s">
        <v>73</v>
      </c>
      <c r="N32" s="240">
        <v>1.9351701782820094</v>
      </c>
    </row>
    <row r="33" spans="1:14" ht="16" customHeight="1">
      <c r="A33" s="143" t="s">
        <v>43</v>
      </c>
      <c r="B33" s="645">
        <v>2.05844326694683</v>
      </c>
      <c r="C33" s="240" t="s">
        <v>73</v>
      </c>
      <c r="D33" s="240">
        <v>2.0035558282208594</v>
      </c>
      <c r="E33" s="240">
        <v>2.0001299013711806</v>
      </c>
      <c r="F33" s="240" t="s">
        <v>73</v>
      </c>
      <c r="G33" s="240" t="s">
        <v>73</v>
      </c>
      <c r="H33" s="240" t="s">
        <v>73</v>
      </c>
      <c r="I33" s="240" t="s">
        <v>73</v>
      </c>
      <c r="J33" s="240" t="s">
        <v>73</v>
      </c>
      <c r="K33" s="240" t="s">
        <v>73</v>
      </c>
      <c r="L33" s="240" t="s">
        <v>73</v>
      </c>
      <c r="M33" s="240">
        <v>2.0617435086551268</v>
      </c>
      <c r="N33" s="240">
        <v>2.317822384428224</v>
      </c>
    </row>
    <row r="34" spans="1:14" ht="16" customHeight="1">
      <c r="A34" s="121" t="s">
        <v>44</v>
      </c>
      <c r="B34" s="645" t="s">
        <v>73</v>
      </c>
      <c r="C34" s="240" t="s">
        <v>73</v>
      </c>
      <c r="D34" s="240" t="s">
        <v>73</v>
      </c>
      <c r="E34" s="240" t="s">
        <v>73</v>
      </c>
      <c r="F34" s="240" t="s">
        <v>73</v>
      </c>
      <c r="G34" s="240" t="s">
        <v>73</v>
      </c>
      <c r="H34" s="240" t="s">
        <v>73</v>
      </c>
      <c r="I34" s="240" t="s">
        <v>73</v>
      </c>
      <c r="J34" s="240" t="s">
        <v>73</v>
      </c>
      <c r="K34" s="240" t="s">
        <v>73</v>
      </c>
      <c r="L34" s="240" t="s">
        <v>73</v>
      </c>
      <c r="M34" s="240" t="s">
        <v>73</v>
      </c>
      <c r="N34" s="240" t="s">
        <v>73</v>
      </c>
    </row>
    <row r="35" spans="1:14" ht="16" customHeight="1">
      <c r="A35" s="121" t="s">
        <v>45</v>
      </c>
      <c r="B35" s="645" t="s">
        <v>73</v>
      </c>
      <c r="C35" s="240" t="s">
        <v>73</v>
      </c>
      <c r="D35" s="240" t="s">
        <v>73</v>
      </c>
      <c r="E35" s="240" t="s">
        <v>73</v>
      </c>
      <c r="F35" s="240" t="s">
        <v>73</v>
      </c>
      <c r="G35" s="240" t="s">
        <v>73</v>
      </c>
      <c r="H35" s="240" t="s">
        <v>73</v>
      </c>
      <c r="I35" s="240" t="s">
        <v>73</v>
      </c>
      <c r="J35" s="240" t="s">
        <v>73</v>
      </c>
      <c r="K35" s="240" t="s">
        <v>73</v>
      </c>
      <c r="L35" s="240" t="s">
        <v>73</v>
      </c>
      <c r="M35" s="240" t="s">
        <v>73</v>
      </c>
      <c r="N35" s="240" t="s">
        <v>73</v>
      </c>
    </row>
    <row r="36" spans="1:14" ht="16" customHeight="1">
      <c r="A36" s="121" t="s">
        <v>46</v>
      </c>
      <c r="B36" s="645" t="s">
        <v>73</v>
      </c>
      <c r="C36" s="240" t="s">
        <v>73</v>
      </c>
      <c r="D36" s="240" t="s">
        <v>73</v>
      </c>
      <c r="E36" s="240" t="s">
        <v>73</v>
      </c>
      <c r="F36" s="240" t="s">
        <v>73</v>
      </c>
      <c r="G36" s="240" t="s">
        <v>73</v>
      </c>
      <c r="H36" s="240" t="s">
        <v>73</v>
      </c>
      <c r="I36" s="240" t="s">
        <v>73</v>
      </c>
      <c r="J36" s="240" t="s">
        <v>73</v>
      </c>
      <c r="K36" s="240" t="s">
        <v>73</v>
      </c>
      <c r="L36" s="240" t="s">
        <v>73</v>
      </c>
      <c r="M36" s="240" t="s">
        <v>73</v>
      </c>
      <c r="N36" s="240" t="s">
        <v>73</v>
      </c>
    </row>
    <row r="37" spans="1:14" ht="16" customHeight="1" thickBot="1">
      <c r="A37" s="145" t="s">
        <v>47</v>
      </c>
      <c r="B37" s="646" t="s">
        <v>73</v>
      </c>
      <c r="C37" s="241" t="s">
        <v>73</v>
      </c>
      <c r="D37" s="241" t="s">
        <v>73</v>
      </c>
      <c r="E37" s="241" t="s">
        <v>73</v>
      </c>
      <c r="F37" s="241" t="s">
        <v>73</v>
      </c>
      <c r="G37" s="241" t="s">
        <v>73</v>
      </c>
      <c r="H37" s="241" t="s">
        <v>73</v>
      </c>
      <c r="I37" s="241" t="s">
        <v>73</v>
      </c>
      <c r="J37" s="241" t="s">
        <v>73</v>
      </c>
      <c r="K37" s="241" t="s">
        <v>73</v>
      </c>
      <c r="L37" s="241" t="s">
        <v>73</v>
      </c>
      <c r="M37" s="241" t="s">
        <v>73</v>
      </c>
      <c r="N37" s="241" t="s">
        <v>73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Hoja84">
    <tabColor theme="9" tint="0.59999389629810485"/>
  </sheetPr>
  <dimension ref="A4:AB48"/>
  <sheetViews>
    <sheetView showGridLines="0" zoomScaleNormal="100" workbookViewId="0">
      <selection activeCell="N25" sqref="N25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28" ht="13" customHeight="1">
      <c r="A4" s="229" t="s">
        <v>548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28" ht="12" customHeight="1">
      <c r="A5" s="233" t="s">
        <v>211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2"/>
      <c r="P5" s="842"/>
    </row>
    <row r="6" spans="1:28" ht="6" customHeight="1" thickBot="1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spans="1:28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28" ht="18" customHeight="1">
      <c r="A8" s="647" t="s">
        <v>87</v>
      </c>
      <c r="B8" s="664">
        <f t="shared" ref="B8" si="0">SUM(C8:N8)</f>
        <v>4238563</v>
      </c>
      <c r="C8" s="648">
        <f t="shared" ref="C8" si="1">(C9+C10+C11+C12+C13+C17+C18+C19+C20+C21+C22+C23+C24+C25+C26+C27+C28+C29+C32+C33+C34+C35+C36+C37)</f>
        <v>422925</v>
      </c>
      <c r="D8" s="648">
        <f t="shared" ref="D8" si="2">(D9+D10+D11+D12+D13+D17+D18+D19+D20+D21+D22+D23+D24+D25+D26+D27+D28+D29+D32+D33+D34+D35+D36+D37)</f>
        <v>1419946.4</v>
      </c>
      <c r="E8" s="648">
        <f t="shared" ref="E8" si="3">(E9+E10+E11+E12+E13+E17+E18+E19+E20+E21+E22+E23+E24+E25+E26+E27+E28+E29+E32+E33+E34+E35+E36+E37)</f>
        <v>1128276</v>
      </c>
      <c r="F8" s="648">
        <f t="shared" ref="F8" si="4">(F9+F10+F11+F12+F13+F17+F18+F19+F20+F21+F22+F23+F24+F25+F26+F27+F28+F29+F32+F33+F34+F35+F36+F37)</f>
        <v>211267</v>
      </c>
      <c r="G8" s="648">
        <f t="shared" ref="G8" si="5">(G9+G10+G11+G12+G13+G17+G18+G19+G20+G21+G22+G23+G24+G25+G26+G27+G28+G29+G32+G33+G34+G35+G36+G37)</f>
        <v>174602</v>
      </c>
      <c r="H8" s="648">
        <f t="shared" ref="H8" si="6">(H9+H10+H11+H12+H13+H17+H18+H19+H20+H21+H22+H23+H24+H25+H26+H27+H28+H29+H32+H33+H34+H35+H36+H37)</f>
        <v>117391</v>
      </c>
      <c r="I8" s="648">
        <f t="shared" ref="I8" si="7">(I9+I10+I11+I12+I13+I17+I18+I19+I20+I21+I22+I23+I24+I25+I26+I27+I28+I29+I32+I33+I34+I35+I36+I37)</f>
        <v>102539</v>
      </c>
      <c r="J8" s="648">
        <f t="shared" ref="J8" si="8">(J9+J10+J11+J12+J13+J17+J18+J19+J20+J21+J22+J23+J24+J25+J26+J27+J28+J29+J32+J33+J34+J35+J36+J37)</f>
        <v>61196</v>
      </c>
      <c r="K8" s="648">
        <f t="shared" ref="K8" si="9">(K9+K10+K11+K12+K13+K17+K18+K19+K20+K21+K22+K23+K24+K25+K26+K27+K28+K29+K32+K33+K34+K35+K36+K37)</f>
        <v>60436.6</v>
      </c>
      <c r="L8" s="648">
        <f t="shared" ref="L8" si="10">(L9+L10+L11+L12+L13+L17+L18+L19+L20+L21+L22+L23+L24+L25+L26+L27+L28+L29+L32+L33+L34+L35+L36+L37)</f>
        <v>11542</v>
      </c>
      <c r="M8" s="648">
        <f t="shared" ref="M8" si="11">(M9+M10+M11+M12+M13+M17+M18+M19+M20+M21+M22+M23+M24+M25+M26+M27+M28+M29+M32+M33+M34+M35+M36+M37)</f>
        <v>335177</v>
      </c>
      <c r="N8" s="648">
        <f t="shared" ref="N8" si="12">(N9+N10+N11+N12+N13+N17+N18+N19+N20+N21+N22+N23+N24+N25+N26+N27+N28+N29+N32+N33+N34+N35+N36+N37)</f>
        <v>193265</v>
      </c>
    </row>
    <row r="9" spans="1:28" ht="16" customHeight="1">
      <c r="A9" s="143" t="s">
        <v>19</v>
      </c>
      <c r="B9" s="671" t="s">
        <v>217</v>
      </c>
      <c r="C9" s="238">
        <v>0</v>
      </c>
      <c r="D9" s="238">
        <v>0</v>
      </c>
      <c r="E9" s="238">
        <v>0</v>
      </c>
      <c r="F9" s="238">
        <v>0</v>
      </c>
      <c r="G9" s="238">
        <v>0</v>
      </c>
      <c r="H9" s="238">
        <v>0</v>
      </c>
      <c r="I9" s="238">
        <v>0</v>
      </c>
      <c r="J9" s="238">
        <v>0</v>
      </c>
      <c r="K9" s="238">
        <v>0</v>
      </c>
      <c r="L9" s="238">
        <v>0</v>
      </c>
      <c r="M9" s="238">
        <v>0</v>
      </c>
      <c r="N9" s="238">
        <v>0</v>
      </c>
      <c r="O9" s="149"/>
    </row>
    <row r="10" spans="1:28" ht="16" customHeight="1">
      <c r="A10" s="143" t="s">
        <v>20</v>
      </c>
      <c r="B10" s="666">
        <f>SUM(C10:N10)</f>
        <v>22044</v>
      </c>
      <c r="C10" s="238">
        <v>0</v>
      </c>
      <c r="D10" s="238">
        <v>0</v>
      </c>
      <c r="E10" s="238">
        <v>0</v>
      </c>
      <c r="F10" s="238">
        <v>3619</v>
      </c>
      <c r="G10" s="238">
        <v>5609</v>
      </c>
      <c r="H10" s="238">
        <v>0</v>
      </c>
      <c r="I10" s="238">
        <v>0</v>
      </c>
      <c r="J10" s="238">
        <v>0</v>
      </c>
      <c r="K10" s="238">
        <v>0</v>
      </c>
      <c r="L10" s="238">
        <v>0</v>
      </c>
      <c r="M10" s="238">
        <v>3010</v>
      </c>
      <c r="N10" s="238">
        <v>9806</v>
      </c>
    </row>
    <row r="11" spans="1:28" ht="16" customHeight="1">
      <c r="A11" s="143" t="s">
        <v>21</v>
      </c>
      <c r="B11" s="671" t="s">
        <v>217</v>
      </c>
      <c r="C11" s="238">
        <v>0</v>
      </c>
      <c r="D11" s="238">
        <v>0</v>
      </c>
      <c r="E11" s="238">
        <v>0</v>
      </c>
      <c r="F11" s="238">
        <v>0</v>
      </c>
      <c r="G11" s="238">
        <v>0</v>
      </c>
      <c r="H11" s="238">
        <v>0</v>
      </c>
      <c r="I11" s="238">
        <v>0</v>
      </c>
      <c r="J11" s="238">
        <v>0</v>
      </c>
      <c r="K11" s="238">
        <v>0</v>
      </c>
      <c r="L11" s="238">
        <v>0</v>
      </c>
      <c r="M11" s="238">
        <v>0</v>
      </c>
      <c r="N11" s="238">
        <v>0</v>
      </c>
    </row>
    <row r="12" spans="1:28" ht="16" customHeight="1">
      <c r="A12" s="121" t="s">
        <v>22</v>
      </c>
      <c r="B12" s="666">
        <f>SUM(C12:N12)</f>
        <v>266815</v>
      </c>
      <c r="C12" s="238">
        <v>1074</v>
      </c>
      <c r="D12" s="238">
        <v>0</v>
      </c>
      <c r="E12" s="238">
        <v>0</v>
      </c>
      <c r="F12" s="238">
        <v>321</v>
      </c>
      <c r="G12" s="238">
        <v>126704</v>
      </c>
      <c r="H12" s="238">
        <v>59724</v>
      </c>
      <c r="I12" s="238">
        <v>35414</v>
      </c>
      <c r="J12" s="238">
        <v>27195</v>
      </c>
      <c r="K12" s="238">
        <v>5709</v>
      </c>
      <c r="L12" s="238">
        <v>3723</v>
      </c>
      <c r="M12" s="238">
        <v>4533</v>
      </c>
      <c r="N12" s="238">
        <v>2418</v>
      </c>
    </row>
    <row r="13" spans="1:28" ht="16" customHeight="1">
      <c r="A13" s="121" t="s">
        <v>23</v>
      </c>
      <c r="B13" s="666">
        <f t="shared" ref="B13:B33" si="13">SUM(C13:N13)</f>
        <v>130456.6</v>
      </c>
      <c r="C13" s="238">
        <v>9008</v>
      </c>
      <c r="D13" s="238">
        <v>4876</v>
      </c>
      <c r="E13" s="238">
        <v>11039</v>
      </c>
      <c r="F13" s="238">
        <v>10038</v>
      </c>
      <c r="G13" s="238">
        <v>5383</v>
      </c>
      <c r="H13" s="238">
        <v>10890</v>
      </c>
      <c r="I13" s="238">
        <v>27279</v>
      </c>
      <c r="J13" s="238">
        <v>26353</v>
      </c>
      <c r="K13" s="238">
        <v>25590.6</v>
      </c>
      <c r="L13" s="238">
        <v>0</v>
      </c>
      <c r="M13" s="238">
        <v>0</v>
      </c>
      <c r="N13" s="238">
        <v>0</v>
      </c>
    </row>
    <row r="14" spans="1:28" ht="16" customHeight="1">
      <c r="A14" s="119" t="s">
        <v>94</v>
      </c>
      <c r="B14" s="666">
        <f t="shared" si="13"/>
        <v>103480.6</v>
      </c>
      <c r="C14" s="238">
        <v>9008</v>
      </c>
      <c r="D14" s="238">
        <v>4876</v>
      </c>
      <c r="E14" s="238">
        <v>11039</v>
      </c>
      <c r="F14" s="238">
        <v>10038</v>
      </c>
      <c r="G14" s="238">
        <v>5383</v>
      </c>
      <c r="H14" s="238">
        <v>10890</v>
      </c>
      <c r="I14" s="238">
        <v>18606</v>
      </c>
      <c r="J14" s="238">
        <v>13947</v>
      </c>
      <c r="K14" s="238">
        <v>19693.599999999999</v>
      </c>
      <c r="L14" s="238">
        <v>0</v>
      </c>
      <c r="M14" s="238">
        <v>0</v>
      </c>
      <c r="N14" s="238">
        <v>0</v>
      </c>
      <c r="P14" s="138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</row>
    <row r="15" spans="1:28" ht="16" customHeight="1">
      <c r="A15" s="119" t="s">
        <v>95</v>
      </c>
      <c r="B15" s="666">
        <f t="shared" si="13"/>
        <v>26976</v>
      </c>
      <c r="C15" s="238">
        <v>0</v>
      </c>
      <c r="D15" s="238">
        <v>0</v>
      </c>
      <c r="E15" s="238">
        <v>0</v>
      </c>
      <c r="F15" s="238">
        <v>0</v>
      </c>
      <c r="G15" s="238">
        <v>0</v>
      </c>
      <c r="H15" s="238">
        <v>0</v>
      </c>
      <c r="I15" s="238">
        <v>8673</v>
      </c>
      <c r="J15" s="238">
        <v>12406</v>
      </c>
      <c r="K15" s="238">
        <v>5897</v>
      </c>
      <c r="L15" s="238">
        <v>0</v>
      </c>
      <c r="M15" s="238">
        <v>0</v>
      </c>
      <c r="N15" s="238">
        <v>0</v>
      </c>
      <c r="P15" s="138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</row>
    <row r="16" spans="1:28" ht="16" customHeight="1">
      <c r="A16" s="119" t="s">
        <v>96</v>
      </c>
      <c r="B16" s="666">
        <f t="shared" si="13"/>
        <v>0</v>
      </c>
      <c r="C16" s="238">
        <v>0</v>
      </c>
      <c r="D16" s="238">
        <v>0</v>
      </c>
      <c r="E16" s="238">
        <v>0</v>
      </c>
      <c r="F16" s="238">
        <v>0</v>
      </c>
      <c r="G16" s="238">
        <v>0</v>
      </c>
      <c r="H16" s="238">
        <v>0</v>
      </c>
      <c r="I16" s="238">
        <v>0</v>
      </c>
      <c r="J16" s="238">
        <v>0</v>
      </c>
      <c r="K16" s="238">
        <v>0</v>
      </c>
      <c r="L16" s="238">
        <v>0</v>
      </c>
      <c r="M16" s="238">
        <v>0</v>
      </c>
      <c r="N16" s="238">
        <v>0</v>
      </c>
    </row>
    <row r="17" spans="1:27" ht="16" customHeight="1">
      <c r="A17" s="143" t="s">
        <v>27</v>
      </c>
      <c r="B17" s="666">
        <f t="shared" si="13"/>
        <v>5400</v>
      </c>
      <c r="C17" s="238">
        <v>0</v>
      </c>
      <c r="D17" s="238">
        <v>0</v>
      </c>
      <c r="E17" s="238">
        <v>0</v>
      </c>
      <c r="F17" s="238">
        <v>680</v>
      </c>
      <c r="G17" s="238">
        <v>2141</v>
      </c>
      <c r="H17" s="238">
        <v>1541</v>
      </c>
      <c r="I17" s="238">
        <v>798</v>
      </c>
      <c r="J17" s="238">
        <v>240</v>
      </c>
      <c r="K17" s="238">
        <v>0</v>
      </c>
      <c r="L17" s="238">
        <v>0</v>
      </c>
      <c r="M17" s="238">
        <v>0</v>
      </c>
      <c r="N17" s="238">
        <v>0</v>
      </c>
    </row>
    <row r="18" spans="1:27" ht="16" customHeight="1">
      <c r="A18" s="121" t="s">
        <v>28</v>
      </c>
      <c r="B18" s="666">
        <f t="shared" si="13"/>
        <v>12803</v>
      </c>
      <c r="C18" s="238">
        <v>2328</v>
      </c>
      <c r="D18" s="238">
        <v>5482</v>
      </c>
      <c r="E18" s="238">
        <v>4993</v>
      </c>
      <c r="F18" s="238">
        <v>0</v>
      </c>
      <c r="G18" s="238">
        <v>0</v>
      </c>
      <c r="H18" s="238">
        <v>0</v>
      </c>
      <c r="I18" s="238">
        <v>0</v>
      </c>
      <c r="J18" s="238">
        <v>0</v>
      </c>
      <c r="K18" s="238">
        <v>0</v>
      </c>
      <c r="L18" s="238">
        <v>0</v>
      </c>
      <c r="M18" s="238">
        <v>0</v>
      </c>
      <c r="N18" s="238">
        <v>0</v>
      </c>
    </row>
    <row r="19" spans="1:27" ht="16" customHeight="1">
      <c r="A19" s="121" t="s">
        <v>29</v>
      </c>
      <c r="B19" s="666">
        <f t="shared" si="13"/>
        <v>79776</v>
      </c>
      <c r="C19" s="238">
        <v>0</v>
      </c>
      <c r="D19" s="238">
        <v>0</v>
      </c>
      <c r="E19" s="238">
        <v>874</v>
      </c>
      <c r="F19" s="238">
        <v>9180</v>
      </c>
      <c r="G19" s="238">
        <v>8390</v>
      </c>
      <c r="H19" s="238">
        <v>26120</v>
      </c>
      <c r="I19" s="238">
        <v>29473</v>
      </c>
      <c r="J19" s="238">
        <v>5739</v>
      </c>
      <c r="K19" s="238">
        <v>0</v>
      </c>
      <c r="L19" s="238">
        <v>0</v>
      </c>
      <c r="M19" s="238">
        <v>0</v>
      </c>
      <c r="N19" s="238">
        <v>0</v>
      </c>
    </row>
    <row r="20" spans="1:27" ht="16" customHeight="1">
      <c r="A20" s="143" t="s">
        <v>30</v>
      </c>
      <c r="B20" s="666">
        <f t="shared" si="13"/>
        <v>0</v>
      </c>
      <c r="C20" s="238">
        <v>0</v>
      </c>
      <c r="D20" s="238">
        <v>0</v>
      </c>
      <c r="E20" s="238">
        <v>0</v>
      </c>
      <c r="F20" s="238">
        <v>0</v>
      </c>
      <c r="G20" s="238">
        <v>0</v>
      </c>
      <c r="H20" s="238">
        <v>0</v>
      </c>
      <c r="I20" s="238">
        <v>0</v>
      </c>
      <c r="J20" s="238">
        <v>0</v>
      </c>
      <c r="K20" s="238">
        <v>0</v>
      </c>
      <c r="L20" s="238">
        <v>0</v>
      </c>
      <c r="M20" s="238">
        <v>0</v>
      </c>
      <c r="N20" s="238">
        <v>0</v>
      </c>
    </row>
    <row r="21" spans="1:27" ht="16" customHeight="1">
      <c r="A21" s="143" t="s">
        <v>31</v>
      </c>
      <c r="B21" s="666">
        <f t="shared" si="13"/>
        <v>88872</v>
      </c>
      <c r="C21" s="238">
        <v>375</v>
      </c>
      <c r="D21" s="238">
        <v>3583</v>
      </c>
      <c r="E21" s="238">
        <v>6556</v>
      </c>
      <c r="F21" s="238">
        <v>3821</v>
      </c>
      <c r="G21" s="238">
        <v>6705</v>
      </c>
      <c r="H21" s="238">
        <v>18927</v>
      </c>
      <c r="I21" s="238">
        <v>8637</v>
      </c>
      <c r="J21" s="238">
        <v>1669</v>
      </c>
      <c r="K21" s="238">
        <v>28339</v>
      </c>
      <c r="L21" s="238">
        <v>6922</v>
      </c>
      <c r="M21" s="238">
        <v>1688</v>
      </c>
      <c r="N21" s="238">
        <v>1650</v>
      </c>
    </row>
    <row r="22" spans="1:27" ht="16" customHeight="1">
      <c r="A22" s="143" t="s">
        <v>32</v>
      </c>
      <c r="B22" s="666">
        <f t="shared" si="13"/>
        <v>416654</v>
      </c>
      <c r="C22" s="238">
        <v>172340</v>
      </c>
      <c r="D22" s="238">
        <v>181076</v>
      </c>
      <c r="E22" s="238">
        <v>63238</v>
      </c>
      <c r="F22" s="238">
        <v>0</v>
      </c>
      <c r="G22" s="238">
        <v>0</v>
      </c>
      <c r="H22" s="238">
        <v>0</v>
      </c>
      <c r="I22" s="238">
        <v>0</v>
      </c>
      <c r="J22" s="238">
        <v>0</v>
      </c>
      <c r="K22" s="238">
        <v>0</v>
      </c>
      <c r="L22" s="238">
        <v>0</v>
      </c>
      <c r="M22" s="238">
        <v>0</v>
      </c>
      <c r="N22" s="238">
        <v>0</v>
      </c>
    </row>
    <row r="23" spans="1:27" ht="16" customHeight="1">
      <c r="A23" s="143" t="s">
        <v>33</v>
      </c>
      <c r="B23" s="666">
        <f t="shared" si="13"/>
        <v>879607</v>
      </c>
      <c r="C23" s="238">
        <v>72806</v>
      </c>
      <c r="D23" s="238">
        <v>366706</v>
      </c>
      <c r="E23" s="238">
        <v>326808</v>
      </c>
      <c r="F23" s="238">
        <v>113287</v>
      </c>
      <c r="G23" s="238">
        <v>0</v>
      </c>
      <c r="H23" s="238">
        <v>0</v>
      </c>
      <c r="I23" s="238">
        <v>0</v>
      </c>
      <c r="J23" s="238">
        <v>0</v>
      </c>
      <c r="K23" s="238">
        <v>0</v>
      </c>
      <c r="L23" s="238">
        <v>0</v>
      </c>
      <c r="M23" s="238">
        <v>0</v>
      </c>
      <c r="N23" s="238">
        <v>0</v>
      </c>
    </row>
    <row r="24" spans="1:27" ht="16" customHeight="1">
      <c r="A24" s="143" t="s">
        <v>34</v>
      </c>
      <c r="B24" s="666">
        <f t="shared" si="13"/>
        <v>121496.4</v>
      </c>
      <c r="C24" s="238">
        <v>0</v>
      </c>
      <c r="D24" s="238">
        <v>105206.39999999999</v>
      </c>
      <c r="E24" s="238">
        <v>13807</v>
      </c>
      <c r="F24" s="238">
        <v>2483</v>
      </c>
      <c r="G24" s="238">
        <v>0</v>
      </c>
      <c r="H24" s="238">
        <v>0</v>
      </c>
      <c r="I24" s="238">
        <v>0</v>
      </c>
      <c r="J24" s="238">
        <v>0</v>
      </c>
      <c r="K24" s="238">
        <v>0</v>
      </c>
      <c r="L24" s="238">
        <v>0</v>
      </c>
      <c r="M24" s="238">
        <v>0</v>
      </c>
      <c r="N24" s="238">
        <v>0</v>
      </c>
    </row>
    <row r="25" spans="1:27" ht="16" customHeight="1">
      <c r="A25" s="121" t="s">
        <v>35</v>
      </c>
      <c r="B25" s="666">
        <f t="shared" si="13"/>
        <v>38312</v>
      </c>
      <c r="C25" s="238">
        <v>8322</v>
      </c>
      <c r="D25" s="238">
        <v>14455</v>
      </c>
      <c r="E25" s="238">
        <v>11524</v>
      </c>
      <c r="F25" s="238">
        <v>0</v>
      </c>
      <c r="G25" s="238">
        <v>0</v>
      </c>
      <c r="H25" s="238">
        <v>0</v>
      </c>
      <c r="I25" s="238">
        <v>0</v>
      </c>
      <c r="J25" s="238">
        <v>0</v>
      </c>
      <c r="K25" s="238">
        <v>0</v>
      </c>
      <c r="L25" s="238">
        <v>0</v>
      </c>
      <c r="M25" s="238">
        <v>0</v>
      </c>
      <c r="N25" s="238">
        <v>4011</v>
      </c>
    </row>
    <row r="26" spans="1:27" ht="16" customHeight="1">
      <c r="A26" s="143" t="s">
        <v>36</v>
      </c>
      <c r="B26" s="666">
        <f t="shared" si="13"/>
        <v>2739</v>
      </c>
      <c r="C26" s="238">
        <v>0</v>
      </c>
      <c r="D26" s="238">
        <v>0</v>
      </c>
      <c r="E26" s="238">
        <v>0</v>
      </c>
      <c r="F26" s="238">
        <v>0</v>
      </c>
      <c r="G26" s="238">
        <v>0</v>
      </c>
      <c r="H26" s="238">
        <v>0</v>
      </c>
      <c r="I26" s="238">
        <v>0</v>
      </c>
      <c r="J26" s="238">
        <v>0</v>
      </c>
      <c r="K26" s="238">
        <v>794</v>
      </c>
      <c r="L26" s="238">
        <v>896</v>
      </c>
      <c r="M26" s="238">
        <v>984</v>
      </c>
      <c r="N26" s="238">
        <v>65</v>
      </c>
    </row>
    <row r="27" spans="1:27" ht="16" customHeight="1">
      <c r="A27" s="143" t="s">
        <v>37</v>
      </c>
      <c r="B27" s="666">
        <f t="shared" si="13"/>
        <v>0</v>
      </c>
      <c r="C27" s="238">
        <v>0</v>
      </c>
      <c r="D27" s="238">
        <v>0</v>
      </c>
      <c r="E27" s="238">
        <v>0</v>
      </c>
      <c r="F27" s="238">
        <v>0</v>
      </c>
      <c r="G27" s="238">
        <v>0</v>
      </c>
      <c r="H27" s="238">
        <v>0</v>
      </c>
      <c r="I27" s="238">
        <v>0</v>
      </c>
      <c r="J27" s="238">
        <v>0</v>
      </c>
      <c r="K27" s="238">
        <v>0</v>
      </c>
      <c r="L27" s="238">
        <v>0</v>
      </c>
      <c r="M27" s="238">
        <v>0</v>
      </c>
      <c r="N27" s="238">
        <v>0</v>
      </c>
    </row>
    <row r="28" spans="1:27" ht="16" customHeight="1">
      <c r="A28" s="143" t="s">
        <v>38</v>
      </c>
      <c r="B28" s="666">
        <f t="shared" si="13"/>
        <v>113428</v>
      </c>
      <c r="C28" s="238">
        <v>618</v>
      </c>
      <c r="D28" s="238">
        <v>3108</v>
      </c>
      <c r="E28" s="238">
        <v>29873</v>
      </c>
      <c r="F28" s="238">
        <v>59047</v>
      </c>
      <c r="G28" s="238">
        <v>18067</v>
      </c>
      <c r="H28" s="238">
        <v>189</v>
      </c>
      <c r="I28" s="238">
        <v>938</v>
      </c>
      <c r="J28" s="238">
        <v>0</v>
      </c>
      <c r="K28" s="238">
        <v>4</v>
      </c>
      <c r="L28" s="238">
        <v>1</v>
      </c>
      <c r="M28" s="238">
        <v>0</v>
      </c>
      <c r="N28" s="238">
        <v>1583</v>
      </c>
    </row>
    <row r="29" spans="1:27" ht="16" customHeight="1">
      <c r="A29" s="121" t="s">
        <v>39</v>
      </c>
      <c r="B29" s="666">
        <f t="shared" si="13"/>
        <v>62924</v>
      </c>
      <c r="C29" s="238">
        <v>10415</v>
      </c>
      <c r="D29" s="238">
        <v>24577</v>
      </c>
      <c r="E29" s="238">
        <v>12736</v>
      </c>
      <c r="F29" s="238">
        <v>8791</v>
      </c>
      <c r="G29" s="238">
        <v>1603</v>
      </c>
      <c r="H29" s="238">
        <v>0</v>
      </c>
      <c r="I29" s="238">
        <v>0</v>
      </c>
      <c r="J29" s="238">
        <v>0</v>
      </c>
      <c r="K29" s="238">
        <v>0</v>
      </c>
      <c r="L29" s="238">
        <v>0</v>
      </c>
      <c r="M29" s="238">
        <v>1384</v>
      </c>
      <c r="N29" s="238">
        <v>3418</v>
      </c>
    </row>
    <row r="30" spans="1:27" ht="16" customHeight="1">
      <c r="A30" s="119" t="s">
        <v>97</v>
      </c>
      <c r="B30" s="666">
        <f t="shared" si="13"/>
        <v>51328</v>
      </c>
      <c r="C30" s="238">
        <v>7918</v>
      </c>
      <c r="D30" s="238">
        <v>19087</v>
      </c>
      <c r="E30" s="238">
        <v>9127</v>
      </c>
      <c r="F30" s="238">
        <v>8791</v>
      </c>
      <c r="G30" s="238">
        <v>1603</v>
      </c>
      <c r="H30" s="238">
        <v>0</v>
      </c>
      <c r="I30" s="238">
        <v>0</v>
      </c>
      <c r="J30" s="238">
        <v>0</v>
      </c>
      <c r="K30" s="238">
        <v>0</v>
      </c>
      <c r="L30" s="238">
        <v>0</v>
      </c>
      <c r="M30" s="238">
        <v>1384</v>
      </c>
      <c r="N30" s="238">
        <v>3418</v>
      </c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</row>
    <row r="31" spans="1:27" ht="16" customHeight="1">
      <c r="A31" s="119" t="s">
        <v>98</v>
      </c>
      <c r="B31" s="666">
        <f t="shared" si="13"/>
        <v>11596</v>
      </c>
      <c r="C31" s="238">
        <v>2497</v>
      </c>
      <c r="D31" s="238">
        <v>5490</v>
      </c>
      <c r="E31" s="238">
        <v>3609</v>
      </c>
      <c r="F31" s="238">
        <v>0</v>
      </c>
      <c r="G31" s="238">
        <v>0</v>
      </c>
      <c r="H31" s="238">
        <v>0</v>
      </c>
      <c r="I31" s="238">
        <v>0</v>
      </c>
      <c r="J31" s="238">
        <v>0</v>
      </c>
      <c r="K31" s="238">
        <v>0</v>
      </c>
      <c r="L31" s="238">
        <v>0</v>
      </c>
      <c r="M31" s="238">
        <v>0</v>
      </c>
      <c r="N31" s="238">
        <v>0</v>
      </c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</row>
    <row r="32" spans="1:27" ht="16" customHeight="1">
      <c r="A32" s="143" t="s">
        <v>42</v>
      </c>
      <c r="B32" s="666">
        <f t="shared" si="13"/>
        <v>452566</v>
      </c>
      <c r="C32" s="238">
        <v>145639</v>
      </c>
      <c r="D32" s="238">
        <v>28067</v>
      </c>
      <c r="E32" s="238">
        <v>105198</v>
      </c>
      <c r="F32" s="238">
        <v>0</v>
      </c>
      <c r="G32" s="238">
        <v>0</v>
      </c>
      <c r="H32" s="238">
        <v>0</v>
      </c>
      <c r="I32" s="238">
        <v>0</v>
      </c>
      <c r="J32" s="238">
        <v>0</v>
      </c>
      <c r="K32" s="238">
        <v>0</v>
      </c>
      <c r="L32" s="238">
        <v>0</v>
      </c>
      <c r="M32" s="238">
        <v>75618</v>
      </c>
      <c r="N32" s="238">
        <v>98044</v>
      </c>
    </row>
    <row r="33" spans="1:14" ht="16" customHeight="1">
      <c r="A33" s="143" t="s">
        <v>43</v>
      </c>
      <c r="B33" s="666">
        <f t="shared" si="13"/>
        <v>1544670</v>
      </c>
      <c r="C33" s="238">
        <v>0</v>
      </c>
      <c r="D33" s="238">
        <v>682810</v>
      </c>
      <c r="E33" s="238">
        <v>541630</v>
      </c>
      <c r="F33" s="238">
        <v>0</v>
      </c>
      <c r="G33" s="238">
        <v>0</v>
      </c>
      <c r="H33" s="238">
        <v>0</v>
      </c>
      <c r="I33" s="238">
        <v>0</v>
      </c>
      <c r="J33" s="238">
        <v>0</v>
      </c>
      <c r="K33" s="238">
        <v>0</v>
      </c>
      <c r="L33" s="238">
        <v>0</v>
      </c>
      <c r="M33" s="238">
        <v>247960</v>
      </c>
      <c r="N33" s="238">
        <v>72270</v>
      </c>
    </row>
    <row r="34" spans="1:14" ht="16" customHeight="1">
      <c r="A34" s="121" t="s">
        <v>44</v>
      </c>
      <c r="B34" s="671" t="s">
        <v>217</v>
      </c>
      <c r="C34" s="238">
        <v>0</v>
      </c>
      <c r="D34" s="238">
        <v>0</v>
      </c>
      <c r="E34" s="238">
        <v>0</v>
      </c>
      <c r="F34" s="238">
        <v>0</v>
      </c>
      <c r="G34" s="238">
        <v>0</v>
      </c>
      <c r="H34" s="238">
        <v>0</v>
      </c>
      <c r="I34" s="238">
        <v>0</v>
      </c>
      <c r="J34" s="238">
        <v>0</v>
      </c>
      <c r="K34" s="238">
        <v>0</v>
      </c>
      <c r="L34" s="238">
        <v>0</v>
      </c>
      <c r="M34" s="238">
        <v>0</v>
      </c>
      <c r="N34" s="238">
        <v>0</v>
      </c>
    </row>
    <row r="35" spans="1:14" ht="16" customHeight="1">
      <c r="A35" s="121" t="s">
        <v>45</v>
      </c>
      <c r="B35" s="671" t="s">
        <v>217</v>
      </c>
      <c r="C35" s="238">
        <v>0</v>
      </c>
      <c r="D35" s="238">
        <v>0</v>
      </c>
      <c r="E35" s="238">
        <v>0</v>
      </c>
      <c r="F35" s="238">
        <v>0</v>
      </c>
      <c r="G35" s="238">
        <v>0</v>
      </c>
      <c r="H35" s="238">
        <v>0</v>
      </c>
      <c r="I35" s="238">
        <v>0</v>
      </c>
      <c r="J35" s="238">
        <v>0</v>
      </c>
      <c r="K35" s="238">
        <v>0</v>
      </c>
      <c r="L35" s="238">
        <v>0</v>
      </c>
      <c r="M35" s="238">
        <v>0</v>
      </c>
      <c r="N35" s="238">
        <v>0</v>
      </c>
    </row>
    <row r="36" spans="1:14" ht="16" customHeight="1">
      <c r="A36" s="121" t="s">
        <v>46</v>
      </c>
      <c r="B36" s="671" t="s">
        <v>217</v>
      </c>
      <c r="C36" s="238">
        <v>0</v>
      </c>
      <c r="D36" s="238">
        <v>0</v>
      </c>
      <c r="E36" s="238">
        <v>0</v>
      </c>
      <c r="F36" s="238">
        <v>0</v>
      </c>
      <c r="G36" s="238">
        <v>0</v>
      </c>
      <c r="H36" s="238">
        <v>0</v>
      </c>
      <c r="I36" s="238">
        <v>0</v>
      </c>
      <c r="J36" s="238">
        <v>0</v>
      </c>
      <c r="K36" s="238">
        <v>0</v>
      </c>
      <c r="L36" s="238">
        <v>0</v>
      </c>
      <c r="M36" s="238">
        <v>0</v>
      </c>
      <c r="N36" s="238">
        <v>0</v>
      </c>
    </row>
    <row r="37" spans="1:14" ht="16" customHeight="1" thickBot="1">
      <c r="A37" s="145" t="s">
        <v>47</v>
      </c>
      <c r="B37" s="672" t="s">
        <v>217</v>
      </c>
      <c r="C37" s="239">
        <v>0</v>
      </c>
      <c r="D37" s="239">
        <v>0</v>
      </c>
      <c r="E37" s="239">
        <v>0</v>
      </c>
      <c r="F37" s="239">
        <v>0</v>
      </c>
      <c r="G37" s="239">
        <v>0</v>
      </c>
      <c r="H37" s="239">
        <v>0</v>
      </c>
      <c r="I37" s="239">
        <v>0</v>
      </c>
      <c r="J37" s="239">
        <v>0</v>
      </c>
      <c r="K37" s="239">
        <v>0</v>
      </c>
      <c r="L37" s="239">
        <v>0</v>
      </c>
      <c r="M37" s="239">
        <v>0</v>
      </c>
      <c r="N37" s="239">
        <v>0</v>
      </c>
    </row>
    <row r="38" spans="1:14" ht="9" customHeight="1">
      <c r="A38" s="449" t="s">
        <v>330</v>
      </c>
      <c r="B38" s="477"/>
      <c r="C38" s="477">
        <v>0</v>
      </c>
      <c r="D38" s="477">
        <v>0</v>
      </c>
      <c r="E38" s="477">
        <v>0</v>
      </c>
      <c r="F38" s="236">
        <v>0</v>
      </c>
      <c r="G38" s="138">
        <v>0</v>
      </c>
      <c r="H38" s="138">
        <v>0</v>
      </c>
      <c r="I38" s="138">
        <v>0</v>
      </c>
      <c r="J38" s="138">
        <v>0</v>
      </c>
      <c r="K38" s="138">
        <v>0</v>
      </c>
      <c r="L38" s="138">
        <v>0</v>
      </c>
      <c r="M38" s="138">
        <v>0</v>
      </c>
      <c r="N38" s="138">
        <v>0</v>
      </c>
    </row>
    <row r="39" spans="1:14" ht="9" customHeight="1">
      <c r="A39" s="449" t="s">
        <v>304</v>
      </c>
      <c r="B39" s="477"/>
      <c r="C39" s="477">
        <v>0</v>
      </c>
      <c r="D39" s="477">
        <v>0</v>
      </c>
      <c r="E39" s="477">
        <v>0</v>
      </c>
      <c r="F39" s="236">
        <v>0</v>
      </c>
      <c r="G39" s="138">
        <v>0</v>
      </c>
      <c r="H39" s="138">
        <v>0</v>
      </c>
      <c r="I39" s="138">
        <v>0</v>
      </c>
      <c r="J39" s="138">
        <v>0</v>
      </c>
      <c r="K39" s="138">
        <v>0</v>
      </c>
      <c r="L39" s="138">
        <v>0</v>
      </c>
      <c r="M39" s="138">
        <v>0</v>
      </c>
      <c r="N39" s="138">
        <v>0</v>
      </c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Hoja85">
    <tabColor theme="9" tint="0.59999389629810485"/>
  </sheetPr>
  <dimension ref="A4:AA48"/>
  <sheetViews>
    <sheetView showGridLines="0" topLeftCell="A2" zoomScaleNormal="100" workbookViewId="0">
      <selection activeCell="H35" sqref="H35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21" width="8" style="121" customWidth="1"/>
    <col min="22" max="16384" width="7" style="121"/>
  </cols>
  <sheetData>
    <row r="4" spans="1:27" ht="13" customHeight="1">
      <c r="A4" s="229" t="s">
        <v>547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27" ht="12" customHeight="1">
      <c r="A5" s="233" t="s">
        <v>210</v>
      </c>
      <c r="B5" s="226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2"/>
      <c r="P5" s="842"/>
    </row>
    <row r="6" spans="1:27" ht="6" customHeight="1" thickBot="1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spans="1:27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27" ht="18" customHeight="1">
      <c r="A8" s="647" t="s">
        <v>87</v>
      </c>
      <c r="B8" s="678">
        <f>SUM(C8:N8)</f>
        <v>8031.463572990886</v>
      </c>
      <c r="C8" s="679">
        <f t="shared" ref="C8:N8" si="0">(C9+C10+C11+C12+C13+C17+C18+C19+C20+C21+C22+C23+C24+C25+C26+C27+C28+C29+C32+C33+C34+C35+C36+C37)</f>
        <v>752.44203399088678</v>
      </c>
      <c r="D8" s="679">
        <f t="shared" si="0"/>
        <v>2581.8042725999994</v>
      </c>
      <c r="E8" s="679">
        <f t="shared" si="0"/>
        <v>2129.3690963999998</v>
      </c>
      <c r="F8" s="679">
        <f t="shared" si="0"/>
        <v>417.43905860000001</v>
      </c>
      <c r="G8" s="679">
        <f t="shared" si="0"/>
        <v>455.00918200000001</v>
      </c>
      <c r="H8" s="679">
        <f t="shared" si="0"/>
        <v>260.40440559999996</v>
      </c>
      <c r="I8" s="679">
        <f t="shared" si="0"/>
        <v>206.35578760000001</v>
      </c>
      <c r="J8" s="679">
        <f t="shared" si="0"/>
        <v>130.96311559999998</v>
      </c>
      <c r="K8" s="679">
        <f t="shared" si="0"/>
        <v>114.3210816</v>
      </c>
      <c r="L8" s="679">
        <f t="shared" si="0"/>
        <v>25.087066800000002</v>
      </c>
      <c r="M8" s="679">
        <f t="shared" si="0"/>
        <v>634.60344720000001</v>
      </c>
      <c r="N8" s="679">
        <f t="shared" si="0"/>
        <v>323.66502500000001</v>
      </c>
    </row>
    <row r="9" spans="1:27" ht="16" customHeight="1">
      <c r="A9" s="143" t="s">
        <v>19</v>
      </c>
      <c r="B9" s="680" t="s">
        <v>215</v>
      </c>
      <c r="C9" s="248">
        <v>0</v>
      </c>
      <c r="D9" s="248">
        <v>0</v>
      </c>
      <c r="E9" s="248">
        <v>0</v>
      </c>
      <c r="F9" s="248">
        <v>0</v>
      </c>
      <c r="G9" s="248">
        <v>0</v>
      </c>
      <c r="H9" s="248">
        <v>0</v>
      </c>
      <c r="I9" s="248">
        <v>0</v>
      </c>
      <c r="J9" s="248">
        <v>0</v>
      </c>
      <c r="K9" s="248">
        <v>0</v>
      </c>
      <c r="L9" s="248">
        <v>0</v>
      </c>
      <c r="M9" s="248">
        <v>0</v>
      </c>
      <c r="N9" s="248">
        <v>0</v>
      </c>
      <c r="O9" s="149"/>
    </row>
    <row r="10" spans="1:27" ht="16" customHeight="1">
      <c r="A10" s="143" t="s">
        <v>387</v>
      </c>
      <c r="B10" s="681">
        <f t="shared" ref="B10:B18" si="1">SUM(C10:N10)</f>
        <v>24.488000000000003</v>
      </c>
      <c r="C10" s="248">
        <v>0</v>
      </c>
      <c r="D10" s="248">
        <v>0</v>
      </c>
      <c r="E10" s="248">
        <v>0</v>
      </c>
      <c r="F10" s="248">
        <v>5.1561000000000003</v>
      </c>
      <c r="G10" s="248">
        <v>7.0648999999999997</v>
      </c>
      <c r="H10" s="248">
        <v>0</v>
      </c>
      <c r="I10" s="248">
        <v>0</v>
      </c>
      <c r="J10" s="248">
        <v>0</v>
      </c>
      <c r="K10" s="248">
        <v>0</v>
      </c>
      <c r="L10" s="248">
        <v>0</v>
      </c>
      <c r="M10" s="248">
        <v>4.5830000000000002</v>
      </c>
      <c r="N10" s="248">
        <v>7.6840000000000002</v>
      </c>
    </row>
    <row r="11" spans="1:27" ht="16" customHeight="1">
      <c r="A11" s="143" t="s">
        <v>21</v>
      </c>
      <c r="B11" s="680" t="s">
        <v>215</v>
      </c>
      <c r="C11" s="248">
        <v>0</v>
      </c>
      <c r="D11" s="248">
        <v>0</v>
      </c>
      <c r="E11" s="248">
        <v>0</v>
      </c>
      <c r="F11" s="248">
        <v>0</v>
      </c>
      <c r="G11" s="248">
        <v>0</v>
      </c>
      <c r="H11" s="248">
        <v>0</v>
      </c>
      <c r="I11" s="248">
        <v>0</v>
      </c>
      <c r="J11" s="248">
        <v>0</v>
      </c>
      <c r="K11" s="248">
        <v>0</v>
      </c>
      <c r="L11" s="248">
        <v>0</v>
      </c>
      <c r="M11" s="248">
        <v>0</v>
      </c>
      <c r="N11" s="248">
        <v>0</v>
      </c>
    </row>
    <row r="12" spans="1:27" ht="16" customHeight="1">
      <c r="A12" s="121" t="s">
        <v>22</v>
      </c>
      <c r="B12" s="681">
        <f t="shared" si="1"/>
        <v>808.72412999999983</v>
      </c>
      <c r="C12" s="248">
        <v>2.5239000000000003</v>
      </c>
      <c r="D12" s="248">
        <v>0</v>
      </c>
      <c r="E12" s="248">
        <v>0</v>
      </c>
      <c r="F12" s="248">
        <v>0.9123</v>
      </c>
      <c r="G12" s="248">
        <v>385.80749000000003</v>
      </c>
      <c r="H12" s="248">
        <v>180.9725</v>
      </c>
      <c r="I12" s="248">
        <v>107.47899000000001</v>
      </c>
      <c r="J12" s="248">
        <v>81.577089999999998</v>
      </c>
      <c r="K12" s="248">
        <v>17.194800000000001</v>
      </c>
      <c r="L12" s="248">
        <v>11.20233</v>
      </c>
      <c r="M12" s="248">
        <v>14.138249999999999</v>
      </c>
      <c r="N12" s="248">
        <v>6.91648</v>
      </c>
    </row>
    <row r="13" spans="1:27" ht="16" customHeight="1">
      <c r="A13" s="121" t="s">
        <v>23</v>
      </c>
      <c r="B13" s="681">
        <f t="shared" si="1"/>
        <v>206.1645</v>
      </c>
      <c r="C13" s="248">
        <v>12.539</v>
      </c>
      <c r="D13" s="248">
        <v>7.391</v>
      </c>
      <c r="E13" s="248">
        <v>17.327999999999999</v>
      </c>
      <c r="F13" s="248">
        <v>16.058</v>
      </c>
      <c r="G13" s="248">
        <v>8.4627999999999997</v>
      </c>
      <c r="H13" s="248">
        <v>17.027999999999999</v>
      </c>
      <c r="I13" s="248">
        <v>45.837000000000003</v>
      </c>
      <c r="J13" s="248">
        <v>39.706699999999998</v>
      </c>
      <c r="K13" s="248">
        <v>41.814</v>
      </c>
      <c r="L13" s="248">
        <v>0</v>
      </c>
      <c r="M13" s="248">
        <v>0</v>
      </c>
      <c r="N13" s="248">
        <v>0</v>
      </c>
    </row>
    <row r="14" spans="1:27" ht="16" customHeight="1">
      <c r="A14" s="119" t="s">
        <v>94</v>
      </c>
      <c r="B14" s="681">
        <f t="shared" si="1"/>
        <v>169.58349999999999</v>
      </c>
      <c r="C14" s="248">
        <v>12.539</v>
      </c>
      <c r="D14" s="248">
        <v>7.391</v>
      </c>
      <c r="E14" s="248">
        <v>17.327999999999999</v>
      </c>
      <c r="F14" s="248">
        <v>16.058</v>
      </c>
      <c r="G14" s="248">
        <v>8.4627999999999997</v>
      </c>
      <c r="H14" s="248">
        <v>17.027999999999999</v>
      </c>
      <c r="I14" s="248">
        <v>34.209000000000003</v>
      </c>
      <c r="J14" s="248">
        <v>22.960699999999999</v>
      </c>
      <c r="K14" s="248">
        <v>33.606999999999999</v>
      </c>
      <c r="L14" s="248">
        <v>0</v>
      </c>
      <c r="M14" s="248">
        <v>0</v>
      </c>
      <c r="N14" s="248">
        <v>0</v>
      </c>
      <c r="AA14" s="146"/>
    </row>
    <row r="15" spans="1:27" ht="16" customHeight="1">
      <c r="A15" s="119" t="s">
        <v>95</v>
      </c>
      <c r="B15" s="681">
        <f t="shared" si="1"/>
        <v>36.581000000000003</v>
      </c>
      <c r="C15" s="248">
        <v>0</v>
      </c>
      <c r="D15" s="248">
        <v>0</v>
      </c>
      <c r="E15" s="248">
        <v>0</v>
      </c>
      <c r="F15" s="248">
        <v>0</v>
      </c>
      <c r="G15" s="248">
        <v>0</v>
      </c>
      <c r="H15" s="248">
        <v>0</v>
      </c>
      <c r="I15" s="248">
        <v>11.628</v>
      </c>
      <c r="J15" s="248">
        <v>16.745999999999999</v>
      </c>
      <c r="K15" s="248">
        <v>8.2070000000000007</v>
      </c>
      <c r="L15" s="248">
        <v>0</v>
      </c>
      <c r="M15" s="248">
        <v>0</v>
      </c>
      <c r="N15" s="248">
        <v>0</v>
      </c>
      <c r="AA15" s="146"/>
    </row>
    <row r="16" spans="1:27" ht="16" customHeight="1">
      <c r="A16" s="119" t="s">
        <v>96</v>
      </c>
      <c r="B16" s="680" t="s">
        <v>215</v>
      </c>
      <c r="C16" s="248">
        <v>0</v>
      </c>
      <c r="D16" s="248">
        <v>0</v>
      </c>
      <c r="E16" s="248">
        <v>0</v>
      </c>
      <c r="F16" s="248">
        <v>0</v>
      </c>
      <c r="G16" s="248">
        <v>0</v>
      </c>
      <c r="H16" s="248">
        <v>0</v>
      </c>
      <c r="I16" s="248">
        <v>0</v>
      </c>
      <c r="J16" s="248">
        <v>0</v>
      </c>
      <c r="K16" s="248">
        <v>0</v>
      </c>
      <c r="L16" s="248">
        <v>0</v>
      </c>
      <c r="M16" s="248">
        <v>0</v>
      </c>
      <c r="N16" s="248">
        <v>0</v>
      </c>
    </row>
    <row r="17" spans="1:27" ht="16" customHeight="1">
      <c r="A17" s="143" t="s">
        <v>27</v>
      </c>
      <c r="B17" s="681">
        <f t="shared" si="1"/>
        <v>3.6548018</v>
      </c>
      <c r="C17" s="248">
        <v>0</v>
      </c>
      <c r="D17" s="248">
        <v>0</v>
      </c>
      <c r="E17" s="248">
        <v>0</v>
      </c>
      <c r="F17" s="248">
        <v>0.49638579999999999</v>
      </c>
      <c r="G17" s="248">
        <v>1.4047000000000001</v>
      </c>
      <c r="H17" s="248">
        <v>1.1708160000000001</v>
      </c>
      <c r="I17" s="248">
        <v>0.44379999999999997</v>
      </c>
      <c r="J17" s="248">
        <v>0.1391</v>
      </c>
      <c r="K17" s="248">
        <v>0</v>
      </c>
      <c r="L17" s="248">
        <v>0</v>
      </c>
      <c r="M17" s="248">
        <v>0</v>
      </c>
      <c r="N17" s="248">
        <v>0</v>
      </c>
    </row>
    <row r="18" spans="1:27" ht="16" customHeight="1">
      <c r="A18" s="121" t="s">
        <v>28</v>
      </c>
      <c r="B18" s="681">
        <f t="shared" si="1"/>
        <v>27.298468390886839</v>
      </c>
      <c r="C18" s="248">
        <v>3.7958003908868401</v>
      </c>
      <c r="D18" s="248">
        <v>11.721247999999999</v>
      </c>
      <c r="E18" s="248">
        <v>11.781420000000001</v>
      </c>
      <c r="F18" s="248">
        <v>0</v>
      </c>
      <c r="G18" s="248">
        <v>0</v>
      </c>
      <c r="H18" s="248">
        <v>0</v>
      </c>
      <c r="I18" s="248">
        <v>0</v>
      </c>
      <c r="J18" s="248">
        <v>0</v>
      </c>
      <c r="K18" s="248">
        <v>0</v>
      </c>
      <c r="L18" s="248">
        <v>0</v>
      </c>
      <c r="M18" s="248">
        <v>0</v>
      </c>
      <c r="N18" s="248">
        <v>0</v>
      </c>
    </row>
    <row r="19" spans="1:27" ht="16" customHeight="1">
      <c r="A19" s="121" t="s">
        <v>29</v>
      </c>
      <c r="B19" s="681">
        <f>SUM(C19:N19)</f>
        <v>108.8006752</v>
      </c>
      <c r="C19" s="248">
        <v>0</v>
      </c>
      <c r="D19" s="248">
        <v>0</v>
      </c>
      <c r="E19" s="248">
        <v>1.232</v>
      </c>
      <c r="F19" s="248">
        <v>15.366088</v>
      </c>
      <c r="G19" s="248">
        <v>14.91324</v>
      </c>
      <c r="H19" s="248">
        <v>31.749147199999999</v>
      </c>
      <c r="I19" s="248">
        <v>38.405999999999999</v>
      </c>
      <c r="J19" s="248">
        <v>7.1341999999999999</v>
      </c>
      <c r="K19" s="248">
        <v>0</v>
      </c>
      <c r="L19" s="248">
        <v>0</v>
      </c>
      <c r="M19" s="248">
        <v>0</v>
      </c>
      <c r="N19" s="248">
        <v>0</v>
      </c>
    </row>
    <row r="20" spans="1:27" ht="16" customHeight="1">
      <c r="A20" s="143" t="s">
        <v>30</v>
      </c>
      <c r="B20" s="680" t="s">
        <v>215</v>
      </c>
      <c r="C20" s="248">
        <v>0</v>
      </c>
      <c r="D20" s="248">
        <v>0</v>
      </c>
      <c r="E20" s="248">
        <v>0</v>
      </c>
      <c r="F20" s="248">
        <v>0</v>
      </c>
      <c r="G20" s="248">
        <v>0</v>
      </c>
      <c r="H20" s="248">
        <v>0</v>
      </c>
      <c r="I20" s="248">
        <v>0</v>
      </c>
      <c r="J20" s="248">
        <v>0</v>
      </c>
      <c r="K20" s="248">
        <v>0</v>
      </c>
      <c r="L20" s="248">
        <v>0</v>
      </c>
      <c r="M20" s="248">
        <v>0</v>
      </c>
      <c r="N20" s="248">
        <v>0</v>
      </c>
    </row>
    <row r="21" spans="1:27" ht="16" customHeight="1">
      <c r="A21" s="143" t="s">
        <v>31</v>
      </c>
      <c r="B21" s="681">
        <f t="shared" ref="B21:B33" si="2">SUM(C21:N21)</f>
        <v>150.130696</v>
      </c>
      <c r="C21" s="248">
        <v>0.6804</v>
      </c>
      <c r="D21" s="248">
        <v>5.0766912</v>
      </c>
      <c r="E21" s="248">
        <v>11.008806399999999</v>
      </c>
      <c r="F21" s="248">
        <v>5.6958552000000005</v>
      </c>
      <c r="G21" s="248">
        <v>10.634652000000001</v>
      </c>
      <c r="H21" s="248">
        <v>29.249942399999995</v>
      </c>
      <c r="I21" s="248">
        <v>13.053897600000001</v>
      </c>
      <c r="J21" s="248">
        <v>2.4060256</v>
      </c>
      <c r="K21" s="248">
        <v>54.202281599999999</v>
      </c>
      <c r="L21" s="248">
        <v>12.340396800000001</v>
      </c>
      <c r="M21" s="248">
        <v>3.1817472000000002</v>
      </c>
      <c r="N21" s="248">
        <v>2.6</v>
      </c>
    </row>
    <row r="22" spans="1:27" ht="16" customHeight="1">
      <c r="A22" s="143" t="s">
        <v>388</v>
      </c>
      <c r="B22" s="681">
        <f t="shared" si="2"/>
        <v>767.86963500000002</v>
      </c>
      <c r="C22" s="248">
        <v>335.767</v>
      </c>
      <c r="D22" s="248">
        <v>304.58616000000001</v>
      </c>
      <c r="E22" s="248">
        <v>127.516475</v>
      </c>
      <c r="F22" s="248">
        <v>0</v>
      </c>
      <c r="G22" s="248">
        <v>0</v>
      </c>
      <c r="H22" s="248">
        <v>0</v>
      </c>
      <c r="I22" s="248">
        <v>0</v>
      </c>
      <c r="J22" s="248">
        <v>0</v>
      </c>
      <c r="K22" s="248">
        <v>0</v>
      </c>
      <c r="L22" s="248">
        <v>0</v>
      </c>
      <c r="M22" s="248">
        <v>0</v>
      </c>
      <c r="N22" s="248">
        <v>0</v>
      </c>
    </row>
    <row r="23" spans="1:27" ht="16" customHeight="1">
      <c r="A23" s="143" t="s">
        <v>33</v>
      </c>
      <c r="B23" s="681">
        <f t="shared" si="2"/>
        <v>1588.5212615999992</v>
      </c>
      <c r="C23" s="248">
        <v>104.65731360000001</v>
      </c>
      <c r="D23" s="248">
        <v>589.73397839999961</v>
      </c>
      <c r="E23" s="248">
        <v>620.93303999999978</v>
      </c>
      <c r="F23" s="248">
        <v>273.19692959999998</v>
      </c>
      <c r="G23" s="248">
        <v>0</v>
      </c>
      <c r="H23" s="248">
        <v>0</v>
      </c>
      <c r="I23" s="248">
        <v>0</v>
      </c>
      <c r="J23" s="248">
        <v>0</v>
      </c>
      <c r="K23" s="248">
        <v>0</v>
      </c>
      <c r="L23" s="248">
        <v>0</v>
      </c>
      <c r="M23" s="248">
        <v>0</v>
      </c>
      <c r="N23" s="248">
        <v>0</v>
      </c>
    </row>
    <row r="24" spans="1:27" ht="16" customHeight="1">
      <c r="A24" s="143" t="s">
        <v>34</v>
      </c>
      <c r="B24" s="681">
        <f t="shared" si="2"/>
        <v>186.863</v>
      </c>
      <c r="C24" s="248">
        <v>0</v>
      </c>
      <c r="D24" s="248">
        <v>160.648</v>
      </c>
      <c r="E24" s="248">
        <v>21.806000000000001</v>
      </c>
      <c r="F24" s="248">
        <v>4.4089999999999998</v>
      </c>
      <c r="G24" s="248">
        <v>0</v>
      </c>
      <c r="H24" s="248">
        <v>0</v>
      </c>
      <c r="I24" s="248">
        <v>0</v>
      </c>
      <c r="J24" s="248">
        <v>0</v>
      </c>
      <c r="K24" s="248">
        <v>0</v>
      </c>
      <c r="L24" s="248">
        <v>0</v>
      </c>
      <c r="M24" s="248">
        <v>0</v>
      </c>
      <c r="N24" s="248">
        <v>0</v>
      </c>
    </row>
    <row r="25" spans="1:27" ht="16" customHeight="1">
      <c r="A25" s="121" t="s">
        <v>389</v>
      </c>
      <c r="B25" s="681">
        <f t="shared" si="2"/>
        <v>56.935704999999984</v>
      </c>
      <c r="C25" s="248">
        <v>12.463219999999998</v>
      </c>
      <c r="D25" s="248">
        <v>20.791694999999994</v>
      </c>
      <c r="E25" s="248">
        <v>17.544054999999997</v>
      </c>
      <c r="F25" s="248">
        <v>0</v>
      </c>
      <c r="G25" s="248">
        <v>0</v>
      </c>
      <c r="H25" s="248">
        <v>0</v>
      </c>
      <c r="I25" s="248">
        <v>0</v>
      </c>
      <c r="J25" s="248">
        <v>0</v>
      </c>
      <c r="K25" s="248">
        <v>0</v>
      </c>
      <c r="L25" s="248">
        <v>0</v>
      </c>
      <c r="M25" s="248">
        <v>0</v>
      </c>
      <c r="N25" s="248">
        <v>6.1367350000000007</v>
      </c>
    </row>
    <row r="26" spans="1:27" ht="16" customHeight="1">
      <c r="A26" s="143" t="s">
        <v>36</v>
      </c>
      <c r="B26" s="681">
        <f t="shared" si="2"/>
        <v>4.4977599999999995</v>
      </c>
      <c r="C26" s="248">
        <v>0</v>
      </c>
      <c r="D26" s="248">
        <v>0</v>
      </c>
      <c r="E26" s="248">
        <v>0</v>
      </c>
      <c r="F26" s="248">
        <v>0</v>
      </c>
      <c r="G26" s="248">
        <v>0</v>
      </c>
      <c r="H26" s="248">
        <v>0</v>
      </c>
      <c r="I26" s="248">
        <v>0</v>
      </c>
      <c r="J26" s="248">
        <v>0</v>
      </c>
      <c r="K26" s="248">
        <v>1.1056999999999999</v>
      </c>
      <c r="L26" s="248">
        <v>1.5425</v>
      </c>
      <c r="M26" s="248">
        <v>1.7542500000000001</v>
      </c>
      <c r="N26" s="248">
        <v>9.5310000000000006E-2</v>
      </c>
    </row>
    <row r="27" spans="1:27" ht="16" customHeight="1">
      <c r="A27" s="143" t="s">
        <v>37</v>
      </c>
      <c r="B27" s="681">
        <f t="shared" si="2"/>
        <v>0</v>
      </c>
      <c r="C27" s="248">
        <v>0</v>
      </c>
      <c r="D27" s="248">
        <v>0</v>
      </c>
      <c r="E27" s="248">
        <v>0</v>
      </c>
      <c r="F27" s="248">
        <v>0</v>
      </c>
      <c r="G27" s="248">
        <v>0</v>
      </c>
      <c r="H27" s="248">
        <v>0</v>
      </c>
      <c r="I27" s="248">
        <v>0</v>
      </c>
      <c r="J27" s="248">
        <v>0</v>
      </c>
      <c r="K27" s="248">
        <v>0</v>
      </c>
      <c r="L27" s="248">
        <v>0</v>
      </c>
      <c r="M27" s="248">
        <v>0</v>
      </c>
      <c r="N27" s="248">
        <v>0</v>
      </c>
    </row>
    <row r="28" spans="1:27" ht="16" customHeight="1">
      <c r="A28" s="143" t="s">
        <v>38</v>
      </c>
      <c r="B28" s="681">
        <f t="shared" si="2"/>
        <v>152.16434000000001</v>
      </c>
      <c r="C28" s="248">
        <v>0.90639999999999998</v>
      </c>
      <c r="D28" s="248">
        <v>4.4569999999999999</v>
      </c>
      <c r="E28" s="248">
        <v>39.048000000000002</v>
      </c>
      <c r="F28" s="248">
        <v>80.313999999999993</v>
      </c>
      <c r="G28" s="248">
        <v>24.018000000000001</v>
      </c>
      <c r="H28" s="248">
        <v>0.23400000000000001</v>
      </c>
      <c r="I28" s="248">
        <v>1.1361000000000001</v>
      </c>
      <c r="J28" s="248">
        <v>0</v>
      </c>
      <c r="K28" s="248">
        <v>4.3E-3</v>
      </c>
      <c r="L28" s="248">
        <v>1.8400000000000001E-3</v>
      </c>
      <c r="M28" s="248">
        <v>0</v>
      </c>
      <c r="N28" s="248">
        <v>2.0447000000000002</v>
      </c>
    </row>
    <row r="29" spans="1:27" ht="16" customHeight="1">
      <c r="A29" s="121" t="s">
        <v>390</v>
      </c>
      <c r="B29" s="681">
        <f t="shared" si="2"/>
        <v>112.44029999999999</v>
      </c>
      <c r="C29" s="248">
        <v>18.462</v>
      </c>
      <c r="D29" s="248">
        <v>44.422799999999995</v>
      </c>
      <c r="E29" s="248">
        <v>22.988999999999997</v>
      </c>
      <c r="F29" s="248">
        <v>15.8344</v>
      </c>
      <c r="G29" s="248">
        <v>2.7033999999999998</v>
      </c>
      <c r="H29" s="248">
        <v>0</v>
      </c>
      <c r="I29" s="248">
        <v>0</v>
      </c>
      <c r="J29" s="248">
        <v>0</v>
      </c>
      <c r="K29" s="248">
        <v>0</v>
      </c>
      <c r="L29" s="248">
        <v>0</v>
      </c>
      <c r="M29" s="248">
        <v>2.1640000000000001</v>
      </c>
      <c r="N29" s="248">
        <v>5.8647</v>
      </c>
    </row>
    <row r="30" spans="1:27" ht="16" customHeight="1">
      <c r="A30" s="119" t="s">
        <v>97</v>
      </c>
      <c r="B30" s="681">
        <f t="shared" si="2"/>
        <v>93.203500000000005</v>
      </c>
      <c r="C30" s="248">
        <v>14.148</v>
      </c>
      <c r="D30" s="248">
        <v>35.405999999999999</v>
      </c>
      <c r="E30" s="248">
        <v>17.082999999999998</v>
      </c>
      <c r="F30" s="248">
        <v>15.8344</v>
      </c>
      <c r="G30" s="248">
        <v>2.7033999999999998</v>
      </c>
      <c r="H30" s="248">
        <v>0</v>
      </c>
      <c r="I30" s="248">
        <v>0</v>
      </c>
      <c r="J30" s="248">
        <v>0</v>
      </c>
      <c r="K30" s="248">
        <v>0</v>
      </c>
      <c r="L30" s="248">
        <v>0</v>
      </c>
      <c r="M30" s="248">
        <v>2.1640000000000001</v>
      </c>
      <c r="N30" s="248">
        <v>5.8647</v>
      </c>
      <c r="AA30" s="146"/>
    </row>
    <row r="31" spans="1:27" ht="16" customHeight="1">
      <c r="A31" s="119" t="s">
        <v>98</v>
      </c>
      <c r="B31" s="681">
        <f t="shared" si="2"/>
        <v>19.236799999999999</v>
      </c>
      <c r="C31" s="248">
        <v>4.3140000000000001</v>
      </c>
      <c r="D31" s="248">
        <v>9.0167999999999999</v>
      </c>
      <c r="E31" s="248">
        <v>5.9059999999999997</v>
      </c>
      <c r="F31" s="248">
        <v>0</v>
      </c>
      <c r="G31" s="248">
        <v>0</v>
      </c>
      <c r="H31" s="248">
        <v>0</v>
      </c>
      <c r="I31" s="248">
        <v>0</v>
      </c>
      <c r="J31" s="248">
        <v>0</v>
      </c>
      <c r="K31" s="248">
        <v>0</v>
      </c>
      <c r="L31" s="248">
        <v>0</v>
      </c>
      <c r="M31" s="248">
        <v>0</v>
      </c>
      <c r="N31" s="248">
        <v>0</v>
      </c>
      <c r="AA31" s="146"/>
    </row>
    <row r="32" spans="1:27" ht="16" customHeight="1">
      <c r="A32" s="143" t="s">
        <v>42</v>
      </c>
      <c r="B32" s="681">
        <f t="shared" si="2"/>
        <v>720.89069999999992</v>
      </c>
      <c r="C32" s="248">
        <v>260.64699999999999</v>
      </c>
      <c r="D32" s="248">
        <v>36.508000000000003</v>
      </c>
      <c r="E32" s="248">
        <v>148.75800000000001</v>
      </c>
      <c r="F32" s="248">
        <v>0</v>
      </c>
      <c r="G32" s="248">
        <v>0</v>
      </c>
      <c r="H32" s="248">
        <v>0</v>
      </c>
      <c r="I32" s="248">
        <v>0</v>
      </c>
      <c r="J32" s="248">
        <v>0</v>
      </c>
      <c r="K32" s="248">
        <v>0</v>
      </c>
      <c r="L32" s="248">
        <v>0</v>
      </c>
      <c r="M32" s="248">
        <v>126.67</v>
      </c>
      <c r="N32" s="248">
        <v>148.30770000000001</v>
      </c>
    </row>
    <row r="33" spans="1:14" ht="16" customHeight="1">
      <c r="A33" s="143" t="s">
        <v>43</v>
      </c>
      <c r="B33" s="681">
        <f t="shared" si="2"/>
        <v>3112.0195999999996</v>
      </c>
      <c r="C33" s="248">
        <v>0</v>
      </c>
      <c r="D33" s="248">
        <v>1396.4676999999999</v>
      </c>
      <c r="E33" s="248">
        <v>1089.4242999999999</v>
      </c>
      <c r="F33" s="248">
        <v>0</v>
      </c>
      <c r="G33" s="248">
        <v>0</v>
      </c>
      <c r="H33" s="248">
        <v>0</v>
      </c>
      <c r="I33" s="248">
        <v>0</v>
      </c>
      <c r="J33" s="248">
        <v>0</v>
      </c>
      <c r="K33" s="248">
        <v>0</v>
      </c>
      <c r="L33" s="248">
        <v>0</v>
      </c>
      <c r="M33" s="248">
        <v>482.11219999999997</v>
      </c>
      <c r="N33" s="248">
        <v>144.0154</v>
      </c>
    </row>
    <row r="34" spans="1:14" ht="16" customHeight="1">
      <c r="A34" s="121" t="s">
        <v>44</v>
      </c>
      <c r="B34" s="680" t="s">
        <v>215</v>
      </c>
      <c r="C34" s="248">
        <v>0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48">
        <v>0</v>
      </c>
      <c r="J34" s="248">
        <v>0</v>
      </c>
      <c r="K34" s="248">
        <v>0</v>
      </c>
      <c r="L34" s="248">
        <v>0</v>
      </c>
      <c r="M34" s="248">
        <v>0</v>
      </c>
      <c r="N34" s="248">
        <v>0</v>
      </c>
    </row>
    <row r="35" spans="1:14" ht="16" customHeight="1">
      <c r="A35" s="121" t="s">
        <v>45</v>
      </c>
      <c r="B35" s="680" t="s">
        <v>215</v>
      </c>
      <c r="C35" s="248">
        <v>0</v>
      </c>
      <c r="D35" s="248">
        <v>0</v>
      </c>
      <c r="E35" s="248">
        <v>0</v>
      </c>
      <c r="F35" s="248">
        <v>0</v>
      </c>
      <c r="G35" s="248">
        <v>0</v>
      </c>
      <c r="H35" s="248">
        <v>0</v>
      </c>
      <c r="I35" s="248">
        <v>0</v>
      </c>
      <c r="J35" s="248">
        <v>0</v>
      </c>
      <c r="K35" s="248">
        <v>0</v>
      </c>
      <c r="L35" s="248">
        <v>0</v>
      </c>
      <c r="M35" s="248">
        <v>0</v>
      </c>
      <c r="N35" s="248">
        <v>0</v>
      </c>
    </row>
    <row r="36" spans="1:14" ht="16" customHeight="1">
      <c r="A36" s="121" t="s">
        <v>46</v>
      </c>
      <c r="B36" s="680" t="s">
        <v>215</v>
      </c>
      <c r="C36" s="248">
        <v>0</v>
      </c>
      <c r="D36" s="248">
        <v>0</v>
      </c>
      <c r="E36" s="248">
        <v>0</v>
      </c>
      <c r="F36" s="248">
        <v>0</v>
      </c>
      <c r="G36" s="248">
        <v>0</v>
      </c>
      <c r="H36" s="248">
        <v>0</v>
      </c>
      <c r="I36" s="248">
        <v>0</v>
      </c>
      <c r="J36" s="248">
        <v>0</v>
      </c>
      <c r="K36" s="248">
        <v>0</v>
      </c>
      <c r="L36" s="248">
        <v>0</v>
      </c>
      <c r="M36" s="248">
        <v>0</v>
      </c>
      <c r="N36" s="248">
        <v>0</v>
      </c>
    </row>
    <row r="37" spans="1:14" ht="16" customHeight="1" thickBot="1">
      <c r="A37" s="145" t="s">
        <v>47</v>
      </c>
      <c r="B37" s="682" t="s">
        <v>215</v>
      </c>
      <c r="C37" s="249">
        <v>0</v>
      </c>
      <c r="D37" s="249">
        <v>0</v>
      </c>
      <c r="E37" s="249">
        <v>0</v>
      </c>
      <c r="F37" s="249">
        <v>0</v>
      </c>
      <c r="G37" s="249">
        <v>0</v>
      </c>
      <c r="H37" s="249">
        <v>0</v>
      </c>
      <c r="I37" s="249">
        <v>0</v>
      </c>
      <c r="J37" s="249">
        <v>0</v>
      </c>
      <c r="K37" s="249">
        <v>0</v>
      </c>
      <c r="L37" s="249">
        <v>0</v>
      </c>
      <c r="M37" s="249">
        <v>0</v>
      </c>
      <c r="N37" s="249">
        <v>0</v>
      </c>
    </row>
    <row r="38" spans="1:14" ht="9" customHeight="1">
      <c r="A38" s="449" t="s">
        <v>391</v>
      </c>
      <c r="B38" s="477"/>
      <c r="C38" s="477"/>
      <c r="D38" s="477"/>
      <c r="E38" s="477"/>
      <c r="F38" s="236"/>
      <c r="G38" s="138"/>
      <c r="H38" s="138"/>
      <c r="I38" s="138"/>
      <c r="J38" s="138"/>
      <c r="K38" s="138"/>
      <c r="L38" s="138"/>
      <c r="M38" s="138"/>
      <c r="N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  <c r="J39" s="138"/>
      <c r="K39" s="138"/>
      <c r="L39" s="138"/>
      <c r="M39" s="138"/>
      <c r="N39" s="138"/>
    </row>
    <row r="40" spans="1:14" ht="9" customHeight="1">
      <c r="A40" s="451" t="s">
        <v>392</v>
      </c>
      <c r="B40" s="477"/>
      <c r="C40" s="477"/>
      <c r="D40" s="477"/>
      <c r="E40" s="477"/>
      <c r="F40" s="236"/>
      <c r="G40" s="138"/>
      <c r="H40" s="138"/>
      <c r="I40" s="138"/>
      <c r="J40" s="138"/>
      <c r="K40" s="138"/>
      <c r="L40" s="138"/>
      <c r="M40" s="138"/>
      <c r="N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Hoja86">
    <tabColor theme="9" tint="0.59999389629810485"/>
  </sheetPr>
  <dimension ref="A4:P48"/>
  <sheetViews>
    <sheetView showGridLines="0" zoomScaleNormal="100" workbookViewId="0">
      <selection activeCell="H14" sqref="H14"/>
    </sheetView>
  </sheetViews>
  <sheetFormatPr baseColWidth="10" defaultColWidth="7" defaultRowHeight="13.25" customHeight="1"/>
  <cols>
    <col min="1" max="2" width="12" style="121" customWidth="1"/>
    <col min="3" max="14" width="9.19921875" style="121" customWidth="1"/>
    <col min="15" max="16384" width="7" style="121"/>
  </cols>
  <sheetData>
    <row r="4" spans="1:16" ht="13" customHeight="1">
      <c r="A4" s="229" t="s">
        <v>546</v>
      </c>
      <c r="B4" s="225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</row>
    <row r="5" spans="1:16" ht="12" customHeight="1">
      <c r="A5" s="232" t="s">
        <v>349</v>
      </c>
      <c r="B5" s="225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</row>
    <row r="6" spans="1:16" ht="6" customHeight="1" thickBot="1"/>
    <row r="7" spans="1:16" ht="18" customHeight="1">
      <c r="A7" s="738" t="s">
        <v>16</v>
      </c>
      <c r="B7" s="739" t="s">
        <v>103</v>
      </c>
      <c r="C7" s="738" t="s">
        <v>53</v>
      </c>
      <c r="D7" s="738" t="s">
        <v>54</v>
      </c>
      <c r="E7" s="738" t="s">
        <v>55</v>
      </c>
      <c r="F7" s="738" t="s">
        <v>56</v>
      </c>
      <c r="G7" s="738" t="s">
        <v>57</v>
      </c>
      <c r="H7" s="738" t="s">
        <v>58</v>
      </c>
      <c r="I7" s="738" t="s">
        <v>59</v>
      </c>
      <c r="J7" s="738" t="s">
        <v>60</v>
      </c>
      <c r="K7" s="738" t="s">
        <v>61</v>
      </c>
      <c r="L7" s="738" t="s">
        <v>62</v>
      </c>
      <c r="M7" s="738" t="s">
        <v>63</v>
      </c>
      <c r="N7" s="738" t="s">
        <v>64</v>
      </c>
    </row>
    <row r="8" spans="1:16" ht="18" customHeight="1">
      <c r="A8" s="647" t="s">
        <v>87</v>
      </c>
      <c r="B8" s="675">
        <v>1.8948553019008767</v>
      </c>
      <c r="C8" s="675">
        <v>1.7791382254321375</v>
      </c>
      <c r="D8" s="675">
        <v>1.8182406551402219</v>
      </c>
      <c r="E8" s="675">
        <v>1.8872767801495376</v>
      </c>
      <c r="F8" s="675">
        <v>1.9758838749071079</v>
      </c>
      <c r="G8" s="675">
        <v>2.6059792098601391</v>
      </c>
      <c r="H8" s="675">
        <v>2.2182655024661169</v>
      </c>
      <c r="I8" s="675">
        <v>2.0124614790469972</v>
      </c>
      <c r="J8" s="675">
        <v>2.1400600627491992</v>
      </c>
      <c r="K8" s="675">
        <v>1.8915869125662264</v>
      </c>
      <c r="L8" s="675">
        <v>2.1735459019234105</v>
      </c>
      <c r="M8" s="675">
        <v>1.8933382875316624</v>
      </c>
      <c r="N8" s="675">
        <v>1.6747213670349004</v>
      </c>
    </row>
    <row r="9" spans="1:16" ht="16" customHeight="1">
      <c r="A9" s="143" t="s">
        <v>19</v>
      </c>
      <c r="B9" s="645" t="s">
        <v>73</v>
      </c>
      <c r="C9" s="240" t="s">
        <v>73</v>
      </c>
      <c r="D9" s="240" t="s">
        <v>73</v>
      </c>
      <c r="E9" s="240" t="s">
        <v>73</v>
      </c>
      <c r="F9" s="240" t="s">
        <v>73</v>
      </c>
      <c r="G9" s="240" t="s">
        <v>73</v>
      </c>
      <c r="H9" s="240" t="s">
        <v>73</v>
      </c>
      <c r="I9" s="240" t="s">
        <v>73</v>
      </c>
      <c r="J9" s="240" t="s">
        <v>73</v>
      </c>
      <c r="K9" s="240" t="s">
        <v>73</v>
      </c>
      <c r="L9" s="240" t="s">
        <v>73</v>
      </c>
      <c r="M9" s="240" t="s">
        <v>73</v>
      </c>
      <c r="N9" s="240" t="s">
        <v>73</v>
      </c>
      <c r="O9" s="149"/>
    </row>
    <row r="10" spans="1:16" ht="16" customHeight="1">
      <c r="A10" s="143" t="s">
        <v>20</v>
      </c>
      <c r="B10" s="645">
        <v>1.1108691707494105</v>
      </c>
      <c r="C10" s="240" t="s">
        <v>73</v>
      </c>
      <c r="D10" s="240" t="s">
        <v>73</v>
      </c>
      <c r="E10" s="240" t="s">
        <v>73</v>
      </c>
      <c r="F10" s="240">
        <v>1.4247305885603758</v>
      </c>
      <c r="G10" s="240">
        <v>1.2595649848457837</v>
      </c>
      <c r="H10" s="240" t="s">
        <v>73</v>
      </c>
      <c r="I10" s="240" t="s">
        <v>73</v>
      </c>
      <c r="J10" s="240" t="s">
        <v>73</v>
      </c>
      <c r="K10" s="240" t="s">
        <v>73</v>
      </c>
      <c r="L10" s="240" t="s">
        <v>73</v>
      </c>
      <c r="M10" s="240">
        <v>1.5225913621262459</v>
      </c>
      <c r="N10" s="240">
        <v>0.78360187640220269</v>
      </c>
    </row>
    <row r="11" spans="1:16" ht="16" customHeight="1">
      <c r="A11" s="143" t="s">
        <v>21</v>
      </c>
      <c r="B11" s="645" t="s">
        <v>73</v>
      </c>
      <c r="C11" s="240" t="s">
        <v>73</v>
      </c>
      <c r="D11" s="240" t="s">
        <v>73</v>
      </c>
      <c r="E11" s="240" t="s">
        <v>73</v>
      </c>
      <c r="F11" s="240" t="s">
        <v>73</v>
      </c>
      <c r="G11" s="240" t="s">
        <v>73</v>
      </c>
      <c r="H11" s="240" t="s">
        <v>73</v>
      </c>
      <c r="I11" s="240" t="s">
        <v>73</v>
      </c>
      <c r="J11" s="240" t="s">
        <v>73</v>
      </c>
      <c r="K11" s="240" t="s">
        <v>73</v>
      </c>
      <c r="L11" s="240" t="s">
        <v>73</v>
      </c>
      <c r="M11" s="240" t="s">
        <v>73</v>
      </c>
      <c r="N11" s="240" t="s">
        <v>73</v>
      </c>
    </row>
    <row r="12" spans="1:16" ht="16" customHeight="1">
      <c r="A12" s="121" t="s">
        <v>22</v>
      </c>
      <c r="B12" s="645">
        <v>3.0310294773532216</v>
      </c>
      <c r="C12" s="240">
        <v>2.35</v>
      </c>
      <c r="D12" s="240" t="s">
        <v>73</v>
      </c>
      <c r="E12" s="240" t="s">
        <v>73</v>
      </c>
      <c r="F12" s="240">
        <v>2.8420560747663552</v>
      </c>
      <c r="G12" s="240">
        <v>3.0449511459780276</v>
      </c>
      <c r="H12" s="240">
        <v>3.030147009577389</v>
      </c>
      <c r="I12" s="240">
        <v>3.034929406449427</v>
      </c>
      <c r="J12" s="240">
        <v>2.9997091377091376</v>
      </c>
      <c r="K12" s="240">
        <v>3.0118759852863901</v>
      </c>
      <c r="L12" s="240">
        <v>3.0089524576954068</v>
      </c>
      <c r="M12" s="240">
        <v>3.1189609530112508</v>
      </c>
      <c r="N12" s="240">
        <v>2.8604135649296936</v>
      </c>
    </row>
    <row r="13" spans="1:16" ht="16" customHeight="1">
      <c r="A13" s="121" t="s">
        <v>23</v>
      </c>
      <c r="B13" s="645">
        <v>1.5803301634413285</v>
      </c>
      <c r="C13" s="240">
        <v>1.3919849023090587</v>
      </c>
      <c r="D13" s="240">
        <v>1.515791632485644</v>
      </c>
      <c r="E13" s="240">
        <v>1.5697074010327021</v>
      </c>
      <c r="F13" s="240">
        <v>1.5997210599721059</v>
      </c>
      <c r="G13" s="240">
        <v>1.5721344974921048</v>
      </c>
      <c r="H13" s="240">
        <v>1.5636363636363637</v>
      </c>
      <c r="I13" s="240">
        <v>1.6803035301880569</v>
      </c>
      <c r="J13" s="240">
        <v>1.5067240921337228</v>
      </c>
      <c r="K13" s="240">
        <v>1.6339593444467893</v>
      </c>
      <c r="L13" s="240" t="s">
        <v>73</v>
      </c>
      <c r="M13" s="240" t="s">
        <v>73</v>
      </c>
      <c r="N13" s="240" t="s">
        <v>73</v>
      </c>
    </row>
    <row r="14" spans="1:16" ht="16" customHeight="1">
      <c r="A14" s="119" t="s">
        <v>94</v>
      </c>
      <c r="B14" s="645">
        <v>1.6387950978250994</v>
      </c>
      <c r="C14" s="240">
        <v>1.3919849023090587</v>
      </c>
      <c r="D14" s="240">
        <v>1.515791632485644</v>
      </c>
      <c r="E14" s="240">
        <v>1.5697074010327021</v>
      </c>
      <c r="F14" s="240">
        <v>1.5997210599721059</v>
      </c>
      <c r="G14" s="240">
        <v>1.5721344974921048</v>
      </c>
      <c r="H14" s="240">
        <v>1.5636363636363637</v>
      </c>
      <c r="I14" s="240">
        <v>1.8386004514672689</v>
      </c>
      <c r="J14" s="240">
        <v>1.6462823546282355</v>
      </c>
      <c r="K14" s="240">
        <v>1.7064934801153675</v>
      </c>
      <c r="L14" s="240" t="s">
        <v>73</v>
      </c>
      <c r="M14" s="240" t="s">
        <v>73</v>
      </c>
      <c r="N14" s="240" t="s">
        <v>73</v>
      </c>
    </row>
    <row r="15" spans="1:16" ht="16" customHeight="1">
      <c r="A15" s="119" t="s">
        <v>95</v>
      </c>
      <c r="B15" s="645">
        <v>1.3560572360616847</v>
      </c>
      <c r="C15" s="240" t="s">
        <v>73</v>
      </c>
      <c r="D15" s="240" t="s">
        <v>73</v>
      </c>
      <c r="E15" s="240" t="s">
        <v>73</v>
      </c>
      <c r="F15" s="240" t="s">
        <v>73</v>
      </c>
      <c r="G15" s="240" t="s">
        <v>73</v>
      </c>
      <c r="H15" s="240" t="s">
        <v>73</v>
      </c>
      <c r="I15" s="240">
        <v>1.3407125562089242</v>
      </c>
      <c r="J15" s="240">
        <v>1.3498307270675478</v>
      </c>
      <c r="K15" s="240">
        <v>1.3917246057317283</v>
      </c>
      <c r="L15" s="240" t="s">
        <v>73</v>
      </c>
      <c r="M15" s="240" t="s">
        <v>73</v>
      </c>
      <c r="N15" s="240" t="s">
        <v>73</v>
      </c>
    </row>
    <row r="16" spans="1:16" ht="16" customHeight="1">
      <c r="A16" s="119" t="s">
        <v>96</v>
      </c>
      <c r="B16" s="645" t="s">
        <v>73</v>
      </c>
      <c r="C16" s="240" t="s">
        <v>73</v>
      </c>
      <c r="D16" s="240" t="s">
        <v>73</v>
      </c>
      <c r="E16" s="240" t="s">
        <v>73</v>
      </c>
      <c r="F16" s="240" t="s">
        <v>73</v>
      </c>
      <c r="G16" s="240" t="s">
        <v>73</v>
      </c>
      <c r="H16" s="240" t="s">
        <v>73</v>
      </c>
      <c r="I16" s="240" t="s">
        <v>73</v>
      </c>
      <c r="J16" s="240" t="s">
        <v>73</v>
      </c>
      <c r="K16" s="240" t="s">
        <v>73</v>
      </c>
      <c r="L16" s="240" t="s">
        <v>73</v>
      </c>
      <c r="M16" s="240" t="s">
        <v>73</v>
      </c>
      <c r="N16" s="240" t="s">
        <v>73</v>
      </c>
    </row>
    <row r="17" spans="1:14" ht="16" customHeight="1">
      <c r="A17" s="143" t="s">
        <v>27</v>
      </c>
      <c r="B17" s="645">
        <v>0.67681514814814814</v>
      </c>
      <c r="C17" s="240" t="s">
        <v>73</v>
      </c>
      <c r="D17" s="240" t="s">
        <v>73</v>
      </c>
      <c r="E17" s="240" t="s">
        <v>73</v>
      </c>
      <c r="F17" s="240">
        <v>0.72997911764705881</v>
      </c>
      <c r="G17" s="240">
        <v>0.65609528257823446</v>
      </c>
      <c r="H17" s="240">
        <v>0.75977676833225183</v>
      </c>
      <c r="I17" s="240">
        <v>0.55614035087719293</v>
      </c>
      <c r="J17" s="240">
        <v>0.57958333333333334</v>
      </c>
      <c r="K17" s="240" t="s">
        <v>73</v>
      </c>
      <c r="L17" s="240" t="s">
        <v>73</v>
      </c>
      <c r="M17" s="240" t="s">
        <v>73</v>
      </c>
      <c r="N17" s="240" t="s">
        <v>73</v>
      </c>
    </row>
    <row r="18" spans="1:14" ht="16" customHeight="1">
      <c r="A18" s="121" t="s">
        <v>28</v>
      </c>
      <c r="B18" s="645">
        <v>2.1321931102778131</v>
      </c>
      <c r="C18" s="240">
        <v>1.6304984496936599</v>
      </c>
      <c r="D18" s="240">
        <v>2.1381335279095222</v>
      </c>
      <c r="E18" s="240">
        <v>2.359587422391348</v>
      </c>
      <c r="F18" s="240" t="s">
        <v>73</v>
      </c>
      <c r="G18" s="240" t="s">
        <v>73</v>
      </c>
      <c r="H18" s="240" t="s">
        <v>73</v>
      </c>
      <c r="I18" s="240" t="s">
        <v>73</v>
      </c>
      <c r="J18" s="240" t="s">
        <v>73</v>
      </c>
      <c r="K18" s="240" t="s">
        <v>73</v>
      </c>
      <c r="L18" s="240" t="s">
        <v>73</v>
      </c>
      <c r="M18" s="240" t="s">
        <v>73</v>
      </c>
      <c r="N18" s="240" t="s">
        <v>73</v>
      </c>
    </row>
    <row r="19" spans="1:14" ht="16" customHeight="1">
      <c r="A19" s="121" t="s">
        <v>29</v>
      </c>
      <c r="B19" s="645">
        <v>1.3638271560369035</v>
      </c>
      <c r="C19" s="240" t="s">
        <v>73</v>
      </c>
      <c r="D19" s="240" t="s">
        <v>73</v>
      </c>
      <c r="E19" s="240">
        <v>1.4096109839816933</v>
      </c>
      <c r="F19" s="240">
        <v>1.6738657952069715</v>
      </c>
      <c r="G19" s="240">
        <v>1.77750178784267</v>
      </c>
      <c r="H19" s="240">
        <v>1.2155109954058194</v>
      </c>
      <c r="I19" s="240">
        <v>1.3030909646116786</v>
      </c>
      <c r="J19" s="240">
        <v>1.2431085554974735</v>
      </c>
      <c r="K19" s="240" t="s">
        <v>73</v>
      </c>
      <c r="L19" s="240" t="s">
        <v>73</v>
      </c>
      <c r="M19" s="240" t="s">
        <v>73</v>
      </c>
      <c r="N19" s="240" t="s">
        <v>73</v>
      </c>
    </row>
    <row r="20" spans="1:14" ht="16" customHeight="1">
      <c r="A20" s="143" t="s">
        <v>30</v>
      </c>
      <c r="B20" s="645" t="s">
        <v>73</v>
      </c>
      <c r="C20" s="240" t="s">
        <v>73</v>
      </c>
      <c r="D20" s="240" t="s">
        <v>73</v>
      </c>
      <c r="E20" s="240" t="s">
        <v>73</v>
      </c>
      <c r="F20" s="240" t="s">
        <v>73</v>
      </c>
      <c r="G20" s="240" t="s">
        <v>73</v>
      </c>
      <c r="H20" s="240" t="s">
        <v>73</v>
      </c>
      <c r="I20" s="240" t="s">
        <v>73</v>
      </c>
      <c r="J20" s="240" t="s">
        <v>73</v>
      </c>
      <c r="K20" s="240" t="s">
        <v>73</v>
      </c>
      <c r="L20" s="240" t="s">
        <v>73</v>
      </c>
      <c r="M20" s="240" t="s">
        <v>73</v>
      </c>
      <c r="N20" s="240" t="s">
        <v>73</v>
      </c>
    </row>
    <row r="21" spans="1:14" ht="16" customHeight="1">
      <c r="A21" s="143" t="s">
        <v>31</v>
      </c>
      <c r="B21" s="645">
        <v>1.6892912953461157</v>
      </c>
      <c r="C21" s="240">
        <v>1.8144</v>
      </c>
      <c r="D21" s="240">
        <v>1.4168828356126151</v>
      </c>
      <c r="E21" s="240">
        <v>1.6791956070774863</v>
      </c>
      <c r="F21" s="240">
        <v>1.4906713425804765</v>
      </c>
      <c r="G21" s="240">
        <v>1.5860778523489933</v>
      </c>
      <c r="H21" s="240">
        <v>1.5454082738944364</v>
      </c>
      <c r="I21" s="240">
        <v>1.5113925668634944</v>
      </c>
      <c r="J21" s="240">
        <v>1.4415971240263632</v>
      </c>
      <c r="K21" s="240">
        <v>1.9126391756942729</v>
      </c>
      <c r="L21" s="240">
        <v>1.7827790811904074</v>
      </c>
      <c r="M21" s="240">
        <v>1.8849213270142182</v>
      </c>
      <c r="N21" s="240">
        <v>1.5757575757575759</v>
      </c>
    </row>
    <row r="22" spans="1:14" ht="16" customHeight="1">
      <c r="A22" s="143" t="s">
        <v>32</v>
      </c>
      <c r="B22" s="645">
        <v>1.8429431494717439</v>
      </c>
      <c r="C22" s="240">
        <v>1.948282464894975</v>
      </c>
      <c r="D22" s="240">
        <v>1.6820901720824406</v>
      </c>
      <c r="E22" s="240">
        <v>2.0164533192068061</v>
      </c>
      <c r="F22" s="240" t="s">
        <v>73</v>
      </c>
      <c r="G22" s="240" t="s">
        <v>73</v>
      </c>
      <c r="H22" s="240" t="s">
        <v>73</v>
      </c>
      <c r="I22" s="240" t="s">
        <v>73</v>
      </c>
      <c r="J22" s="240" t="s">
        <v>73</v>
      </c>
      <c r="K22" s="240" t="s">
        <v>73</v>
      </c>
      <c r="L22" s="240" t="s">
        <v>73</v>
      </c>
      <c r="M22" s="240" t="s">
        <v>73</v>
      </c>
      <c r="N22" s="240" t="s">
        <v>73</v>
      </c>
    </row>
    <row r="23" spans="1:14" ht="16" customHeight="1">
      <c r="A23" s="143" t="s">
        <v>33</v>
      </c>
      <c r="B23" s="645">
        <v>1.8059443155863917</v>
      </c>
      <c r="C23" s="240">
        <v>1.4374819877482625</v>
      </c>
      <c r="D23" s="240">
        <v>1.6081928804001013</v>
      </c>
      <c r="E23" s="240">
        <v>1.8999933906146722</v>
      </c>
      <c r="F23" s="240">
        <v>2.4115470407019339</v>
      </c>
      <c r="G23" s="240" t="s">
        <v>73</v>
      </c>
      <c r="H23" s="240" t="s">
        <v>73</v>
      </c>
      <c r="I23" s="240" t="s">
        <v>73</v>
      </c>
      <c r="J23" s="240" t="s">
        <v>73</v>
      </c>
      <c r="K23" s="240" t="s">
        <v>73</v>
      </c>
      <c r="L23" s="240" t="s">
        <v>73</v>
      </c>
      <c r="M23" s="240" t="s">
        <v>73</v>
      </c>
      <c r="N23" s="240" t="s">
        <v>73</v>
      </c>
    </row>
    <row r="24" spans="1:14" ht="16" customHeight="1">
      <c r="A24" s="143" t="s">
        <v>34</v>
      </c>
      <c r="B24" s="645">
        <v>1.5380126489344541</v>
      </c>
      <c r="C24" s="240" t="s">
        <v>73</v>
      </c>
      <c r="D24" s="240">
        <v>1.5269793472640449</v>
      </c>
      <c r="E24" s="240">
        <v>1.5793438111103064</v>
      </c>
      <c r="F24" s="240">
        <v>1.7756745871929118</v>
      </c>
      <c r="G24" s="240" t="s">
        <v>73</v>
      </c>
      <c r="H24" s="240" t="s">
        <v>73</v>
      </c>
      <c r="I24" s="240" t="s">
        <v>73</v>
      </c>
      <c r="J24" s="240" t="s">
        <v>73</v>
      </c>
      <c r="K24" s="240" t="s">
        <v>73</v>
      </c>
      <c r="L24" s="240" t="s">
        <v>73</v>
      </c>
      <c r="M24" s="240" t="s">
        <v>73</v>
      </c>
      <c r="N24" s="240" t="s">
        <v>73</v>
      </c>
    </row>
    <row r="25" spans="1:14" ht="16" customHeight="1">
      <c r="A25" s="121" t="s">
        <v>35</v>
      </c>
      <c r="B25" s="645">
        <v>1.4861063113384838</v>
      </c>
      <c r="C25" s="240">
        <v>1.4976231675078104</v>
      </c>
      <c r="D25" s="240">
        <v>1.4383739190591487</v>
      </c>
      <c r="E25" s="240">
        <v>1.5223928323498783</v>
      </c>
      <c r="F25" s="240" t="s">
        <v>73</v>
      </c>
      <c r="G25" s="240" t="s">
        <v>73</v>
      </c>
      <c r="H25" s="240" t="s">
        <v>73</v>
      </c>
      <c r="I25" s="240" t="s">
        <v>73</v>
      </c>
      <c r="J25" s="240" t="s">
        <v>73</v>
      </c>
      <c r="K25" s="240" t="s">
        <v>73</v>
      </c>
      <c r="L25" s="240" t="s">
        <v>73</v>
      </c>
      <c r="M25" s="240" t="s">
        <v>73</v>
      </c>
      <c r="N25" s="240">
        <v>1.5299763151333834</v>
      </c>
    </row>
    <row r="26" spans="1:14" ht="16" customHeight="1">
      <c r="A26" s="143" t="s">
        <v>36</v>
      </c>
      <c r="B26" s="645">
        <v>1.6421175611537056</v>
      </c>
      <c r="C26" s="240" t="s">
        <v>73</v>
      </c>
      <c r="D26" s="240" t="s">
        <v>73</v>
      </c>
      <c r="E26" s="240" t="s">
        <v>73</v>
      </c>
      <c r="F26" s="240" t="s">
        <v>73</v>
      </c>
      <c r="G26" s="240" t="s">
        <v>73</v>
      </c>
      <c r="H26" s="240" t="s">
        <v>73</v>
      </c>
      <c r="I26" s="240" t="s">
        <v>73</v>
      </c>
      <c r="J26" s="240" t="s">
        <v>73</v>
      </c>
      <c r="K26" s="240">
        <v>1.3925692695214105</v>
      </c>
      <c r="L26" s="240">
        <v>1.7215401785714286</v>
      </c>
      <c r="M26" s="240">
        <v>1.7827743902439026</v>
      </c>
      <c r="N26" s="240">
        <v>1.4663076923076923</v>
      </c>
    </row>
    <row r="27" spans="1:14" ht="16" customHeight="1">
      <c r="A27" s="143" t="s">
        <v>37</v>
      </c>
      <c r="B27" s="645" t="s">
        <v>73</v>
      </c>
      <c r="C27" s="240" t="s">
        <v>73</v>
      </c>
      <c r="D27" s="240" t="s">
        <v>73</v>
      </c>
      <c r="E27" s="240" t="s">
        <v>73</v>
      </c>
      <c r="F27" s="240" t="s">
        <v>73</v>
      </c>
      <c r="G27" s="240" t="s">
        <v>73</v>
      </c>
      <c r="H27" s="240" t="s">
        <v>73</v>
      </c>
      <c r="I27" s="240" t="s">
        <v>73</v>
      </c>
      <c r="J27" s="240" t="s">
        <v>73</v>
      </c>
      <c r="K27" s="240" t="s">
        <v>73</v>
      </c>
      <c r="L27" s="240" t="s">
        <v>73</v>
      </c>
      <c r="M27" s="240" t="s">
        <v>73</v>
      </c>
      <c r="N27" s="240" t="s">
        <v>73</v>
      </c>
    </row>
    <row r="28" spans="1:14" ht="16" customHeight="1">
      <c r="A28" s="143" t="s">
        <v>38</v>
      </c>
      <c r="B28" s="645">
        <v>1.3415059773600877</v>
      </c>
      <c r="C28" s="240">
        <v>1.4666666666666668</v>
      </c>
      <c r="D28" s="240">
        <v>1.434041184041184</v>
      </c>
      <c r="E28" s="240">
        <v>1.3071335319519297</v>
      </c>
      <c r="F28" s="240">
        <v>1.3601707114671362</v>
      </c>
      <c r="G28" s="240">
        <v>1.3293850666961866</v>
      </c>
      <c r="H28" s="240">
        <v>1.2380952380952381</v>
      </c>
      <c r="I28" s="240">
        <v>1.2111940298507462</v>
      </c>
      <c r="J28" s="240" t="s">
        <v>73</v>
      </c>
      <c r="K28" s="240">
        <v>1.075</v>
      </c>
      <c r="L28" s="240">
        <v>1.84</v>
      </c>
      <c r="M28" s="240" t="s">
        <v>73</v>
      </c>
      <c r="N28" s="240">
        <v>1.2916614024005055</v>
      </c>
    </row>
    <row r="29" spans="1:14" ht="16" customHeight="1">
      <c r="A29" s="121" t="s">
        <v>39</v>
      </c>
      <c r="B29" s="645">
        <v>1.7869223189879853</v>
      </c>
      <c r="C29" s="240">
        <v>1.7726356216994719</v>
      </c>
      <c r="D29" s="240">
        <v>1.8074948122228098</v>
      </c>
      <c r="E29" s="240">
        <v>1.8050408291457283</v>
      </c>
      <c r="F29" s="240">
        <v>1.8012057786372428</v>
      </c>
      <c r="G29" s="240">
        <v>1.6864628820960696</v>
      </c>
      <c r="H29" s="240" t="s">
        <v>73</v>
      </c>
      <c r="I29" s="240" t="s">
        <v>73</v>
      </c>
      <c r="J29" s="240" t="s">
        <v>73</v>
      </c>
      <c r="K29" s="240" t="s">
        <v>73</v>
      </c>
      <c r="L29" s="240" t="s">
        <v>73</v>
      </c>
      <c r="M29" s="240">
        <v>1.5635838150289019</v>
      </c>
      <c r="N29" s="240">
        <v>1.7158279695728496</v>
      </c>
    </row>
    <row r="30" spans="1:14" ht="16" customHeight="1">
      <c r="A30" s="119" t="s">
        <v>97</v>
      </c>
      <c r="B30" s="645">
        <v>1.8158412562344139</v>
      </c>
      <c r="C30" s="240">
        <v>1.786814852235413</v>
      </c>
      <c r="D30" s="240">
        <v>1.8549798292031225</v>
      </c>
      <c r="E30" s="240">
        <v>1.8716993535663415</v>
      </c>
      <c r="F30" s="240">
        <v>1.8012057786372428</v>
      </c>
      <c r="G30" s="240">
        <v>1.6864628820960696</v>
      </c>
      <c r="H30" s="240" t="s">
        <v>73</v>
      </c>
      <c r="I30" s="240" t="s">
        <v>73</v>
      </c>
      <c r="J30" s="240" t="s">
        <v>73</v>
      </c>
      <c r="K30" s="240" t="s">
        <v>73</v>
      </c>
      <c r="L30" s="240" t="s">
        <v>73</v>
      </c>
      <c r="M30" s="240">
        <v>1.5635838150289019</v>
      </c>
      <c r="N30" s="240">
        <v>1.7158279695728496</v>
      </c>
    </row>
    <row r="31" spans="1:14" ht="16" customHeight="1">
      <c r="A31" s="119" t="s">
        <v>98</v>
      </c>
      <c r="B31" s="645">
        <v>1.6589168678854775</v>
      </c>
      <c r="C31" s="240">
        <v>1.7276732078494195</v>
      </c>
      <c r="D31" s="240">
        <v>1.6424043715846994</v>
      </c>
      <c r="E31" s="240">
        <v>1.6364643945691326</v>
      </c>
      <c r="F31" s="240" t="s">
        <v>73</v>
      </c>
      <c r="G31" s="240" t="s">
        <v>73</v>
      </c>
      <c r="H31" s="240" t="s">
        <v>73</v>
      </c>
      <c r="I31" s="240" t="s">
        <v>73</v>
      </c>
      <c r="J31" s="240" t="s">
        <v>73</v>
      </c>
      <c r="K31" s="240" t="s">
        <v>73</v>
      </c>
      <c r="L31" s="240" t="s">
        <v>73</v>
      </c>
      <c r="M31" s="240" t="s">
        <v>73</v>
      </c>
      <c r="N31" s="240" t="s">
        <v>73</v>
      </c>
    </row>
    <row r="32" spans="1:14" ht="16" customHeight="1">
      <c r="A32" s="143" t="s">
        <v>42</v>
      </c>
      <c r="B32" s="645">
        <v>1.592896284740789</v>
      </c>
      <c r="C32" s="240">
        <v>1.7896785888395277</v>
      </c>
      <c r="D32" s="240">
        <v>1.3007446467381623</v>
      </c>
      <c r="E32" s="240">
        <v>1.4140763132378944</v>
      </c>
      <c r="F32" s="240" t="s">
        <v>73</v>
      </c>
      <c r="G32" s="240" t="s">
        <v>73</v>
      </c>
      <c r="H32" s="240" t="s">
        <v>73</v>
      </c>
      <c r="I32" s="240" t="s">
        <v>73</v>
      </c>
      <c r="J32" s="240" t="s">
        <v>73</v>
      </c>
      <c r="K32" s="240" t="s">
        <v>73</v>
      </c>
      <c r="L32" s="240" t="s">
        <v>73</v>
      </c>
      <c r="M32" s="240">
        <v>1.6751302599910074</v>
      </c>
      <c r="N32" s="240">
        <v>1.5126647219615683</v>
      </c>
    </row>
    <row r="33" spans="1:14" ht="16" customHeight="1">
      <c r="A33" s="143" t="s">
        <v>43</v>
      </c>
      <c r="B33" s="645">
        <v>2.0146824888163812</v>
      </c>
      <c r="C33" s="240" t="s">
        <v>73</v>
      </c>
      <c r="D33" s="240">
        <v>2.0451775750208694</v>
      </c>
      <c r="E33" s="240">
        <v>2.011381016561121</v>
      </c>
      <c r="F33" s="240" t="s">
        <v>73</v>
      </c>
      <c r="G33" s="240" t="s">
        <v>73</v>
      </c>
      <c r="H33" s="240" t="s">
        <v>73</v>
      </c>
      <c r="I33" s="240" t="s">
        <v>73</v>
      </c>
      <c r="J33" s="240" t="s">
        <v>73</v>
      </c>
      <c r="K33" s="240" t="s">
        <v>73</v>
      </c>
      <c r="L33" s="240" t="s">
        <v>73</v>
      </c>
      <c r="M33" s="240">
        <v>1.944314405549282</v>
      </c>
      <c r="N33" s="240">
        <v>1.9927411097274108</v>
      </c>
    </row>
    <row r="34" spans="1:14" ht="16" customHeight="1">
      <c r="A34" s="121" t="s">
        <v>44</v>
      </c>
      <c r="B34" s="645">
        <v>0</v>
      </c>
      <c r="C34" s="240" t="s">
        <v>73</v>
      </c>
      <c r="D34" s="240" t="s">
        <v>73</v>
      </c>
      <c r="E34" s="240" t="s">
        <v>73</v>
      </c>
      <c r="F34" s="240" t="s">
        <v>73</v>
      </c>
      <c r="G34" s="240" t="s">
        <v>73</v>
      </c>
      <c r="H34" s="240" t="s">
        <v>73</v>
      </c>
      <c r="I34" s="240" t="s">
        <v>73</v>
      </c>
      <c r="J34" s="240" t="s">
        <v>73</v>
      </c>
      <c r="K34" s="240" t="s">
        <v>73</v>
      </c>
      <c r="L34" s="240" t="s">
        <v>73</v>
      </c>
      <c r="M34" s="240" t="s">
        <v>73</v>
      </c>
      <c r="N34" s="240" t="s">
        <v>73</v>
      </c>
    </row>
    <row r="35" spans="1:14" ht="16" customHeight="1">
      <c r="A35" s="121" t="s">
        <v>45</v>
      </c>
      <c r="B35" s="645">
        <v>0</v>
      </c>
      <c r="C35" s="240" t="s">
        <v>73</v>
      </c>
      <c r="D35" s="240" t="s">
        <v>73</v>
      </c>
      <c r="E35" s="240" t="s">
        <v>73</v>
      </c>
      <c r="F35" s="240" t="s">
        <v>73</v>
      </c>
      <c r="G35" s="240" t="s">
        <v>73</v>
      </c>
      <c r="H35" s="240" t="s">
        <v>73</v>
      </c>
      <c r="I35" s="240" t="s">
        <v>73</v>
      </c>
      <c r="J35" s="240" t="s">
        <v>73</v>
      </c>
      <c r="K35" s="240" t="s">
        <v>73</v>
      </c>
      <c r="L35" s="240" t="s">
        <v>73</v>
      </c>
      <c r="M35" s="240" t="s">
        <v>73</v>
      </c>
      <c r="N35" s="240" t="s">
        <v>73</v>
      </c>
    </row>
    <row r="36" spans="1:14" ht="16" customHeight="1">
      <c r="A36" s="121" t="s">
        <v>46</v>
      </c>
      <c r="B36" s="645">
        <v>0</v>
      </c>
      <c r="C36" s="240" t="s">
        <v>73</v>
      </c>
      <c r="D36" s="240" t="s">
        <v>73</v>
      </c>
      <c r="E36" s="240" t="s">
        <v>73</v>
      </c>
      <c r="F36" s="240" t="s">
        <v>73</v>
      </c>
      <c r="G36" s="240" t="s">
        <v>73</v>
      </c>
      <c r="H36" s="240" t="s">
        <v>73</v>
      </c>
      <c r="I36" s="240" t="s">
        <v>73</v>
      </c>
      <c r="J36" s="240" t="s">
        <v>73</v>
      </c>
      <c r="K36" s="240" t="s">
        <v>73</v>
      </c>
      <c r="L36" s="240" t="s">
        <v>73</v>
      </c>
      <c r="M36" s="240" t="s">
        <v>73</v>
      </c>
      <c r="N36" s="240" t="s">
        <v>73</v>
      </c>
    </row>
    <row r="37" spans="1:14" ht="16" customHeight="1" thickBot="1">
      <c r="A37" s="145" t="s">
        <v>47</v>
      </c>
      <c r="B37" s="646">
        <v>0</v>
      </c>
      <c r="C37" s="241" t="s">
        <v>73</v>
      </c>
      <c r="D37" s="241" t="s">
        <v>73</v>
      </c>
      <c r="E37" s="241" t="s">
        <v>73</v>
      </c>
      <c r="F37" s="241" t="s">
        <v>73</v>
      </c>
      <c r="G37" s="241" t="s">
        <v>73</v>
      </c>
      <c r="H37" s="241" t="s">
        <v>73</v>
      </c>
      <c r="I37" s="241" t="s">
        <v>73</v>
      </c>
      <c r="J37" s="241" t="s">
        <v>73</v>
      </c>
      <c r="K37" s="241" t="s">
        <v>73</v>
      </c>
      <c r="L37" s="241" t="s">
        <v>73</v>
      </c>
      <c r="M37" s="241" t="s">
        <v>73</v>
      </c>
      <c r="N37" s="241" t="s">
        <v>73</v>
      </c>
    </row>
    <row r="38" spans="1:14" ht="9" customHeight="1">
      <c r="A38" s="449" t="s">
        <v>330</v>
      </c>
      <c r="B38" s="477"/>
      <c r="C38" s="477"/>
      <c r="D38" s="477"/>
      <c r="E38" s="477"/>
      <c r="F38" s="236"/>
      <c r="G38" s="138"/>
      <c r="H38" s="138"/>
      <c r="I38" s="138"/>
    </row>
    <row r="39" spans="1:14" ht="9" customHeight="1">
      <c r="A39" s="449" t="s">
        <v>304</v>
      </c>
      <c r="B39" s="477"/>
      <c r="C39" s="477"/>
      <c r="D39" s="477"/>
      <c r="E39" s="477"/>
      <c r="F39" s="236"/>
      <c r="G39" s="138"/>
      <c r="H39" s="138"/>
      <c r="I39" s="138"/>
    </row>
    <row r="40" spans="1:14" ht="9" customHeight="1">
      <c r="A40" s="451" t="s">
        <v>303</v>
      </c>
      <c r="B40" s="477"/>
      <c r="C40" s="477"/>
      <c r="D40" s="477"/>
      <c r="E40" s="477"/>
      <c r="F40" s="236"/>
      <c r="G40" s="138"/>
      <c r="H40" s="138"/>
      <c r="I40" s="138"/>
    </row>
    <row r="41" spans="1:14" ht="13.25" customHeight="1">
      <c r="A41" s="11"/>
    </row>
    <row r="42" spans="1:14" ht="13.25" customHeight="1">
      <c r="A42" s="67"/>
    </row>
    <row r="43" spans="1:14" ht="13.25" customHeight="1">
      <c r="A43" s="67"/>
    </row>
    <row r="44" spans="1:14" ht="13.25" customHeight="1">
      <c r="A44" s="22"/>
    </row>
    <row r="45" spans="1:14" ht="13.25" customHeight="1">
      <c r="A45" s="30"/>
    </row>
    <row r="46" spans="1:14" ht="13.25" customHeight="1">
      <c r="A46" s="22"/>
    </row>
    <row r="47" spans="1:14" ht="13.25" customHeight="1">
      <c r="A47" s="67"/>
    </row>
    <row r="48" spans="1:14" ht="13.25" customHeight="1">
      <c r="A48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Hoja87">
    <tabColor theme="9" tint="0.59999389629810485"/>
  </sheetPr>
  <dimension ref="A1"/>
  <sheetViews>
    <sheetView showGridLines="0" zoomScaleNormal="100" workbookViewId="0">
      <selection activeCell="C4" sqref="C4"/>
    </sheetView>
  </sheetViews>
  <sheetFormatPr baseColWidth="10" defaultColWidth="7" defaultRowHeight="13.25" customHeight="1"/>
  <cols>
    <col min="1" max="1" width="11.19921875" style="17" customWidth="1"/>
    <col min="2" max="9" width="8" style="17" customWidth="1"/>
    <col min="10" max="16384" width="7" style="17"/>
  </cols>
  <sheetData/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Hoja88">
    <tabColor theme="9" tint="0.59999389629810485"/>
  </sheetPr>
  <dimension ref="A4:W48"/>
  <sheetViews>
    <sheetView showGridLines="0" zoomScale="142" zoomScaleNormal="142" workbookViewId="0">
      <selection activeCell="N12" sqref="N12"/>
    </sheetView>
  </sheetViews>
  <sheetFormatPr baseColWidth="10" defaultColWidth="7" defaultRowHeight="13.25" customHeight="1"/>
  <cols>
    <col min="1" max="1" width="7.796875" style="130" customWidth="1"/>
    <col min="2" max="15" width="7.3984375" style="130" customWidth="1"/>
    <col min="16" max="19" width="8.19921875" style="130" customWidth="1"/>
    <col min="20" max="16384" width="7" style="130"/>
  </cols>
  <sheetData>
    <row r="4" spans="1:23" ht="13.25" customHeight="1">
      <c r="A4" s="251" t="s">
        <v>518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</row>
    <row r="5" spans="1:23" ht="6" customHeight="1" thickBot="1"/>
    <row r="6" spans="1:23" ht="18" customHeight="1">
      <c r="A6" s="745" t="s">
        <v>101</v>
      </c>
      <c r="B6" s="745" t="s">
        <v>51</v>
      </c>
      <c r="C6" s="745">
        <v>2012</v>
      </c>
      <c r="D6" s="745">
        <v>2013</v>
      </c>
      <c r="E6" s="745">
        <v>2014</v>
      </c>
      <c r="F6" s="745">
        <v>2015</v>
      </c>
      <c r="G6" s="745">
        <v>2016</v>
      </c>
      <c r="H6" s="745">
        <v>2017</v>
      </c>
      <c r="I6" s="745">
        <v>2018</v>
      </c>
      <c r="J6" s="745">
        <v>2019</v>
      </c>
      <c r="K6" s="745">
        <v>2020</v>
      </c>
      <c r="L6" s="745">
        <v>2021</v>
      </c>
      <c r="M6" s="745">
        <v>2022</v>
      </c>
      <c r="N6" s="745">
        <v>2023</v>
      </c>
      <c r="O6" s="745" t="s">
        <v>471</v>
      </c>
    </row>
    <row r="7" spans="1:23" ht="6" customHeight="1"/>
    <row r="8" spans="1:23" ht="16" customHeight="1">
      <c r="A8" s="130" t="s">
        <v>5</v>
      </c>
      <c r="B8" s="130" t="s">
        <v>102</v>
      </c>
      <c r="C8" s="252">
        <v>766737</v>
      </c>
      <c r="D8" s="252">
        <v>784706</v>
      </c>
      <c r="E8" s="252">
        <v>719830</v>
      </c>
      <c r="F8" s="252">
        <v>657672</v>
      </c>
      <c r="G8" s="252">
        <v>665021</v>
      </c>
      <c r="H8" s="252">
        <v>667314</v>
      </c>
      <c r="I8" s="252">
        <v>705349</v>
      </c>
      <c r="J8" s="252">
        <v>699004</v>
      </c>
      <c r="K8" s="252">
        <v>568862</v>
      </c>
      <c r="L8" s="252">
        <v>547647</v>
      </c>
      <c r="M8" s="252">
        <v>510664</v>
      </c>
      <c r="N8" s="252">
        <v>594979</v>
      </c>
      <c r="O8" s="252">
        <v>626752.84466019413</v>
      </c>
    </row>
    <row r="9" spans="1:23" ht="16" customHeight="1">
      <c r="B9" s="130" t="s">
        <v>218</v>
      </c>
      <c r="C9" s="252">
        <v>10215</v>
      </c>
      <c r="D9" s="252">
        <v>10499</v>
      </c>
      <c r="E9" s="252">
        <v>9607</v>
      </c>
      <c r="F9" s="252">
        <v>8987</v>
      </c>
      <c r="G9" s="252">
        <v>9175</v>
      </c>
      <c r="H9" s="252">
        <v>9416</v>
      </c>
      <c r="I9" s="252">
        <v>10009</v>
      </c>
      <c r="J9" s="252">
        <v>10051</v>
      </c>
      <c r="K9" s="252">
        <v>8194</v>
      </c>
      <c r="L9" s="252">
        <v>7824</v>
      </c>
      <c r="M9" s="252">
        <v>7523.7156850231368</v>
      </c>
      <c r="N9" s="252">
        <v>8424.8973978050089</v>
      </c>
      <c r="O9" s="252">
        <v>8942.5674410629817</v>
      </c>
    </row>
    <row r="10" spans="1:23" ht="16" customHeight="1">
      <c r="B10" s="130" t="s">
        <v>350</v>
      </c>
      <c r="C10" s="254">
        <f t="shared" ref="C10:O10" si="0">(C9/C8)*1000</f>
        <v>13.322690831406335</v>
      </c>
      <c r="D10" s="254">
        <f t="shared" si="0"/>
        <v>13.379533226456788</v>
      </c>
      <c r="E10" s="254">
        <f t="shared" si="0"/>
        <v>13.346206743258826</v>
      </c>
      <c r="F10" s="254">
        <f t="shared" si="0"/>
        <v>13.664866377160651</v>
      </c>
      <c r="G10" s="254">
        <f t="shared" si="0"/>
        <v>13.796556800461939</v>
      </c>
      <c r="H10" s="254">
        <f t="shared" si="0"/>
        <v>14.110298899768324</v>
      </c>
      <c r="I10" s="254">
        <f t="shared" si="0"/>
        <v>14.190138498814063</v>
      </c>
      <c r="J10" s="254">
        <f t="shared" si="0"/>
        <v>14.379030735160313</v>
      </c>
      <c r="K10" s="254">
        <f t="shared" si="0"/>
        <v>14.404196448347754</v>
      </c>
      <c r="L10" s="254">
        <f t="shared" si="0"/>
        <v>14.286575111339969</v>
      </c>
      <c r="M10" s="254">
        <f t="shared" si="0"/>
        <v>14.733201645354161</v>
      </c>
      <c r="N10" s="254">
        <f t="shared" ref="N10" si="1">(N9/N8)*1000</f>
        <v>14.159991189277283</v>
      </c>
      <c r="O10" s="254">
        <f t="shared" si="0"/>
        <v>14.2680923066434</v>
      </c>
    </row>
    <row r="11" spans="1:23" ht="16" customHeight="1"/>
    <row r="12" spans="1:23" ht="16" customHeight="1">
      <c r="A12" s="130" t="s">
        <v>6</v>
      </c>
      <c r="B12" s="130" t="s">
        <v>102</v>
      </c>
      <c r="C12" s="252">
        <v>1599829</v>
      </c>
      <c r="D12" s="252">
        <v>1831541</v>
      </c>
      <c r="E12" s="252">
        <v>1889773</v>
      </c>
      <c r="F12" s="252">
        <v>1829016</v>
      </c>
      <c r="G12" s="252">
        <v>1928215</v>
      </c>
      <c r="H12" s="252">
        <v>2007199</v>
      </c>
      <c r="I12" s="252">
        <v>2015636</v>
      </c>
      <c r="J12" s="252">
        <v>2101612</v>
      </c>
      <c r="K12" s="252">
        <v>2049213</v>
      </c>
      <c r="L12" s="252">
        <v>2280343</v>
      </c>
      <c r="M12" s="252">
        <v>2343759</v>
      </c>
      <c r="N12" s="252">
        <v>2249832</v>
      </c>
      <c r="O12" s="252">
        <v>2316755.6499380423</v>
      </c>
    </row>
    <row r="13" spans="1:23" ht="16" customHeight="1">
      <c r="B13" s="130" t="s">
        <v>218</v>
      </c>
      <c r="C13" s="252">
        <v>95826</v>
      </c>
      <c r="D13" s="252">
        <v>110014</v>
      </c>
      <c r="E13" s="252">
        <v>116142</v>
      </c>
      <c r="F13" s="252">
        <v>116257</v>
      </c>
      <c r="G13" s="252">
        <v>124394</v>
      </c>
      <c r="H13" s="252">
        <v>131519</v>
      </c>
      <c r="I13" s="252">
        <v>134306</v>
      </c>
      <c r="J13" s="252">
        <v>141557</v>
      </c>
      <c r="K13" s="252">
        <v>142360</v>
      </c>
      <c r="L13" s="252">
        <v>159229</v>
      </c>
      <c r="M13" s="252">
        <v>164819.63719532482</v>
      </c>
      <c r="N13" s="252">
        <v>161392.2016899944</v>
      </c>
      <c r="O13" s="252">
        <v>162336.86412535637</v>
      </c>
    </row>
    <row r="14" spans="1:23" ht="16" customHeight="1">
      <c r="B14" s="130" t="s">
        <v>350</v>
      </c>
      <c r="C14" s="254">
        <f t="shared" ref="C14:O14" si="2">(C13/C12)*1000</f>
        <v>59.897651561510642</v>
      </c>
      <c r="D14" s="254">
        <f t="shared" si="2"/>
        <v>60.066359420837429</v>
      </c>
      <c r="E14" s="254">
        <f t="shared" si="2"/>
        <v>61.458175135320488</v>
      </c>
      <c r="F14" s="254">
        <f t="shared" si="2"/>
        <v>63.562593219523499</v>
      </c>
      <c r="G14" s="254">
        <f t="shared" si="2"/>
        <v>64.512515461190787</v>
      </c>
      <c r="H14" s="254">
        <f t="shared" si="2"/>
        <v>65.523647630354532</v>
      </c>
      <c r="I14" s="254">
        <f t="shared" si="2"/>
        <v>66.632070473041765</v>
      </c>
      <c r="J14" s="254">
        <f t="shared" si="2"/>
        <v>67.356391189239503</v>
      </c>
      <c r="K14" s="254">
        <f t="shared" si="2"/>
        <v>69.470572361194272</v>
      </c>
      <c r="L14" s="254">
        <f t="shared" si="2"/>
        <v>69.826776059566484</v>
      </c>
      <c r="M14" s="254">
        <f t="shared" si="2"/>
        <v>70.322775163881957</v>
      </c>
      <c r="N14" s="254">
        <f t="shared" ref="N14" si="3">(N13/N12)*1000</f>
        <v>71.735223647807658</v>
      </c>
      <c r="O14" s="254">
        <f t="shared" si="2"/>
        <v>70.070775107291865</v>
      </c>
    </row>
    <row r="15" spans="1:23" ht="16" customHeight="1"/>
    <row r="16" spans="1:23" ht="16" customHeight="1">
      <c r="A16" s="130" t="s">
        <v>7</v>
      </c>
      <c r="B16" s="130" t="s">
        <v>102</v>
      </c>
      <c r="C16" s="252">
        <v>1047040</v>
      </c>
      <c r="D16" s="252">
        <v>1084096</v>
      </c>
      <c r="E16" s="252">
        <v>1097918</v>
      </c>
      <c r="F16" s="252">
        <v>1105750</v>
      </c>
      <c r="G16" s="252">
        <v>1072158</v>
      </c>
      <c r="H16" s="252">
        <v>1050952</v>
      </c>
      <c r="I16" s="252">
        <v>1046948</v>
      </c>
      <c r="J16" s="252">
        <v>1027182</v>
      </c>
      <c r="K16" s="252">
        <v>886339</v>
      </c>
      <c r="L16" s="252">
        <v>940647</v>
      </c>
      <c r="M16" s="252">
        <v>967343</v>
      </c>
      <c r="N16" s="252">
        <v>994017</v>
      </c>
      <c r="O16" s="252">
        <v>1054288.5195996664</v>
      </c>
    </row>
    <row r="17" spans="1:15" ht="16" customHeight="1">
      <c r="B17" s="130" t="s">
        <v>218</v>
      </c>
      <c r="C17" s="252">
        <v>186292</v>
      </c>
      <c r="D17" s="252">
        <v>191533</v>
      </c>
      <c r="E17" s="252">
        <v>196466</v>
      </c>
      <c r="F17" s="252">
        <v>197818</v>
      </c>
      <c r="G17" s="252">
        <v>196621</v>
      </c>
      <c r="H17" s="252">
        <v>196101</v>
      </c>
      <c r="I17" s="252">
        <v>195504</v>
      </c>
      <c r="J17" s="252">
        <v>192652</v>
      </c>
      <c r="K17" s="252">
        <v>170112</v>
      </c>
      <c r="L17" s="252">
        <v>184124</v>
      </c>
      <c r="M17" s="252">
        <v>187691.02150343833</v>
      </c>
      <c r="N17" s="252">
        <v>189257.54037572638</v>
      </c>
      <c r="O17" s="252">
        <v>203627.79474985632</v>
      </c>
    </row>
    <row r="18" spans="1:15" ht="16" customHeight="1" thickBot="1">
      <c r="A18" s="137"/>
      <c r="B18" s="137" t="s">
        <v>350</v>
      </c>
      <c r="C18" s="253">
        <f t="shared" ref="C18:O18" si="4">(C17/C16)*1000</f>
        <v>177.92252444987776</v>
      </c>
      <c r="D18" s="253">
        <f t="shared" si="4"/>
        <v>176.67531288741955</v>
      </c>
      <c r="E18" s="253">
        <f t="shared" si="4"/>
        <v>178.94414701280058</v>
      </c>
      <c r="F18" s="253">
        <f t="shared" si="4"/>
        <v>178.89938955460093</v>
      </c>
      <c r="G18" s="253">
        <f t="shared" si="4"/>
        <v>183.38808272661305</v>
      </c>
      <c r="H18" s="253">
        <f t="shared" si="4"/>
        <v>186.59367887401137</v>
      </c>
      <c r="I18" s="253">
        <f t="shared" si="4"/>
        <v>186.73706812563756</v>
      </c>
      <c r="J18" s="253">
        <f t="shared" si="4"/>
        <v>187.55390962847869</v>
      </c>
      <c r="K18" s="253">
        <f t="shared" si="4"/>
        <v>191.92656534350851</v>
      </c>
      <c r="L18" s="253">
        <f t="shared" si="4"/>
        <v>195.74186703407338</v>
      </c>
      <c r="M18" s="253">
        <f t="shared" si="4"/>
        <v>194.02737343779643</v>
      </c>
      <c r="N18" s="253">
        <f t="shared" ref="N18" si="5">(N17/N16)*1000</f>
        <v>190.39668373450996</v>
      </c>
      <c r="O18" s="253">
        <f t="shared" si="4"/>
        <v>193.14238082301961</v>
      </c>
    </row>
    <row r="19" spans="1:15" ht="9" customHeight="1">
      <c r="A19" s="936" t="s">
        <v>305</v>
      </c>
      <c r="B19" s="480"/>
      <c r="C19" s="480"/>
      <c r="D19" s="480"/>
      <c r="E19" s="480"/>
      <c r="F19" s="480"/>
      <c r="G19" s="480"/>
      <c r="H19" s="480"/>
      <c r="I19" s="480"/>
    </row>
    <row r="20" spans="1:15" ht="9" customHeight="1">
      <c r="A20" s="481" t="s">
        <v>308</v>
      </c>
      <c r="B20" s="480"/>
      <c r="C20" s="480"/>
      <c r="D20" s="480"/>
      <c r="E20" s="480"/>
      <c r="F20" s="480"/>
      <c r="G20" s="480"/>
      <c r="H20" s="480"/>
      <c r="I20" s="480"/>
    </row>
    <row r="21" spans="1:15" ht="9" customHeight="1">
      <c r="A21" s="937" t="s">
        <v>303</v>
      </c>
      <c r="B21" s="480"/>
      <c r="C21" s="480"/>
      <c r="D21" s="480"/>
      <c r="E21" s="480"/>
      <c r="F21" s="480"/>
      <c r="G21" s="480"/>
      <c r="H21" s="480"/>
      <c r="I21" s="480"/>
    </row>
    <row r="22" spans="1:15" ht="10.25" customHeight="1">
      <c r="A22" s="937"/>
      <c r="B22" s="480"/>
      <c r="C22" s="480"/>
      <c r="D22" s="480"/>
      <c r="E22" s="480"/>
      <c r="F22" s="480"/>
      <c r="G22" s="480"/>
      <c r="H22" s="480"/>
      <c r="I22" s="480"/>
    </row>
    <row r="23" spans="1:15" ht="10.25" customHeight="1">
      <c r="A23" s="937"/>
      <c r="B23" s="480"/>
      <c r="C23" s="480"/>
      <c r="D23" s="480"/>
      <c r="E23" s="480"/>
      <c r="F23" s="480"/>
      <c r="G23" s="480"/>
      <c r="H23" s="480"/>
      <c r="I23" s="480"/>
    </row>
    <row r="24" spans="1:15" ht="10.25" customHeight="1">
      <c r="A24" s="937"/>
      <c r="B24" s="480"/>
      <c r="C24" s="480"/>
      <c r="D24" s="480"/>
      <c r="E24" s="480"/>
      <c r="F24" s="480"/>
      <c r="G24" s="480"/>
      <c r="H24" s="480"/>
      <c r="I24" s="480"/>
    </row>
    <row r="25" spans="1:15" ht="67" customHeight="1">
      <c r="A25" s="937"/>
      <c r="B25" s="480"/>
      <c r="C25" s="480"/>
      <c r="D25" s="480"/>
      <c r="E25" s="480"/>
      <c r="F25" s="480"/>
      <c r="G25" s="480"/>
      <c r="H25" s="480"/>
      <c r="I25" s="480"/>
    </row>
    <row r="26" spans="1:15" ht="10.25" customHeight="1">
      <c r="A26" s="937"/>
      <c r="B26" s="480"/>
      <c r="C26" s="480"/>
      <c r="D26" s="480"/>
      <c r="E26" s="480"/>
      <c r="F26" s="480"/>
      <c r="G26" s="480"/>
      <c r="H26" s="480"/>
      <c r="I26" s="480"/>
    </row>
    <row r="27" spans="1:15" ht="10.25" customHeight="1">
      <c r="A27" s="937"/>
      <c r="B27" s="480"/>
      <c r="C27" s="480"/>
      <c r="D27" s="480"/>
      <c r="E27" s="480"/>
      <c r="F27" s="480"/>
      <c r="G27" s="480"/>
      <c r="H27" s="480"/>
      <c r="I27" s="480"/>
    </row>
    <row r="28" spans="1:15" ht="10.25" customHeight="1">
      <c r="A28" s="938"/>
    </row>
    <row r="29" spans="1:15" ht="10.25" customHeight="1">
      <c r="A29" s="938"/>
    </row>
    <row r="31" spans="1:15" ht="13.25" customHeight="1">
      <c r="A31" s="251" t="s">
        <v>517</v>
      </c>
    </row>
    <row r="32" spans="1:15" ht="6" customHeight="1" thickBot="1">
      <c r="A32" s="130" t="s">
        <v>169</v>
      </c>
    </row>
    <row r="33" spans="1:15" ht="18" customHeight="1">
      <c r="A33" s="745" t="s">
        <v>101</v>
      </c>
      <c r="B33" s="745" t="s">
        <v>51</v>
      </c>
      <c r="C33" s="745">
        <v>2012</v>
      </c>
      <c r="D33" s="745">
        <v>2013</v>
      </c>
      <c r="E33" s="745">
        <v>2014</v>
      </c>
      <c r="F33" s="745">
        <v>2015</v>
      </c>
      <c r="G33" s="745">
        <v>2016</v>
      </c>
      <c r="H33" s="745">
        <v>2017</v>
      </c>
      <c r="I33" s="745">
        <v>2018</v>
      </c>
      <c r="J33" s="745">
        <v>2019</v>
      </c>
      <c r="K33" s="745">
        <v>2020</v>
      </c>
      <c r="L33" s="745">
        <v>2021</v>
      </c>
      <c r="M33" s="745">
        <v>2022</v>
      </c>
      <c r="N33" s="745">
        <v>2023</v>
      </c>
      <c r="O33" s="745" t="s">
        <v>471</v>
      </c>
    </row>
    <row r="34" spans="1:15" ht="5" customHeight="1"/>
    <row r="35" spans="1:15" ht="16" customHeight="1">
      <c r="A35" s="130" t="s">
        <v>5</v>
      </c>
      <c r="B35" s="130" t="s">
        <v>102</v>
      </c>
      <c r="C35" s="252">
        <v>93443</v>
      </c>
      <c r="D35" s="252">
        <v>104683</v>
      </c>
      <c r="E35" s="252">
        <v>99971</v>
      </c>
      <c r="F35" s="252">
        <v>91859</v>
      </c>
      <c r="G35" s="252">
        <v>90115</v>
      </c>
      <c r="H35" s="252">
        <v>81139</v>
      </c>
      <c r="I35" s="252">
        <v>77288</v>
      </c>
      <c r="J35" s="252">
        <v>71971</v>
      </c>
      <c r="K35" s="252">
        <v>52613</v>
      </c>
      <c r="L35" s="252">
        <v>59634</v>
      </c>
      <c r="M35" s="252">
        <v>65223</v>
      </c>
      <c r="N35" s="252">
        <v>59701</v>
      </c>
      <c r="O35" s="252">
        <v>65752</v>
      </c>
    </row>
    <row r="36" spans="1:15" ht="16" customHeight="1">
      <c r="B36" s="130" t="s">
        <v>218</v>
      </c>
      <c r="C36" s="252">
        <v>1186</v>
      </c>
      <c r="D36" s="252">
        <v>1326</v>
      </c>
      <c r="E36" s="252">
        <v>1312</v>
      </c>
      <c r="F36" s="252">
        <v>1205</v>
      </c>
      <c r="G36" s="252">
        <v>1170</v>
      </c>
      <c r="H36" s="252">
        <v>1059</v>
      </c>
      <c r="I36" s="252">
        <v>1036</v>
      </c>
      <c r="J36" s="252">
        <v>989</v>
      </c>
      <c r="K36" s="252">
        <v>718</v>
      </c>
      <c r="L36" s="252">
        <v>793</v>
      </c>
      <c r="M36" s="252">
        <v>870</v>
      </c>
      <c r="N36" s="252">
        <v>825.39779999999996</v>
      </c>
      <c r="O36" s="252">
        <v>938.54077999999981</v>
      </c>
    </row>
    <row r="37" spans="1:15" ht="16" customHeight="1">
      <c r="B37" s="130" t="s">
        <v>350</v>
      </c>
      <c r="C37" s="254">
        <f t="shared" ref="C37:O37" si="6">(C36/C35)*1000</f>
        <v>12.69222948749505</v>
      </c>
      <c r="D37" s="254">
        <f t="shared" si="6"/>
        <v>12.666813140624553</v>
      </c>
      <c r="E37" s="254">
        <f t="shared" si="6"/>
        <v>13.123805903712077</v>
      </c>
      <c r="F37" s="254">
        <f t="shared" si="6"/>
        <v>13.117930741680183</v>
      </c>
      <c r="G37" s="254">
        <f t="shared" si="6"/>
        <v>12.983410087110913</v>
      </c>
      <c r="H37" s="254">
        <f t="shared" si="6"/>
        <v>13.051676752239985</v>
      </c>
      <c r="I37" s="254">
        <f t="shared" si="6"/>
        <v>13.404409481420142</v>
      </c>
      <c r="J37" s="254">
        <f t="shared" si="6"/>
        <v>13.741645940726126</v>
      </c>
      <c r="K37" s="254">
        <f t="shared" si="6"/>
        <v>13.64681732651626</v>
      </c>
      <c r="L37" s="254">
        <f t="shared" si="6"/>
        <v>13.297783143844116</v>
      </c>
      <c r="M37" s="254">
        <f t="shared" si="6"/>
        <v>13.338852858654157</v>
      </c>
      <c r="N37" s="254">
        <f t="shared" ref="N37" si="7">(N36/N35)*1000</f>
        <v>13.825527210599486</v>
      </c>
      <c r="O37" s="254">
        <f t="shared" si="6"/>
        <v>14.27395029808979</v>
      </c>
    </row>
    <row r="38" spans="1:15" ht="16" customHeight="1"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</row>
    <row r="39" spans="1:15" ht="16" customHeight="1">
      <c r="A39" s="130" t="s">
        <v>6</v>
      </c>
      <c r="B39" s="130" t="s">
        <v>102</v>
      </c>
      <c r="C39" s="252">
        <v>767182</v>
      </c>
      <c r="D39" s="252">
        <v>875255</v>
      </c>
      <c r="E39" s="252">
        <v>892131</v>
      </c>
      <c r="F39" s="252">
        <v>868815</v>
      </c>
      <c r="G39" s="252">
        <v>908816</v>
      </c>
      <c r="H39" s="252">
        <v>950421</v>
      </c>
      <c r="I39" s="252">
        <v>987246</v>
      </c>
      <c r="J39" s="252">
        <v>1054758</v>
      </c>
      <c r="K39" s="252">
        <v>1096912</v>
      </c>
      <c r="L39" s="252">
        <v>1193408</v>
      </c>
      <c r="M39" s="252">
        <v>1291649</v>
      </c>
      <c r="N39" s="252">
        <v>1193927</v>
      </c>
      <c r="O39" s="252">
        <v>1173011</v>
      </c>
    </row>
    <row r="40" spans="1:15" ht="16" customHeight="1">
      <c r="B40" s="130" t="s">
        <v>218</v>
      </c>
      <c r="C40" s="252">
        <v>50075</v>
      </c>
      <c r="D40" s="252">
        <v>57304</v>
      </c>
      <c r="E40" s="252">
        <v>59737</v>
      </c>
      <c r="F40" s="252">
        <v>60204</v>
      </c>
      <c r="G40" s="252">
        <v>63662</v>
      </c>
      <c r="H40" s="252">
        <v>67417</v>
      </c>
      <c r="I40" s="252">
        <v>71176</v>
      </c>
      <c r="J40" s="252">
        <v>77874</v>
      </c>
      <c r="K40" s="252">
        <v>85956</v>
      </c>
      <c r="L40" s="252">
        <v>90483</v>
      </c>
      <c r="M40" s="252">
        <v>100945</v>
      </c>
      <c r="N40" s="252">
        <v>94638.31057999999</v>
      </c>
      <c r="O40" s="252">
        <v>92664.689899999998</v>
      </c>
    </row>
    <row r="41" spans="1:15" ht="16" customHeight="1">
      <c r="B41" s="130" t="s">
        <v>350</v>
      </c>
      <c r="C41" s="254">
        <f t="shared" ref="C41:O41" si="8">(C40/C39)*1000</f>
        <v>65.271343696802063</v>
      </c>
      <c r="D41" s="254">
        <f t="shared" si="8"/>
        <v>65.471205534387124</v>
      </c>
      <c r="E41" s="254">
        <f t="shared" si="8"/>
        <v>66.959897145150208</v>
      </c>
      <c r="F41" s="254">
        <f t="shared" si="8"/>
        <v>69.294383729562682</v>
      </c>
      <c r="G41" s="254">
        <f t="shared" si="8"/>
        <v>70.049382933399059</v>
      </c>
      <c r="H41" s="254">
        <f t="shared" si="8"/>
        <v>70.933828271892139</v>
      </c>
      <c r="I41" s="254">
        <f t="shared" si="8"/>
        <v>72.095506084603016</v>
      </c>
      <c r="J41" s="254">
        <f t="shared" si="8"/>
        <v>73.831153686438029</v>
      </c>
      <c r="K41" s="254">
        <f t="shared" si="8"/>
        <v>78.361801128987551</v>
      </c>
      <c r="L41" s="254">
        <f t="shared" si="8"/>
        <v>75.818999034697271</v>
      </c>
      <c r="M41" s="254">
        <f t="shared" si="8"/>
        <v>78.152036660114319</v>
      </c>
      <c r="N41" s="254">
        <f t="shared" ref="N41" si="9">(N40/N39)*1000</f>
        <v>79.266412921393012</v>
      </c>
      <c r="O41" s="254">
        <f t="shared" si="8"/>
        <v>78.997289795236355</v>
      </c>
    </row>
    <row r="42" spans="1:15" ht="16" customHeight="1"/>
    <row r="43" spans="1:15" ht="16" customHeight="1">
      <c r="A43" s="130" t="s">
        <v>7</v>
      </c>
      <c r="B43" s="130" t="s">
        <v>102</v>
      </c>
      <c r="C43" s="252">
        <v>291757</v>
      </c>
      <c r="D43" s="252">
        <v>313386</v>
      </c>
      <c r="E43" s="252">
        <v>345335</v>
      </c>
      <c r="F43" s="252">
        <v>334236</v>
      </c>
      <c r="G43" s="252">
        <v>325835</v>
      </c>
      <c r="H43" s="252">
        <v>331736</v>
      </c>
      <c r="I43" s="252">
        <v>329967</v>
      </c>
      <c r="J43" s="252">
        <v>332385</v>
      </c>
      <c r="K43" s="252">
        <v>296103</v>
      </c>
      <c r="L43" s="252">
        <v>314639</v>
      </c>
      <c r="M43" s="252">
        <v>314083</v>
      </c>
      <c r="N43" s="252">
        <v>315644</v>
      </c>
      <c r="O43" s="252">
        <v>308890</v>
      </c>
    </row>
    <row r="44" spans="1:15" ht="16" customHeight="1">
      <c r="B44" s="130" t="s">
        <v>218</v>
      </c>
      <c r="C44" s="252">
        <v>67859</v>
      </c>
      <c r="D44" s="252">
        <v>73352</v>
      </c>
      <c r="E44" s="252">
        <v>80801</v>
      </c>
      <c r="F44" s="252">
        <v>78478</v>
      </c>
      <c r="G44" s="252">
        <v>79618</v>
      </c>
      <c r="H44" s="252">
        <v>80918</v>
      </c>
      <c r="I44" s="252">
        <v>82117</v>
      </c>
      <c r="J44" s="252">
        <v>81317</v>
      </c>
      <c r="K44" s="252">
        <v>74077</v>
      </c>
      <c r="L44" s="252">
        <v>79974</v>
      </c>
      <c r="M44" s="252">
        <v>78105</v>
      </c>
      <c r="N44" s="252">
        <v>79501.113700000002</v>
      </c>
      <c r="O44" s="252">
        <v>80622.101899999994</v>
      </c>
    </row>
    <row r="45" spans="1:15" ht="16" customHeight="1" thickBot="1">
      <c r="A45" s="137"/>
      <c r="B45" s="137" t="s">
        <v>350</v>
      </c>
      <c r="C45" s="253">
        <f t="shared" ref="C45:O45" si="10">(C44/C43)*1000</f>
        <v>232.58739293316015</v>
      </c>
      <c r="D45" s="253">
        <f t="shared" si="10"/>
        <v>234.06278519142526</v>
      </c>
      <c r="E45" s="253">
        <f t="shared" si="10"/>
        <v>233.97860048937989</v>
      </c>
      <c r="F45" s="253">
        <f t="shared" si="10"/>
        <v>234.79816656494214</v>
      </c>
      <c r="G45" s="253">
        <f t="shared" si="10"/>
        <v>244.35066828302669</v>
      </c>
      <c r="H45" s="253">
        <f t="shared" si="10"/>
        <v>243.92287843345312</v>
      </c>
      <c r="I45" s="253">
        <f t="shared" si="10"/>
        <v>248.86428036743069</v>
      </c>
      <c r="J45" s="253">
        <f t="shared" si="10"/>
        <v>244.64702077410234</v>
      </c>
      <c r="K45" s="253">
        <f t="shared" si="10"/>
        <v>250.17308166415063</v>
      </c>
      <c r="L45" s="253">
        <f t="shared" si="10"/>
        <v>254.17700920737735</v>
      </c>
      <c r="M45" s="253">
        <f t="shared" si="10"/>
        <v>248.67630530783262</v>
      </c>
      <c r="N45" s="253">
        <f t="shared" ref="N45" si="11">(N44/N43)*1000</f>
        <v>251.86955462483053</v>
      </c>
      <c r="O45" s="253">
        <f t="shared" si="10"/>
        <v>261.00586584220918</v>
      </c>
    </row>
    <row r="46" spans="1:15" ht="9" customHeight="1">
      <c r="A46" s="936" t="s">
        <v>330</v>
      </c>
      <c r="B46" s="477"/>
      <c r="C46" s="480"/>
      <c r="D46" s="480"/>
      <c r="E46" s="480"/>
      <c r="F46" s="250"/>
      <c r="G46" s="250"/>
      <c r="H46" s="250"/>
      <c r="I46" s="250"/>
      <c r="J46" s="250"/>
      <c r="K46" s="250"/>
      <c r="L46" s="250"/>
      <c r="M46" s="250"/>
      <c r="N46" s="250"/>
      <c r="O46" s="250"/>
    </row>
    <row r="47" spans="1:15" ht="9" customHeight="1">
      <c r="A47" s="936" t="s">
        <v>304</v>
      </c>
      <c r="B47" s="477"/>
      <c r="C47" s="480"/>
      <c r="D47" s="480"/>
      <c r="E47" s="480"/>
      <c r="F47" s="250"/>
      <c r="G47" s="250"/>
      <c r="H47" s="250"/>
      <c r="I47" s="250"/>
      <c r="J47" s="250"/>
      <c r="K47" s="250"/>
      <c r="L47" s="250"/>
      <c r="M47" s="250"/>
      <c r="N47" s="250"/>
      <c r="O47" s="250"/>
    </row>
    <row r="48" spans="1:15" ht="9" customHeight="1">
      <c r="A48" s="937" t="s">
        <v>303</v>
      </c>
      <c r="B48" s="477"/>
      <c r="C48" s="480"/>
      <c r="D48" s="480"/>
      <c r="E48" s="480"/>
      <c r="F48" s="250"/>
      <c r="G48" s="250"/>
      <c r="H48" s="250"/>
      <c r="I48" s="250"/>
      <c r="J48" s="250"/>
      <c r="K48" s="250"/>
      <c r="L48" s="250"/>
      <c r="M48" s="250"/>
      <c r="N48" s="250"/>
      <c r="O48" s="250"/>
    </row>
  </sheetData>
  <printOptions horizontalCentered="1" verticalCentered="1"/>
  <pageMargins left="0" right="0" top="0" bottom="0" header="0" footer="0"/>
  <pageSetup paperSize="8" orientation="portrait" r:id="rId1"/>
  <headerFooter scaleWithDoc="0"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syncVertical="1" syncRef="A1" transitionEvaluation="1" codeName="Hoja89">
    <tabColor theme="9" tint="0.59999389629810485"/>
  </sheetPr>
  <dimension ref="A1:L48"/>
  <sheetViews>
    <sheetView showGridLines="0" zoomScaleNormal="100" workbookViewId="0">
      <selection activeCell="AC21" sqref="AC21"/>
    </sheetView>
  </sheetViews>
  <sheetFormatPr baseColWidth="10" defaultColWidth="7" defaultRowHeight="13.25" customHeight="1"/>
  <cols>
    <col min="1" max="1" width="16.796875" style="130" customWidth="1"/>
    <col min="2" max="7" width="12" style="130" customWidth="1"/>
    <col min="8" max="8" width="8" style="130" customWidth="1"/>
    <col min="9" max="16384" width="7" style="130"/>
  </cols>
  <sheetData>
    <row r="1" spans="1:12" ht="13.25" customHeight="1">
      <c r="B1" s="131"/>
    </row>
    <row r="3" spans="1:12" ht="13.25" customHeight="1">
      <c r="A3" s="257" t="s">
        <v>519</v>
      </c>
      <c r="B3" s="132"/>
      <c r="C3" s="132"/>
      <c r="D3" s="132"/>
      <c r="E3" s="132"/>
      <c r="F3" s="132"/>
      <c r="G3" s="132"/>
      <c r="H3" s="133"/>
      <c r="I3" s="133"/>
    </row>
    <row r="4" spans="1:12" ht="6" customHeight="1" thickBot="1">
      <c r="A4" s="134"/>
      <c r="B4" s="134"/>
      <c r="C4" s="134"/>
      <c r="D4" s="134"/>
      <c r="E4" s="131"/>
      <c r="F4" s="131"/>
      <c r="G4" s="131"/>
      <c r="H4" s="131"/>
      <c r="I4" s="131"/>
    </row>
    <row r="5" spans="1:12" ht="16" customHeight="1">
      <c r="A5" s="1026" t="s">
        <v>16</v>
      </c>
      <c r="B5" s="1024" t="s">
        <v>614</v>
      </c>
      <c r="C5" s="1025"/>
      <c r="D5" s="1025"/>
      <c r="E5" s="1024" t="s">
        <v>471</v>
      </c>
      <c r="F5" s="1025"/>
      <c r="G5" s="1025"/>
      <c r="H5" s="131"/>
      <c r="I5" s="131"/>
    </row>
    <row r="6" spans="1:12" ht="16" customHeight="1">
      <c r="A6" s="1027"/>
      <c r="B6" s="848" t="s">
        <v>102</v>
      </c>
      <c r="C6" s="848" t="s">
        <v>218</v>
      </c>
      <c r="D6" s="848" t="s">
        <v>350</v>
      </c>
      <c r="E6" s="848" t="s">
        <v>102</v>
      </c>
      <c r="F6" s="848" t="s">
        <v>218</v>
      </c>
      <c r="G6" s="746" t="s">
        <v>350</v>
      </c>
      <c r="H6" s="131"/>
      <c r="I6" s="131"/>
    </row>
    <row r="7" spans="1:12" ht="18" customHeight="1">
      <c r="A7" s="683" t="s">
        <v>93</v>
      </c>
      <c r="B7" s="846">
        <f>(B9+B10+B11+B12+B13+B17+B18+B19+B20+B21+B22+B23+B24+B25+B26+B27+B28+B29+B32+B33+B34+B35+B36+B37)</f>
        <v>594979</v>
      </c>
      <c r="C7" s="846">
        <f>(C9+C10+C11+C12+C13+C17+C18+C19+C20+C21+C22+C23+C24+C25+C26+C27+C28+C29+C32+C33+C34+C35+C36+C37)</f>
        <v>8424.8973978050089</v>
      </c>
      <c r="D7" s="851">
        <f>(C7/B7)*1000</f>
        <v>14.159991189277283</v>
      </c>
      <c r="E7" s="846">
        <f>(E9+E10+E11+E12+E13+E17+E18+E19+E20+E21+E22+E23+E24+E25+E26+E27+E28+E29+E32+E33+E34+E35+E36+E37)</f>
        <v>626752.84466019413</v>
      </c>
      <c r="F7" s="846">
        <f>(F9+F10+F11+F12+F13+F17+F18+F19+F20+F21+F22+F23+F24+F25+F26+F27+F28+F29+F32+F33+F34+F35+F36+F37)</f>
        <v>8942.5674410629854</v>
      </c>
      <c r="G7" s="851">
        <f t="shared" ref="G7:G29" si="0">(F7/E7)*1000</f>
        <v>14.268092306643407</v>
      </c>
      <c r="H7" s="142"/>
      <c r="I7" s="140"/>
      <c r="J7" s="140"/>
    </row>
    <row r="8" spans="1:12" ht="3" customHeight="1">
      <c r="B8" s="847"/>
      <c r="C8" s="847"/>
      <c r="D8" s="852"/>
      <c r="E8" s="847"/>
      <c r="F8" s="847"/>
      <c r="G8" s="852"/>
      <c r="H8" s="140"/>
    </row>
    <row r="9" spans="1:12" ht="16" customHeight="1">
      <c r="A9" s="136" t="s">
        <v>19</v>
      </c>
      <c r="B9" s="847">
        <v>598</v>
      </c>
      <c r="C9" s="847">
        <v>10.4186821875</v>
      </c>
      <c r="D9" s="852">
        <f t="shared" ref="D9:D29" si="1">(C9/B9)*1000</f>
        <v>17.422545464046824</v>
      </c>
      <c r="E9" s="847">
        <v>372</v>
      </c>
      <c r="F9" s="847">
        <v>5.58</v>
      </c>
      <c r="G9" s="852">
        <f t="shared" si="0"/>
        <v>15</v>
      </c>
      <c r="H9" s="140"/>
      <c r="I9" s="140"/>
      <c r="J9" s="140"/>
      <c r="L9" s="140"/>
    </row>
    <row r="10" spans="1:12" ht="16" customHeight="1">
      <c r="A10" s="136" t="s">
        <v>20</v>
      </c>
      <c r="B10" s="847">
        <v>16414</v>
      </c>
      <c r="C10" s="847">
        <v>391.22500000000002</v>
      </c>
      <c r="D10" s="852">
        <f t="shared" si="1"/>
        <v>23.834836115511152</v>
      </c>
      <c r="E10" s="847">
        <v>16966</v>
      </c>
      <c r="F10" s="847">
        <v>439.7863636363636</v>
      </c>
      <c r="G10" s="852">
        <f t="shared" si="0"/>
        <v>25.921629354966615</v>
      </c>
      <c r="H10" s="140"/>
      <c r="I10" s="140"/>
      <c r="J10" s="140"/>
      <c r="L10" s="140"/>
    </row>
    <row r="11" spans="1:12" ht="16" customHeight="1">
      <c r="A11" s="136" t="s">
        <v>21</v>
      </c>
      <c r="B11" s="847">
        <v>8574</v>
      </c>
      <c r="C11" s="847">
        <v>108.117125</v>
      </c>
      <c r="D11" s="852">
        <f t="shared" si="1"/>
        <v>12.60988161884768</v>
      </c>
      <c r="E11" s="847">
        <v>6684</v>
      </c>
      <c r="F11" s="847">
        <v>76.316000000000003</v>
      </c>
      <c r="G11" s="852">
        <f t="shared" si="0"/>
        <v>11.417713943746259</v>
      </c>
      <c r="H11" s="140"/>
      <c r="I11" s="140"/>
      <c r="J11" s="140"/>
      <c r="L11" s="140"/>
    </row>
    <row r="12" spans="1:12" ht="16" customHeight="1">
      <c r="A12" s="130" t="s">
        <v>22</v>
      </c>
      <c r="B12" s="847">
        <v>161076</v>
      </c>
      <c r="C12" s="847">
        <v>2071.7388000000001</v>
      </c>
      <c r="D12" s="852">
        <f>(C12/B12)*1000</f>
        <v>12.861871414735901</v>
      </c>
      <c r="E12" s="847">
        <v>165166</v>
      </c>
      <c r="F12" s="847">
        <v>2168.3266199999998</v>
      </c>
      <c r="G12" s="852">
        <f t="shared" si="0"/>
        <v>13.128165724180519</v>
      </c>
      <c r="H12" s="140"/>
      <c r="I12" s="140"/>
      <c r="J12" s="140"/>
      <c r="L12" s="140"/>
    </row>
    <row r="13" spans="1:12" ht="16" customHeight="1">
      <c r="A13" s="130" t="s">
        <v>23</v>
      </c>
      <c r="B13" s="847">
        <v>43407</v>
      </c>
      <c r="C13" s="847">
        <v>815.35481093750002</v>
      </c>
      <c r="D13" s="852">
        <f t="shared" si="1"/>
        <v>18.783947541583156</v>
      </c>
      <c r="E13" s="847">
        <v>32308</v>
      </c>
      <c r="F13" s="847">
        <v>740.78219999999999</v>
      </c>
      <c r="G13" s="852">
        <f t="shared" si="0"/>
        <v>22.928754488052494</v>
      </c>
      <c r="H13" s="140"/>
      <c r="I13" s="140"/>
      <c r="J13" s="140"/>
      <c r="L13" s="140"/>
    </row>
    <row r="14" spans="1:12" ht="16" customHeight="1">
      <c r="A14" s="135" t="s">
        <v>88</v>
      </c>
      <c r="B14" s="847">
        <v>39726</v>
      </c>
      <c r="C14" s="847">
        <v>724.98478125000008</v>
      </c>
      <c r="D14" s="852">
        <f t="shared" si="1"/>
        <v>18.249629493278963</v>
      </c>
      <c r="E14" s="847">
        <v>29195</v>
      </c>
      <c r="F14" s="847">
        <v>684.28599999999994</v>
      </c>
      <c r="G14" s="852">
        <f t="shared" si="0"/>
        <v>23.438465490666207</v>
      </c>
      <c r="H14" s="140"/>
      <c r="I14" s="140"/>
      <c r="J14" s="140"/>
      <c r="L14" s="140"/>
    </row>
    <row r="15" spans="1:12" ht="16" customHeight="1">
      <c r="A15" s="135" t="s">
        <v>89</v>
      </c>
      <c r="B15" s="847">
        <v>3632</v>
      </c>
      <c r="C15" s="847">
        <v>89.385085937499994</v>
      </c>
      <c r="D15" s="852">
        <f t="shared" si="1"/>
        <v>24.610431150192728</v>
      </c>
      <c r="E15" s="847">
        <v>3029</v>
      </c>
      <c r="F15" s="847">
        <v>54.318999999999996</v>
      </c>
      <c r="G15" s="852">
        <f t="shared" si="0"/>
        <v>17.932981181908218</v>
      </c>
      <c r="H15" s="140"/>
      <c r="I15" s="140"/>
      <c r="J15" s="140"/>
      <c r="L15" s="140"/>
    </row>
    <row r="16" spans="1:12" ht="16" customHeight="1">
      <c r="A16" s="135" t="s">
        <v>90</v>
      </c>
      <c r="B16" s="847">
        <v>49</v>
      </c>
      <c r="C16" s="847">
        <v>0.9849437499999999</v>
      </c>
      <c r="D16" s="852">
        <f t="shared" si="1"/>
        <v>20.100892857142856</v>
      </c>
      <c r="E16" s="847">
        <v>84</v>
      </c>
      <c r="F16" s="847">
        <v>2.1772</v>
      </c>
      <c r="G16" s="852">
        <f t="shared" si="0"/>
        <v>25.919047619047618</v>
      </c>
      <c r="H16" s="140"/>
      <c r="I16" s="140"/>
      <c r="J16" s="140"/>
      <c r="L16" s="140"/>
    </row>
    <row r="17" spans="1:12" ht="16" customHeight="1">
      <c r="A17" s="136" t="s">
        <v>27</v>
      </c>
      <c r="B17" s="847">
        <v>1336</v>
      </c>
      <c r="C17" s="847">
        <v>23.811938281250001</v>
      </c>
      <c r="D17" s="852">
        <f t="shared" si="1"/>
        <v>17.823307096744013</v>
      </c>
      <c r="E17" s="847">
        <v>2011</v>
      </c>
      <c r="F17" s="847">
        <v>34.521999999999998</v>
      </c>
      <c r="G17" s="852">
        <f t="shared" si="0"/>
        <v>17.16658378915962</v>
      </c>
      <c r="H17" s="140"/>
      <c r="I17" s="140"/>
      <c r="J17" s="140"/>
      <c r="L17" s="140"/>
    </row>
    <row r="18" spans="1:12" ht="16" customHeight="1">
      <c r="A18" s="130" t="s">
        <v>28</v>
      </c>
      <c r="B18" s="847">
        <v>50380</v>
      </c>
      <c r="C18" s="847">
        <v>540.9831278447391</v>
      </c>
      <c r="D18" s="852">
        <f t="shared" si="1"/>
        <v>10.738053351423961</v>
      </c>
      <c r="E18" s="847">
        <v>61237</v>
      </c>
      <c r="F18" s="847">
        <v>678.68328439896436</v>
      </c>
      <c r="G18" s="852">
        <f t="shared" si="0"/>
        <v>11.08289570682699</v>
      </c>
      <c r="H18" s="140"/>
      <c r="I18" s="140"/>
      <c r="J18" s="140"/>
      <c r="L18" s="140"/>
    </row>
    <row r="19" spans="1:12" ht="16" customHeight="1">
      <c r="A19" s="130" t="s">
        <v>29</v>
      </c>
      <c r="B19" s="847">
        <v>61705</v>
      </c>
      <c r="C19" s="847">
        <v>910.1091689453126</v>
      </c>
      <c r="D19" s="852">
        <f t="shared" si="1"/>
        <v>14.749358543802165</v>
      </c>
      <c r="E19" s="847">
        <v>72886</v>
      </c>
      <c r="F19" s="847">
        <v>1058.6184996953805</v>
      </c>
      <c r="G19" s="852">
        <f t="shared" si="0"/>
        <v>14.524305074985326</v>
      </c>
      <c r="H19" s="140"/>
      <c r="I19" s="140"/>
      <c r="J19" s="140"/>
      <c r="L19" s="140"/>
    </row>
    <row r="20" spans="1:12" ht="16" customHeight="1">
      <c r="A20" s="136" t="s">
        <v>30</v>
      </c>
      <c r="B20" s="847">
        <v>2973</v>
      </c>
      <c r="C20" s="847">
        <v>31.231696054019739</v>
      </c>
      <c r="D20" s="852">
        <f t="shared" si="1"/>
        <v>10.505111353521608</v>
      </c>
      <c r="E20" s="847">
        <v>1551.8446601941748</v>
      </c>
      <c r="F20" s="847">
        <v>20.093373332272453</v>
      </c>
      <c r="G20" s="852">
        <f t="shared" si="0"/>
        <v>12.948057139790182</v>
      </c>
      <c r="H20" s="140"/>
      <c r="I20" s="140"/>
      <c r="J20" s="140"/>
      <c r="L20" s="140"/>
    </row>
    <row r="21" spans="1:12" ht="16" customHeight="1">
      <c r="A21" s="136" t="s">
        <v>31</v>
      </c>
      <c r="B21" s="847">
        <v>32006</v>
      </c>
      <c r="C21" s="847">
        <v>472.81352999999996</v>
      </c>
      <c r="D21" s="852">
        <f t="shared" si="1"/>
        <v>14.772652940073735</v>
      </c>
      <c r="E21" s="847">
        <v>34446</v>
      </c>
      <c r="F21" s="847">
        <v>540.58207999999991</v>
      </c>
      <c r="G21" s="852">
        <f t="shared" si="0"/>
        <v>15.693609707948669</v>
      </c>
      <c r="H21" s="140"/>
      <c r="I21" s="140"/>
      <c r="J21" s="140"/>
      <c r="L21" s="140"/>
    </row>
    <row r="22" spans="1:12" ht="16" customHeight="1">
      <c r="A22" s="136" t="s">
        <v>32</v>
      </c>
      <c r="B22" s="847">
        <v>63825</v>
      </c>
      <c r="C22" s="847">
        <v>707.85124999999994</v>
      </c>
      <c r="D22" s="852">
        <f t="shared" si="1"/>
        <v>11.090501370936153</v>
      </c>
      <c r="E22" s="847">
        <v>73556</v>
      </c>
      <c r="F22" s="847">
        <v>798.16499999999996</v>
      </c>
      <c r="G22" s="852">
        <f t="shared" si="0"/>
        <v>10.851120234923052</v>
      </c>
      <c r="H22" s="140"/>
      <c r="I22" s="140"/>
      <c r="J22" s="140"/>
      <c r="L22" s="140"/>
    </row>
    <row r="23" spans="1:12" ht="16" customHeight="1">
      <c r="A23" s="136" t="s">
        <v>33</v>
      </c>
      <c r="B23" s="847">
        <v>1894</v>
      </c>
      <c r="C23" s="847">
        <v>33.312000000000005</v>
      </c>
      <c r="D23" s="852">
        <f t="shared" si="1"/>
        <v>17.588173178458291</v>
      </c>
      <c r="E23" s="847">
        <v>1962</v>
      </c>
      <c r="F23" s="847">
        <v>34.876000000000005</v>
      </c>
      <c r="G23" s="852">
        <f t="shared" si="0"/>
        <v>17.77573904179409</v>
      </c>
      <c r="H23" s="140"/>
      <c r="I23" s="140"/>
      <c r="J23" s="140"/>
      <c r="L23" s="140"/>
    </row>
    <row r="24" spans="1:12" ht="16" customHeight="1">
      <c r="A24" s="136" t="s">
        <v>34</v>
      </c>
      <c r="B24" s="847">
        <v>8887</v>
      </c>
      <c r="C24" s="847">
        <v>119.63197656250001</v>
      </c>
      <c r="D24" s="852">
        <f t="shared" si="1"/>
        <v>13.461457923089908</v>
      </c>
      <c r="E24" s="847">
        <v>14235</v>
      </c>
      <c r="F24" s="847">
        <v>191.55872000000002</v>
      </c>
      <c r="G24" s="852">
        <f t="shared" si="0"/>
        <v>13.456882332279594</v>
      </c>
      <c r="H24" s="140"/>
      <c r="I24" s="140"/>
      <c r="J24" s="140"/>
      <c r="L24" s="140"/>
    </row>
    <row r="25" spans="1:12" ht="16" customHeight="1">
      <c r="A25" s="130" t="s">
        <v>35</v>
      </c>
      <c r="B25" s="847">
        <v>66038</v>
      </c>
      <c r="C25" s="847">
        <v>1056.019162109375</v>
      </c>
      <c r="D25" s="852">
        <f t="shared" si="1"/>
        <v>15.991083347608573</v>
      </c>
      <c r="E25" s="847">
        <v>67354</v>
      </c>
      <c r="F25" s="847">
        <v>1050.9477999999999</v>
      </c>
      <c r="G25" s="852">
        <f t="shared" si="0"/>
        <v>15.603346497609643</v>
      </c>
      <c r="H25" s="140"/>
      <c r="I25" s="140"/>
      <c r="J25" s="140"/>
      <c r="L25" s="140"/>
    </row>
    <row r="26" spans="1:12" ht="16" customHeight="1">
      <c r="A26" s="136" t="s">
        <v>36</v>
      </c>
      <c r="B26" s="847">
        <v>1195</v>
      </c>
      <c r="C26" s="847">
        <v>26.230999999999998</v>
      </c>
      <c r="D26" s="852">
        <f t="shared" si="1"/>
        <v>21.950627615062761</v>
      </c>
      <c r="E26" s="847">
        <v>1243</v>
      </c>
      <c r="F26" s="847">
        <v>27.420999999999999</v>
      </c>
      <c r="G26" s="852">
        <f t="shared" si="0"/>
        <v>22.060337892196298</v>
      </c>
      <c r="H26" s="140"/>
      <c r="I26" s="140"/>
      <c r="J26" s="140"/>
      <c r="L26" s="140"/>
    </row>
    <row r="27" spans="1:12" ht="16" customHeight="1">
      <c r="A27" s="136" t="s">
        <v>37</v>
      </c>
      <c r="B27" s="847">
        <v>265</v>
      </c>
      <c r="C27" s="847">
        <v>5.6630000000000003</v>
      </c>
      <c r="D27" s="852">
        <f t="shared" si="1"/>
        <v>21.369811320754717</v>
      </c>
      <c r="E27" s="847">
        <v>210</v>
      </c>
      <c r="F27" s="847">
        <v>4.5289999999999999</v>
      </c>
      <c r="G27" s="852">
        <f t="shared" si="0"/>
        <v>21.566666666666663</v>
      </c>
      <c r="H27" s="140"/>
      <c r="I27" s="140"/>
      <c r="J27" s="140"/>
      <c r="L27" s="140"/>
    </row>
    <row r="28" spans="1:12" ht="16" customHeight="1">
      <c r="A28" s="136" t="s">
        <v>38</v>
      </c>
      <c r="B28" s="847">
        <v>37055</v>
      </c>
      <c r="C28" s="847">
        <v>574.17200000000003</v>
      </c>
      <c r="D28" s="852">
        <f t="shared" si="1"/>
        <v>15.495128862501687</v>
      </c>
      <c r="E28" s="847">
        <v>27737</v>
      </c>
      <c r="F28" s="847">
        <v>389.56900000000002</v>
      </c>
      <c r="G28" s="852">
        <f t="shared" si="0"/>
        <v>14.045102210044345</v>
      </c>
      <c r="H28" s="140"/>
      <c r="I28" s="140"/>
      <c r="J28" s="140"/>
      <c r="L28" s="140"/>
    </row>
    <row r="29" spans="1:12" ht="16" customHeight="1">
      <c r="A29" s="130" t="s">
        <v>39</v>
      </c>
      <c r="B29" s="847">
        <v>7428</v>
      </c>
      <c r="C29" s="847">
        <f>C30+C31</f>
        <v>91.974004882812494</v>
      </c>
      <c r="D29" s="852">
        <f t="shared" si="1"/>
        <v>12.38206850872543</v>
      </c>
      <c r="E29" s="847">
        <v>7703</v>
      </c>
      <c r="F29" s="847">
        <v>97.666900000000012</v>
      </c>
      <c r="G29" s="852">
        <f t="shared" si="0"/>
        <v>12.679073088407115</v>
      </c>
      <c r="H29" s="140"/>
      <c r="I29" s="140"/>
      <c r="J29" s="140"/>
      <c r="L29" s="140"/>
    </row>
    <row r="30" spans="1:12" ht="16" customHeight="1">
      <c r="A30" s="135" t="s">
        <v>91</v>
      </c>
      <c r="B30" s="847">
        <v>3553</v>
      </c>
      <c r="C30" s="847">
        <v>43.203068359375003</v>
      </c>
      <c r="D30" s="852">
        <f>(C30/B30)*1000</f>
        <v>12.159602690508022</v>
      </c>
      <c r="E30" s="847">
        <v>3450</v>
      </c>
      <c r="F30" s="847">
        <v>41.708699999999993</v>
      </c>
      <c r="G30" s="852">
        <f>(F30/E30)*1000</f>
        <v>12.089478260869562</v>
      </c>
      <c r="H30" s="140"/>
      <c r="I30" s="140"/>
      <c r="J30" s="140"/>
      <c r="L30" s="140"/>
    </row>
    <row r="31" spans="1:12" ht="16" customHeight="1">
      <c r="A31" s="135" t="s">
        <v>92</v>
      </c>
      <c r="B31" s="847">
        <v>3875</v>
      </c>
      <c r="C31" s="847">
        <v>48.770936523437499</v>
      </c>
      <c r="D31" s="852">
        <f>(C31/B31)*1000</f>
        <v>12.586048135080645</v>
      </c>
      <c r="E31" s="847">
        <v>4253</v>
      </c>
      <c r="F31" s="847">
        <v>55.958199999999998</v>
      </c>
      <c r="G31" s="852">
        <f>(F31/E31)*1000</f>
        <v>13.157347754526215</v>
      </c>
      <c r="H31" s="140"/>
      <c r="I31" s="140"/>
      <c r="J31" s="140"/>
      <c r="L31" s="140"/>
    </row>
    <row r="32" spans="1:12" ht="16" customHeight="1">
      <c r="A32" s="136" t="s">
        <v>42</v>
      </c>
      <c r="B32" s="847">
        <v>7595</v>
      </c>
      <c r="C32" s="847">
        <v>127.67000000000002</v>
      </c>
      <c r="D32" s="852">
        <v>0</v>
      </c>
      <c r="E32" s="847">
        <v>10268</v>
      </c>
      <c r="F32" s="847">
        <v>175.50399999999999</v>
      </c>
      <c r="G32" s="852">
        <f t="shared" ref="G32:G34" si="2">(F32/E32)*1000</f>
        <v>17.09232567199065</v>
      </c>
      <c r="H32" s="140"/>
      <c r="I32" s="140"/>
      <c r="J32" s="140"/>
      <c r="L32" s="140"/>
    </row>
    <row r="33" spans="1:12" ht="16" customHeight="1">
      <c r="A33" s="136" t="s">
        <v>43</v>
      </c>
      <c r="B33" s="847">
        <v>20398</v>
      </c>
      <c r="C33" s="847">
        <v>273.15737499999994</v>
      </c>
      <c r="D33" s="852">
        <f>(C33/B33)*1000</f>
        <v>13.391380282380624</v>
      </c>
      <c r="E33" s="847">
        <v>27227</v>
      </c>
      <c r="F33" s="847">
        <v>379.6902</v>
      </c>
      <c r="G33" s="852">
        <f t="shared" si="2"/>
        <v>13.945355713078929</v>
      </c>
      <c r="H33" s="140"/>
      <c r="I33" s="140"/>
      <c r="J33" s="140"/>
      <c r="L33" s="140"/>
    </row>
    <row r="34" spans="1:12" ht="16" customHeight="1">
      <c r="A34" s="130" t="s">
        <v>44</v>
      </c>
      <c r="B34" s="847">
        <v>1821</v>
      </c>
      <c r="C34" s="847">
        <v>31.643750000000001</v>
      </c>
      <c r="D34" s="852">
        <f t="shared" ref="D34:D35" si="3">(C34/B34)*1000</f>
        <v>17.377127951674904</v>
      </c>
      <c r="E34" s="847">
        <v>1529</v>
      </c>
      <c r="F34" s="847">
        <v>27.855399999999999</v>
      </c>
      <c r="G34" s="852">
        <f t="shared" si="2"/>
        <v>18.218051013734467</v>
      </c>
      <c r="H34" s="140"/>
      <c r="I34" s="140"/>
      <c r="J34" s="140"/>
      <c r="L34" s="140"/>
    </row>
    <row r="35" spans="1:12" ht="16" customHeight="1">
      <c r="A35" s="130" t="s">
        <v>45</v>
      </c>
      <c r="B35" s="847">
        <v>109</v>
      </c>
      <c r="C35" s="847">
        <v>1.768</v>
      </c>
      <c r="D35" s="852">
        <f t="shared" si="3"/>
        <v>16.220183486238533</v>
      </c>
      <c r="E35" s="847">
        <v>101</v>
      </c>
      <c r="F35" s="847">
        <v>1.494</v>
      </c>
      <c r="G35" s="852">
        <f>(F35/E35)*1000</f>
        <v>14.792079207920791</v>
      </c>
      <c r="H35" s="140"/>
      <c r="I35" s="140"/>
      <c r="J35" s="140"/>
      <c r="L35" s="140"/>
    </row>
    <row r="36" spans="1:12" ht="16" customHeight="1">
      <c r="A36" s="130" t="s">
        <v>46</v>
      </c>
      <c r="B36" s="847">
        <v>0</v>
      </c>
      <c r="C36" s="847">
        <v>0</v>
      </c>
      <c r="D36" s="852">
        <v>0</v>
      </c>
      <c r="E36" s="847">
        <v>0</v>
      </c>
      <c r="F36" s="847">
        <v>0</v>
      </c>
      <c r="G36" s="852">
        <v>0</v>
      </c>
      <c r="H36" s="140"/>
      <c r="I36" s="140"/>
      <c r="J36" s="140"/>
      <c r="L36" s="140"/>
    </row>
    <row r="37" spans="1:12" ht="16" customHeight="1" thickBot="1">
      <c r="A37" s="141" t="s">
        <v>47</v>
      </c>
      <c r="B37" s="255">
        <v>0</v>
      </c>
      <c r="C37" s="255">
        <v>0</v>
      </c>
      <c r="D37" s="853">
        <v>0</v>
      </c>
      <c r="E37" s="255">
        <v>0</v>
      </c>
      <c r="F37" s="255">
        <v>0</v>
      </c>
      <c r="G37" s="854">
        <v>0</v>
      </c>
      <c r="H37" s="140"/>
      <c r="I37" s="140"/>
      <c r="J37" s="140"/>
      <c r="L37" s="140"/>
    </row>
    <row r="38" spans="1:12" ht="9" customHeight="1">
      <c r="A38" s="936" t="s">
        <v>330</v>
      </c>
      <c r="B38" s="477"/>
      <c r="C38" s="477"/>
      <c r="D38" s="477"/>
      <c r="E38" s="236"/>
      <c r="F38" s="236"/>
      <c r="G38" s="256"/>
      <c r="H38" s="236"/>
      <c r="I38" s="236"/>
    </row>
    <row r="39" spans="1:12" ht="9" customHeight="1">
      <c r="A39" s="936" t="s">
        <v>304</v>
      </c>
      <c r="B39" s="477"/>
      <c r="C39" s="477"/>
      <c r="D39" s="477"/>
      <c r="E39" s="236"/>
      <c r="F39" s="236"/>
      <c r="G39" s="236"/>
      <c r="H39" s="236"/>
      <c r="I39" s="236"/>
    </row>
    <row r="40" spans="1:12" ht="9" customHeight="1">
      <c r="A40" s="937" t="s">
        <v>303</v>
      </c>
      <c r="B40" s="477"/>
      <c r="C40" s="477"/>
      <c r="D40" s="477"/>
      <c r="E40" s="236"/>
      <c r="F40" s="236"/>
      <c r="G40" s="236"/>
      <c r="H40" s="236"/>
      <c r="I40" s="236"/>
    </row>
    <row r="41" spans="1:12" ht="13.25" customHeight="1">
      <c r="A41" s="11"/>
      <c r="B41" s="121"/>
      <c r="C41" s="121"/>
      <c r="D41" s="121"/>
      <c r="E41" s="121"/>
      <c r="F41" s="121"/>
      <c r="G41" s="121"/>
      <c r="H41" s="121"/>
      <c r="I41" s="121"/>
    </row>
    <row r="42" spans="1:12" ht="13.25" customHeight="1">
      <c r="A42" s="67"/>
      <c r="B42" s="121"/>
      <c r="C42" s="121"/>
      <c r="D42" s="121"/>
      <c r="E42" s="121"/>
      <c r="F42" s="121"/>
      <c r="G42" s="121"/>
      <c r="H42" s="121"/>
      <c r="I42" s="121"/>
    </row>
    <row r="43" spans="1:12" ht="13.25" customHeight="1">
      <c r="A43" s="67"/>
      <c r="B43" s="121"/>
      <c r="C43" s="121"/>
      <c r="D43" s="121"/>
      <c r="E43" s="121"/>
      <c r="F43" s="121"/>
      <c r="G43" s="121"/>
      <c r="H43" s="121"/>
      <c r="I43" s="121"/>
    </row>
    <row r="44" spans="1:12" ht="13.25" customHeight="1">
      <c r="A44" s="22"/>
      <c r="B44" s="121"/>
      <c r="C44" s="121"/>
      <c r="D44" s="121"/>
      <c r="E44" s="121"/>
      <c r="F44" s="121"/>
      <c r="G44" s="121"/>
      <c r="H44" s="121"/>
      <c r="I44" s="121"/>
    </row>
    <row r="45" spans="1:12" ht="13.25" customHeight="1">
      <c r="A45" s="30"/>
      <c r="B45" s="121"/>
      <c r="C45" s="121"/>
      <c r="D45" s="121"/>
      <c r="E45" s="121"/>
      <c r="F45" s="121"/>
      <c r="G45" s="121"/>
      <c r="H45" s="121"/>
      <c r="I45" s="121"/>
    </row>
    <row r="46" spans="1:12" ht="13.25" customHeight="1">
      <c r="A46" s="22"/>
      <c r="B46" s="121"/>
      <c r="C46" s="121"/>
      <c r="D46" s="121"/>
      <c r="E46" s="121"/>
      <c r="F46" s="121"/>
      <c r="G46" s="121"/>
      <c r="H46" s="121"/>
      <c r="I46" s="121"/>
    </row>
    <row r="47" spans="1:12" ht="13.25" customHeight="1">
      <c r="A47" s="67"/>
      <c r="B47" s="121"/>
      <c r="C47" s="121"/>
      <c r="D47" s="121"/>
      <c r="E47" s="121"/>
      <c r="F47" s="121"/>
      <c r="G47" s="121"/>
      <c r="H47" s="121"/>
      <c r="I47" s="121"/>
    </row>
    <row r="48" spans="1:12" ht="13.25" customHeight="1">
      <c r="A48" s="67"/>
      <c r="B48" s="121"/>
      <c r="C48" s="121"/>
      <c r="D48" s="121"/>
      <c r="E48" s="121"/>
      <c r="F48" s="121"/>
      <c r="G48" s="121"/>
      <c r="H48" s="121"/>
      <c r="I48" s="121"/>
    </row>
  </sheetData>
  <mergeCells count="3">
    <mergeCell ref="B5:D5"/>
    <mergeCell ref="E5:G5"/>
    <mergeCell ref="A5:A6"/>
  </mergeCells>
  <printOptions horizontalCentered="1" verticalCentered="1" gridLinesSet="0"/>
  <pageMargins left="0" right="0" top="0" bottom="0" header="0" footer="0"/>
  <pageSetup paperSize="8" orientation="portrait" r:id="rId1"/>
  <headerFooter scaleWithDoc="0" alignWithMargins="0"/>
  <ignoredErrors>
    <ignoredError sqref="D7" formula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syncVertical="1" syncRef="A7" transitionEvaluation="1" codeName="Hoja90">
    <tabColor theme="9" tint="0.59999389629810485"/>
  </sheetPr>
  <dimension ref="A1:O48"/>
  <sheetViews>
    <sheetView showGridLines="0" topLeftCell="A7" zoomScale="118" zoomScaleNormal="118" workbookViewId="0">
      <selection activeCell="E7" sqref="E7"/>
    </sheetView>
  </sheetViews>
  <sheetFormatPr baseColWidth="10" defaultColWidth="7" defaultRowHeight="13.25" customHeight="1"/>
  <cols>
    <col min="1" max="1" width="16.796875" style="130" customWidth="1"/>
    <col min="2" max="7" width="12" style="130" customWidth="1"/>
    <col min="8" max="8" width="8" style="130" customWidth="1"/>
    <col min="9" max="16384" width="7" style="130"/>
  </cols>
  <sheetData>
    <row r="1" spans="1:12" ht="13.25" customHeight="1">
      <c r="B1" s="131"/>
    </row>
    <row r="3" spans="1:12" ht="13.25" customHeight="1">
      <c r="A3" s="257" t="s">
        <v>520</v>
      </c>
      <c r="B3" s="132"/>
      <c r="C3" s="132"/>
      <c r="D3" s="132"/>
      <c r="E3" s="132"/>
      <c r="F3" s="132"/>
      <c r="G3" s="132"/>
    </row>
    <row r="4" spans="1:12" ht="6" customHeight="1" thickBot="1">
      <c r="A4" s="1028"/>
      <c r="B4" s="1028"/>
      <c r="C4" s="1028"/>
      <c r="D4" s="1028"/>
      <c r="E4" s="1028"/>
      <c r="F4" s="1028"/>
      <c r="G4" s="1028"/>
    </row>
    <row r="5" spans="1:12" ht="16" customHeight="1">
      <c r="A5" s="1030" t="s">
        <v>16</v>
      </c>
      <c r="B5" s="1029" t="s">
        <v>613</v>
      </c>
      <c r="C5" s="1029"/>
      <c r="D5" s="1029"/>
      <c r="E5" s="1029" t="s">
        <v>481</v>
      </c>
      <c r="F5" s="1029"/>
      <c r="G5" s="1029"/>
    </row>
    <row r="6" spans="1:12" ht="16" customHeight="1">
      <c r="A6" s="1031"/>
      <c r="B6" s="849" t="s">
        <v>102</v>
      </c>
      <c r="C6" s="850" t="s">
        <v>218</v>
      </c>
      <c r="D6" s="850" t="s">
        <v>350</v>
      </c>
      <c r="E6" s="849" t="s">
        <v>102</v>
      </c>
      <c r="F6" s="850" t="s">
        <v>218</v>
      </c>
      <c r="G6" s="747" t="s">
        <v>350</v>
      </c>
    </row>
    <row r="7" spans="1:12" ht="18" customHeight="1">
      <c r="A7" s="855" t="s">
        <v>93</v>
      </c>
      <c r="B7" s="856">
        <f>(B9+B10+B11+B12+B13+B17+B18+B19+B20+B21+B22+B23+B24+B25+B26+B27+B28+B29+B32+B33+B34+B35+B36+B37)</f>
        <v>2249832</v>
      </c>
      <c r="C7" s="856">
        <f>(C9+C10+C11+C12+C13+C17+C18+C19+C20+C21+C22+C23+C24+C25+C26+C27+C28+C29+C32+C33+C34+C35+C36+C37)</f>
        <v>161392.2016899944</v>
      </c>
      <c r="D7" s="857">
        <f>(C7/B7)*1000</f>
        <v>71.735223647807658</v>
      </c>
      <c r="E7" s="856">
        <f>(E9+E10+E11+E12+E13+E17+E18+E19+E20+E21+E22+E23+E24+E25+E26+E27+E28+E29+E32+E33+E34+E35+E36+E37)</f>
        <v>2316755.6499380423</v>
      </c>
      <c r="F7" s="856">
        <f>(F9+F10+F11+F12+F13+F17+F18+F19+F20+F21+F22+F23+F24+F25+F26+F27+F28+F29+F32+F33+F34+F35+F36+F37)</f>
        <v>162336.86412535637</v>
      </c>
      <c r="G7" s="857">
        <f>(F7/E7)*1000</f>
        <v>70.070775107291865</v>
      </c>
      <c r="I7" s="140"/>
      <c r="J7" s="140"/>
    </row>
    <row r="8" spans="1:12" ht="3" customHeight="1">
      <c r="B8" s="847"/>
      <c r="C8" s="847"/>
      <c r="D8" s="852"/>
      <c r="E8" s="847"/>
      <c r="F8" s="847"/>
      <c r="G8" s="852"/>
    </row>
    <row r="9" spans="1:12" ht="16" customHeight="1">
      <c r="A9" s="136" t="s">
        <v>19</v>
      </c>
      <c r="B9" s="847">
        <v>1983</v>
      </c>
      <c r="C9" s="847">
        <v>97.167500000000004</v>
      </c>
      <c r="D9" s="852">
        <f t="shared" ref="D9:D31" si="0">(C9/B9)*1000</f>
        <v>49.000252143217352</v>
      </c>
      <c r="E9" s="847">
        <v>2084</v>
      </c>
      <c r="F9" s="847">
        <v>109.41</v>
      </c>
      <c r="G9" s="852">
        <f t="shared" ref="G9:G33" si="1">(F9/E9)*1000</f>
        <v>52.5</v>
      </c>
      <c r="I9" s="140"/>
      <c r="J9" s="140"/>
      <c r="L9" s="140"/>
    </row>
    <row r="10" spans="1:12" ht="16" customHeight="1">
      <c r="A10" s="136" t="s">
        <v>20</v>
      </c>
      <c r="B10" s="847">
        <v>28271</v>
      </c>
      <c r="C10" s="847">
        <v>1817.6549999999997</v>
      </c>
      <c r="D10" s="852">
        <f t="shared" si="0"/>
        <v>64.293976159315193</v>
      </c>
      <c r="E10" s="847">
        <v>29814</v>
      </c>
      <c r="F10" s="847">
        <v>1873.7549999999997</v>
      </c>
      <c r="G10" s="852">
        <f t="shared" si="1"/>
        <v>62.84815858321592</v>
      </c>
      <c r="I10" s="140"/>
      <c r="J10" s="140"/>
      <c r="L10" s="140"/>
    </row>
    <row r="11" spans="1:12" ht="16" customHeight="1">
      <c r="A11" s="136" t="s">
        <v>21</v>
      </c>
      <c r="B11" s="847">
        <v>38411</v>
      </c>
      <c r="C11" s="847">
        <v>2569.7556250000007</v>
      </c>
      <c r="D11" s="852">
        <f t="shared" si="0"/>
        <v>66.901554893129585</v>
      </c>
      <c r="E11" s="847">
        <v>34591</v>
      </c>
      <c r="F11" s="847">
        <v>2239.7743999999998</v>
      </c>
      <c r="G11" s="852">
        <f t="shared" si="1"/>
        <v>64.750206701165027</v>
      </c>
      <c r="I11" s="140"/>
      <c r="J11" s="140"/>
      <c r="L11" s="140"/>
    </row>
    <row r="12" spans="1:12" ht="16" customHeight="1">
      <c r="A12" s="130" t="s">
        <v>22</v>
      </c>
      <c r="B12" s="847">
        <v>147258</v>
      </c>
      <c r="C12" s="847">
        <v>8371.5910899999999</v>
      </c>
      <c r="D12" s="852">
        <f t="shared" si="0"/>
        <v>56.849822013065499</v>
      </c>
      <c r="E12" s="847">
        <v>138100</v>
      </c>
      <c r="F12" s="847">
        <v>7935.4631999999992</v>
      </c>
      <c r="G12" s="852">
        <f t="shared" si="1"/>
        <v>57.461717595944961</v>
      </c>
      <c r="I12" s="140"/>
      <c r="J12" s="140"/>
      <c r="L12" s="140"/>
    </row>
    <row r="13" spans="1:12" ht="16" customHeight="1">
      <c r="A13" s="130" t="s">
        <v>23</v>
      </c>
      <c r="B13" s="847">
        <v>82133</v>
      </c>
      <c r="C13" s="847">
        <v>4226.4327615624998</v>
      </c>
      <c r="D13" s="852">
        <f t="shared" si="0"/>
        <v>51.458399931361321</v>
      </c>
      <c r="E13" s="847">
        <v>88669</v>
      </c>
      <c r="F13" s="847">
        <v>4512.8977999999997</v>
      </c>
      <c r="G13" s="852">
        <f t="shared" si="1"/>
        <v>50.896004240489908</v>
      </c>
      <c r="I13" s="140"/>
      <c r="J13" s="140"/>
      <c r="L13" s="140"/>
    </row>
    <row r="14" spans="1:12" ht="16" customHeight="1">
      <c r="A14" s="135" t="s">
        <v>24</v>
      </c>
      <c r="B14" s="847">
        <v>37455</v>
      </c>
      <c r="C14" s="847">
        <v>1772.913125</v>
      </c>
      <c r="D14" s="852">
        <f t="shared" si="0"/>
        <v>47.334484714991326</v>
      </c>
      <c r="E14" s="847">
        <v>39438</v>
      </c>
      <c r="F14" s="847">
        <v>1970.0435499999999</v>
      </c>
      <c r="G14" s="852">
        <f t="shared" si="1"/>
        <v>49.95292737968456</v>
      </c>
      <c r="I14" s="140"/>
      <c r="J14" s="140"/>
      <c r="L14" s="140"/>
    </row>
    <row r="15" spans="1:12" ht="16" customHeight="1">
      <c r="A15" s="135" t="s">
        <v>25</v>
      </c>
      <c r="B15" s="847">
        <v>30538</v>
      </c>
      <c r="C15" s="847">
        <v>1641.0056562499999</v>
      </c>
      <c r="D15" s="852">
        <f t="shared" si="0"/>
        <v>53.736513728796908</v>
      </c>
      <c r="E15" s="847">
        <v>33501</v>
      </c>
      <c r="F15" s="847">
        <v>1617.5419999999999</v>
      </c>
      <c r="G15" s="852">
        <f t="shared" si="1"/>
        <v>48.283394525536551</v>
      </c>
      <c r="I15" s="140"/>
      <c r="J15" s="140"/>
      <c r="L15" s="140"/>
    </row>
    <row r="16" spans="1:12" ht="16" customHeight="1">
      <c r="A16" s="135" t="s">
        <v>26</v>
      </c>
      <c r="B16" s="847">
        <v>14139</v>
      </c>
      <c r="C16" s="847">
        <v>812.51398031250005</v>
      </c>
      <c r="D16" s="852">
        <f t="shared" si="0"/>
        <v>57.466156044451523</v>
      </c>
      <c r="E16" s="847">
        <v>15730</v>
      </c>
      <c r="F16" s="847">
        <v>925.31225000000006</v>
      </c>
      <c r="G16" s="852">
        <f t="shared" si="1"/>
        <v>58.824682136045773</v>
      </c>
      <c r="I16" s="140"/>
      <c r="J16" s="140"/>
      <c r="L16" s="140"/>
    </row>
    <row r="17" spans="1:15" ht="16" customHeight="1">
      <c r="A17" s="136" t="s">
        <v>27</v>
      </c>
      <c r="B17" s="847">
        <v>14861</v>
      </c>
      <c r="C17" s="847">
        <v>861.12491406250001</v>
      </c>
      <c r="D17" s="852">
        <f t="shared" si="0"/>
        <v>57.945287266166474</v>
      </c>
      <c r="E17" s="847">
        <v>17691</v>
      </c>
      <c r="F17" s="847">
        <v>913.22900000000004</v>
      </c>
      <c r="G17" s="852">
        <f t="shared" si="1"/>
        <v>51.621106777457463</v>
      </c>
      <c r="I17" s="140"/>
      <c r="J17" s="140"/>
      <c r="L17" s="140"/>
      <c r="O17" s="858"/>
    </row>
    <row r="18" spans="1:15" ht="16" customHeight="1">
      <c r="A18" s="130" t="s">
        <v>28</v>
      </c>
      <c r="B18" s="847">
        <v>20242</v>
      </c>
      <c r="C18" s="847">
        <v>695.5775167528966</v>
      </c>
      <c r="D18" s="852">
        <f t="shared" si="0"/>
        <v>34.363082538923855</v>
      </c>
      <c r="E18" s="847">
        <v>26630</v>
      </c>
      <c r="F18" s="847">
        <v>951.51124666962619</v>
      </c>
      <c r="G18" s="852">
        <f t="shared" si="1"/>
        <v>35.730801602314166</v>
      </c>
      <c r="I18" s="140"/>
      <c r="J18" s="140"/>
      <c r="L18" s="140"/>
    </row>
    <row r="19" spans="1:15" ht="16" customHeight="1">
      <c r="A19" s="130" t="s">
        <v>29</v>
      </c>
      <c r="B19" s="847">
        <v>1293096</v>
      </c>
      <c r="C19" s="847">
        <v>102884.03834042685</v>
      </c>
      <c r="D19" s="852">
        <f t="shared" si="0"/>
        <v>79.56411460589689</v>
      </c>
      <c r="E19" s="847">
        <v>1254489</v>
      </c>
      <c r="F19" s="847">
        <v>100031.34471937577</v>
      </c>
      <c r="G19" s="852">
        <f t="shared" si="1"/>
        <v>79.738718091091883</v>
      </c>
      <c r="I19" s="140"/>
      <c r="J19" s="140"/>
      <c r="L19" s="140"/>
    </row>
    <row r="20" spans="1:15" ht="16" customHeight="1">
      <c r="A20" s="136" t="s">
        <v>30</v>
      </c>
      <c r="B20" s="847">
        <v>18390</v>
      </c>
      <c r="C20" s="847">
        <v>1361.1730084396099</v>
      </c>
      <c r="D20" s="852">
        <f t="shared" si="0"/>
        <v>74.017020578554096</v>
      </c>
      <c r="E20" s="847">
        <v>19331.64993804213</v>
      </c>
      <c r="F20" s="847">
        <v>1434.7571013109691</v>
      </c>
      <c r="G20" s="852">
        <f t="shared" si="1"/>
        <v>74.218036531251116</v>
      </c>
      <c r="I20" s="140"/>
      <c r="J20" s="140"/>
      <c r="L20" s="140"/>
    </row>
    <row r="21" spans="1:15" ht="16" customHeight="1">
      <c r="A21" s="136" t="s">
        <v>31</v>
      </c>
      <c r="B21" s="1011">
        <v>46012</v>
      </c>
      <c r="C21" s="847">
        <v>2076.9652299999998</v>
      </c>
      <c r="D21" s="852">
        <f t="shared" si="0"/>
        <v>45.139642484569237</v>
      </c>
      <c r="E21" s="847">
        <v>85817</v>
      </c>
      <c r="F21" s="847">
        <v>3250.0728999999997</v>
      </c>
      <c r="G21" s="852">
        <f t="shared" si="1"/>
        <v>37.872133726417836</v>
      </c>
      <c r="I21" s="140"/>
      <c r="J21" s="140"/>
      <c r="L21" s="140"/>
    </row>
    <row r="22" spans="1:15" ht="16" customHeight="1">
      <c r="A22" s="136" t="s">
        <v>32</v>
      </c>
      <c r="B22" s="1011">
        <v>3038</v>
      </c>
      <c r="C22" s="847">
        <v>141.87453124999999</v>
      </c>
      <c r="D22" s="852">
        <f t="shared" si="0"/>
        <v>46.699977369980246</v>
      </c>
      <c r="E22" s="847">
        <v>6853</v>
      </c>
      <c r="F22" s="847">
        <v>288.87450000000001</v>
      </c>
      <c r="G22" s="852">
        <f t="shared" si="1"/>
        <v>42.15299868670656</v>
      </c>
      <c r="I22" s="140"/>
      <c r="J22" s="140"/>
      <c r="L22" s="140"/>
    </row>
    <row r="23" spans="1:15" ht="16" customHeight="1">
      <c r="A23" s="136" t="s">
        <v>33</v>
      </c>
      <c r="B23" s="847">
        <v>12771</v>
      </c>
      <c r="C23" s="847">
        <v>785.8839999999999</v>
      </c>
      <c r="D23" s="852">
        <f t="shared" si="0"/>
        <v>61.536606373815665</v>
      </c>
      <c r="E23" s="847">
        <v>12199</v>
      </c>
      <c r="F23" s="847">
        <v>762.78</v>
      </c>
      <c r="G23" s="852">
        <f t="shared" si="1"/>
        <v>62.52807607180916</v>
      </c>
      <c r="I23" s="140"/>
      <c r="J23" s="140"/>
      <c r="L23" s="140"/>
    </row>
    <row r="24" spans="1:15" ht="16" customHeight="1">
      <c r="A24" s="136" t="s">
        <v>34</v>
      </c>
      <c r="B24" s="847">
        <v>3112</v>
      </c>
      <c r="C24" s="847">
        <v>168.76059375</v>
      </c>
      <c r="D24" s="852">
        <f t="shared" si="0"/>
        <v>54.22898256748072</v>
      </c>
      <c r="E24" s="847">
        <v>4141</v>
      </c>
      <c r="F24" s="847">
        <v>221.700568</v>
      </c>
      <c r="G24" s="852">
        <f t="shared" si="1"/>
        <v>53.537929968606619</v>
      </c>
      <c r="I24" s="140"/>
      <c r="J24" s="140"/>
      <c r="L24" s="140"/>
    </row>
    <row r="25" spans="1:15" ht="16" customHeight="1">
      <c r="A25" s="130" t="s">
        <v>35</v>
      </c>
      <c r="B25" s="847">
        <v>350492</v>
      </c>
      <c r="C25" s="847">
        <v>23827.949812499995</v>
      </c>
      <c r="D25" s="852">
        <f t="shared" si="0"/>
        <v>67.984290119317976</v>
      </c>
      <c r="E25" s="847">
        <v>405557</v>
      </c>
      <c r="F25" s="847">
        <v>26431.470700000005</v>
      </c>
      <c r="G25" s="852">
        <f t="shared" si="1"/>
        <v>65.173257273330279</v>
      </c>
      <c r="I25" s="140"/>
      <c r="J25" s="140"/>
      <c r="L25" s="140"/>
    </row>
    <row r="26" spans="1:15" ht="16" customHeight="1">
      <c r="A26" s="136" t="s">
        <v>36</v>
      </c>
      <c r="B26" s="1011">
        <v>14567</v>
      </c>
      <c r="C26" s="847">
        <v>715.20600000000013</v>
      </c>
      <c r="D26" s="852">
        <f t="shared" si="0"/>
        <v>49.097686551795157</v>
      </c>
      <c r="E26" s="847">
        <v>12663</v>
      </c>
      <c r="F26" s="847">
        <v>609.92399999999998</v>
      </c>
      <c r="G26" s="852">
        <f t="shared" si="1"/>
        <v>48.165837479270316</v>
      </c>
      <c r="I26" s="140"/>
      <c r="J26" s="140"/>
      <c r="L26" s="140"/>
    </row>
    <row r="27" spans="1:15" ht="16" customHeight="1">
      <c r="A27" s="136" t="s">
        <v>37</v>
      </c>
      <c r="B27" s="1011">
        <v>251</v>
      </c>
      <c r="C27" s="847">
        <v>10.994</v>
      </c>
      <c r="D27" s="852">
        <f t="shared" si="0"/>
        <v>43.800796812749006</v>
      </c>
      <c r="E27" s="847">
        <v>233</v>
      </c>
      <c r="F27" s="847">
        <v>10.244999999999997</v>
      </c>
      <c r="G27" s="852">
        <f t="shared" si="1"/>
        <v>43.969957081545054</v>
      </c>
      <c r="I27" s="140"/>
      <c r="J27" s="140"/>
      <c r="L27" s="140"/>
    </row>
    <row r="28" spans="1:15" ht="16" customHeight="1">
      <c r="A28" s="136" t="s">
        <v>38</v>
      </c>
      <c r="B28" s="847">
        <v>34320</v>
      </c>
      <c r="C28" s="847">
        <v>1795.877</v>
      </c>
      <c r="D28" s="852">
        <f t="shared" si="0"/>
        <v>52.327418414918412</v>
      </c>
      <c r="E28" s="847">
        <v>30695</v>
      </c>
      <c r="F28" s="847">
        <v>1602.576</v>
      </c>
      <c r="G28" s="852">
        <f t="shared" si="1"/>
        <v>52.209675842971166</v>
      </c>
      <c r="I28" s="140"/>
      <c r="J28" s="140"/>
      <c r="L28" s="140"/>
    </row>
    <row r="29" spans="1:15" ht="16" customHeight="1">
      <c r="A29" s="130" t="s">
        <v>39</v>
      </c>
      <c r="B29" s="847">
        <v>11014</v>
      </c>
      <c r="C29" s="847">
        <v>454.20203125</v>
      </c>
      <c r="D29" s="852">
        <f t="shared" si="0"/>
        <v>41.238608248592698</v>
      </c>
      <c r="E29" s="847">
        <v>10754</v>
      </c>
      <c r="F29" s="847">
        <v>464.90325000000001</v>
      </c>
      <c r="G29" s="852">
        <f t="shared" si="1"/>
        <v>43.230728101171657</v>
      </c>
      <c r="I29" s="140"/>
      <c r="J29" s="140"/>
      <c r="L29" s="140"/>
    </row>
    <row r="30" spans="1:15" ht="16" customHeight="1">
      <c r="A30" s="135" t="s">
        <v>40</v>
      </c>
      <c r="B30" s="847">
        <v>4854</v>
      </c>
      <c r="C30" s="847">
        <v>195.08803124999997</v>
      </c>
      <c r="D30" s="852">
        <f t="shared" si="0"/>
        <v>40.191188967861549</v>
      </c>
      <c r="E30" s="847">
        <v>4602</v>
      </c>
      <c r="F30" s="847">
        <v>190.98824999999999</v>
      </c>
      <c r="G30" s="852">
        <f t="shared" si="1"/>
        <v>41.501140808344196</v>
      </c>
      <c r="I30" s="140"/>
      <c r="J30" s="140"/>
      <c r="L30" s="140"/>
    </row>
    <row r="31" spans="1:15" ht="16" customHeight="1">
      <c r="A31" s="135" t="s">
        <v>41</v>
      </c>
      <c r="B31" s="847">
        <v>6160</v>
      </c>
      <c r="C31" s="847">
        <v>259.11399999999998</v>
      </c>
      <c r="D31" s="852">
        <f t="shared" si="0"/>
        <v>42.063961038961033</v>
      </c>
      <c r="E31" s="847">
        <v>6152</v>
      </c>
      <c r="F31" s="847">
        <v>273.91500000000002</v>
      </c>
      <c r="G31" s="852">
        <f t="shared" si="1"/>
        <v>44.524544863459042</v>
      </c>
      <c r="I31" s="140"/>
      <c r="J31" s="140"/>
      <c r="L31" s="140"/>
    </row>
    <row r="32" spans="1:15" ht="16" customHeight="1">
      <c r="A32" s="136" t="s">
        <v>42</v>
      </c>
      <c r="B32" s="1009" t="s">
        <v>615</v>
      </c>
      <c r="C32" s="1009" t="s">
        <v>615</v>
      </c>
      <c r="D32" s="1010" t="s">
        <v>615</v>
      </c>
      <c r="E32" s="847">
        <v>238</v>
      </c>
      <c r="F32" s="847">
        <v>20.831</v>
      </c>
      <c r="G32" s="852">
        <f t="shared" si="1"/>
        <v>87.525210084033603</v>
      </c>
      <c r="I32" s="140"/>
      <c r="J32" s="140"/>
      <c r="L32" s="140"/>
    </row>
    <row r="33" spans="1:12" ht="16" customHeight="1">
      <c r="A33" s="136" t="s">
        <v>43</v>
      </c>
      <c r="B33" s="847">
        <v>3259</v>
      </c>
      <c r="C33" s="847">
        <v>119.89187499999998</v>
      </c>
      <c r="D33" s="852">
        <f>(C33/B33)*1000</f>
        <v>36.787933415158022</v>
      </c>
      <c r="E33" s="847">
        <v>4600</v>
      </c>
      <c r="F33" s="847">
        <v>177.18599999999998</v>
      </c>
      <c r="G33" s="852">
        <f t="shared" si="1"/>
        <v>38.518695652173911</v>
      </c>
      <c r="I33" s="140"/>
      <c r="J33" s="140"/>
      <c r="L33" s="140"/>
    </row>
    <row r="34" spans="1:12" ht="16" customHeight="1">
      <c r="A34" s="130" t="s">
        <v>44</v>
      </c>
      <c r="B34" s="847">
        <v>79023</v>
      </c>
      <c r="C34" s="847">
        <v>4956.2387899999994</v>
      </c>
      <c r="D34" s="852">
        <f>(C34/B34)*1000</f>
        <v>62.718939928881461</v>
      </c>
      <c r="E34" s="847">
        <v>91988</v>
      </c>
      <c r="F34" s="847">
        <v>5690.6420299999991</v>
      </c>
      <c r="G34" s="852">
        <f>(F34/E34)*1000</f>
        <v>61.862873744401433</v>
      </c>
      <c r="I34" s="140"/>
      <c r="J34" s="140"/>
      <c r="L34" s="140"/>
    </row>
    <row r="35" spans="1:12" ht="16" customHeight="1">
      <c r="A35" s="130" t="s">
        <v>45</v>
      </c>
      <c r="B35" s="847">
        <v>23121</v>
      </c>
      <c r="C35" s="847">
        <v>1830.9559999999999</v>
      </c>
      <c r="D35" s="852">
        <f>(C35/B35)*1000</f>
        <v>79.190173435405029</v>
      </c>
      <c r="E35" s="847">
        <v>17745</v>
      </c>
      <c r="F35" s="847">
        <v>1343.316</v>
      </c>
      <c r="G35" s="852">
        <f>(F35/E35)*1000</f>
        <v>75.701098901098902</v>
      </c>
      <c r="I35" s="140"/>
      <c r="J35" s="140"/>
      <c r="L35" s="140"/>
    </row>
    <row r="36" spans="1:12" ht="16" customHeight="1">
      <c r="A36" s="130" t="s">
        <v>46</v>
      </c>
      <c r="B36" s="847">
        <v>7182</v>
      </c>
      <c r="C36" s="847">
        <v>481.90606999999994</v>
      </c>
      <c r="D36" s="852">
        <f>(C36/B36)*1000</f>
        <v>67.099146477304359</v>
      </c>
      <c r="E36" s="847">
        <v>6280</v>
      </c>
      <c r="F36" s="847">
        <v>420.86196000000001</v>
      </c>
      <c r="G36" s="852">
        <f>(F36/E36)*1000</f>
        <v>67.016235668789804</v>
      </c>
      <c r="I36" s="140"/>
      <c r="J36" s="140"/>
      <c r="L36" s="140"/>
    </row>
    <row r="37" spans="1:12" ht="16" customHeight="1" thickBot="1">
      <c r="A37" s="141" t="s">
        <v>47</v>
      </c>
      <c r="B37" s="255">
        <v>17025</v>
      </c>
      <c r="C37" s="255">
        <v>1140.9799999999998</v>
      </c>
      <c r="D37" s="853">
        <f>C37/B37*1000</f>
        <v>67.017914831130682</v>
      </c>
      <c r="E37" s="255">
        <v>15593</v>
      </c>
      <c r="F37" s="255">
        <v>1039.3377499999999</v>
      </c>
      <c r="G37" s="853">
        <f>F37/E37*1000</f>
        <v>66.654123645225411</v>
      </c>
      <c r="I37" s="140"/>
      <c r="J37" s="140"/>
      <c r="L37" s="140"/>
    </row>
    <row r="38" spans="1:12" ht="9" customHeight="1">
      <c r="A38" s="449" t="s">
        <v>330</v>
      </c>
      <c r="B38" s="477"/>
      <c r="C38" s="477"/>
      <c r="D38" s="477"/>
      <c r="E38" s="477"/>
      <c r="F38" s="236"/>
      <c r="G38" s="256"/>
      <c r="H38" s="236"/>
      <c r="I38" s="250"/>
    </row>
    <row r="39" spans="1:12" ht="9" customHeight="1">
      <c r="A39" s="449" t="s">
        <v>304</v>
      </c>
      <c r="B39" s="477"/>
      <c r="C39" s="477"/>
      <c r="D39" s="477"/>
      <c r="E39" s="477"/>
      <c r="F39" s="236"/>
      <c r="G39" s="236"/>
      <c r="H39" s="236"/>
      <c r="I39" s="250"/>
    </row>
    <row r="40" spans="1:12" ht="9" customHeight="1">
      <c r="A40" s="451" t="s">
        <v>303</v>
      </c>
      <c r="B40" s="477"/>
      <c r="C40" s="477"/>
      <c r="D40" s="477"/>
      <c r="E40" s="477"/>
      <c r="F40" s="236"/>
      <c r="G40" s="236"/>
      <c r="H40" s="236"/>
      <c r="I40" s="250"/>
    </row>
    <row r="41" spans="1:12" ht="13.25" customHeight="1">
      <c r="A41" s="11" t="s">
        <v>616</v>
      </c>
      <c r="B41" s="121"/>
      <c r="C41" s="121"/>
      <c r="D41" s="121"/>
      <c r="E41" s="121"/>
      <c r="F41" s="121"/>
      <c r="G41" s="121"/>
      <c r="H41" s="121"/>
    </row>
    <row r="42" spans="1:12" ht="13.25" customHeight="1">
      <c r="A42" s="67"/>
      <c r="B42" s="121"/>
      <c r="C42" s="121"/>
      <c r="D42" s="121"/>
      <c r="E42" s="121"/>
      <c r="F42" s="121"/>
      <c r="G42" s="121"/>
      <c r="H42" s="121"/>
    </row>
    <row r="43" spans="1:12" ht="13.25" customHeight="1">
      <c r="A43" s="67"/>
      <c r="B43" s="121"/>
      <c r="C43" s="121"/>
      <c r="D43" s="121"/>
      <c r="E43" s="121"/>
      <c r="F43" s="121"/>
      <c r="G43" s="121"/>
      <c r="H43" s="121"/>
    </row>
    <row r="44" spans="1:12" ht="13.25" customHeight="1">
      <c r="A44" s="22"/>
      <c r="B44" s="121"/>
      <c r="C44" s="121"/>
      <c r="D44" s="121"/>
      <c r="E44" s="121"/>
      <c r="F44" s="121"/>
      <c r="G44" s="121"/>
      <c r="H44" s="121"/>
    </row>
    <row r="45" spans="1:12" ht="13.25" customHeight="1">
      <c r="A45" s="30"/>
      <c r="B45" s="121"/>
      <c r="C45" s="121"/>
      <c r="D45" s="121"/>
      <c r="E45" s="121"/>
      <c r="F45" s="121"/>
      <c r="G45" s="121"/>
      <c r="H45" s="121"/>
    </row>
    <row r="46" spans="1:12" ht="13.25" customHeight="1">
      <c r="A46" s="22"/>
      <c r="B46" s="121"/>
      <c r="C46" s="121"/>
      <c r="D46" s="121"/>
      <c r="E46" s="121"/>
      <c r="F46" s="121"/>
      <c r="G46" s="121"/>
      <c r="H46" s="121"/>
    </row>
    <row r="47" spans="1:12" ht="13.25" customHeight="1">
      <c r="A47" s="67"/>
      <c r="B47" s="121"/>
      <c r="C47" s="121"/>
      <c r="D47" s="121"/>
      <c r="E47" s="121"/>
      <c r="F47" s="121"/>
      <c r="G47" s="121"/>
      <c r="H47" s="121"/>
    </row>
    <row r="48" spans="1:12" ht="13.25" customHeight="1">
      <c r="A48" s="67"/>
      <c r="B48" s="121"/>
      <c r="C48" s="121"/>
      <c r="D48" s="121"/>
      <c r="E48" s="121"/>
      <c r="F48" s="121"/>
      <c r="G48" s="121"/>
      <c r="H48" s="121"/>
    </row>
  </sheetData>
  <mergeCells count="4">
    <mergeCell ref="A4:G4"/>
    <mergeCell ref="B5:D5"/>
    <mergeCell ref="E5:G5"/>
    <mergeCell ref="A5:A6"/>
  </mergeCells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syncVertical="1" syncRef="A1" transitionEvaluation="1" codeName="Hoja91">
    <tabColor theme="9" tint="0.59999389629810485"/>
  </sheetPr>
  <dimension ref="A1:L48"/>
  <sheetViews>
    <sheetView showGridLines="0" zoomScaleNormal="100" workbookViewId="0">
      <selection activeCell="E33" sqref="E33"/>
    </sheetView>
  </sheetViews>
  <sheetFormatPr baseColWidth="10" defaultColWidth="7" defaultRowHeight="13.25" customHeight="1"/>
  <cols>
    <col min="1" max="1" width="16.796875" style="130" customWidth="1"/>
    <col min="2" max="7" width="12" style="130" customWidth="1"/>
    <col min="8" max="8" width="8" style="130" customWidth="1"/>
    <col min="9" max="10" width="7" style="130"/>
    <col min="11" max="11" width="0" style="130" hidden="1" customWidth="1"/>
    <col min="12" max="16384" width="7" style="130"/>
  </cols>
  <sheetData>
    <row r="1" spans="1:12" ht="13.25" customHeight="1">
      <c r="B1" s="131"/>
    </row>
    <row r="3" spans="1:12" ht="13.25" customHeight="1">
      <c r="A3" s="257" t="s">
        <v>521</v>
      </c>
      <c r="B3" s="132"/>
      <c r="C3" s="132"/>
      <c r="D3" s="132"/>
      <c r="E3" s="132"/>
      <c r="F3" s="132"/>
      <c r="G3" s="132"/>
    </row>
    <row r="4" spans="1:12" ht="6" customHeight="1" thickBot="1">
      <c r="A4" s="137"/>
      <c r="B4" s="137"/>
      <c r="C4" s="137"/>
      <c r="D4" s="137"/>
    </row>
    <row r="5" spans="1:12" ht="16" customHeight="1">
      <c r="A5" s="1030" t="s">
        <v>16</v>
      </c>
      <c r="B5" s="1029" t="s">
        <v>613</v>
      </c>
      <c r="C5" s="1029"/>
      <c r="D5" s="1029"/>
      <c r="E5" s="1029" t="s">
        <v>481</v>
      </c>
      <c r="F5" s="1029"/>
      <c r="G5" s="1029"/>
    </row>
    <row r="6" spans="1:12" ht="16" customHeight="1">
      <c r="A6" s="1031"/>
      <c r="B6" s="849" t="s">
        <v>102</v>
      </c>
      <c r="C6" s="850" t="s">
        <v>218</v>
      </c>
      <c r="D6" s="850" t="s">
        <v>350</v>
      </c>
      <c r="E6" s="849" t="s">
        <v>102</v>
      </c>
      <c r="F6" s="850" t="s">
        <v>218</v>
      </c>
      <c r="G6" s="747" t="s">
        <v>350</v>
      </c>
    </row>
    <row r="7" spans="1:12" ht="18" customHeight="1">
      <c r="A7" s="855" t="s">
        <v>93</v>
      </c>
      <c r="B7" s="856">
        <f>(B9+B10+B11+B12+B13+B17+B18+B19+B20+B21+B22+B23+B24+B25+B26+B27+B28+B29+B32+B33+B34+B35+B36+B37)</f>
        <v>994017</v>
      </c>
      <c r="C7" s="856">
        <f>(C9+C10+C11+C12+C13+C17+C18+C19+C20+C21+C22+C23+C24+C25+C26+C27+C28+C29+C32+C33+C34+C35+C36+C37)</f>
        <v>189257.54037572638</v>
      </c>
      <c r="D7" s="857">
        <f>(C7/B7)*1000</f>
        <v>190.39668373450996</v>
      </c>
      <c r="E7" s="856">
        <f>(E9+E10+E11+E12+E13+E17+E18+E19+E20+E21+E22+E23+E24+E25+E26+E27+E28+E29+E32+E33+E34+E35+E36+E37)</f>
        <v>1054288.5195996664</v>
      </c>
      <c r="F7" s="856">
        <f>(F9+F10+F11+F12+F13+F17+F18+F19+F20+F21+F22+F23+F24+F25+F26+F27+F28+F29+F32+F33+F34+F35+F36+F37)</f>
        <v>203628.32674985623</v>
      </c>
      <c r="G7" s="857">
        <f>(F7/E7)*1000</f>
        <v>193.14288542872291</v>
      </c>
      <c r="I7" s="140"/>
      <c r="J7" s="140"/>
    </row>
    <row r="8" spans="1:12" ht="3" customHeight="1">
      <c r="B8" s="847"/>
      <c r="C8" s="847"/>
      <c r="D8" s="852"/>
      <c r="E8" s="847"/>
      <c r="F8" s="847"/>
      <c r="G8" s="852"/>
    </row>
    <row r="9" spans="1:12" ht="16" customHeight="1">
      <c r="A9" s="136" t="s">
        <v>19</v>
      </c>
      <c r="B9" s="1011">
        <v>796</v>
      </c>
      <c r="C9" s="847">
        <v>148.80760000000001</v>
      </c>
      <c r="D9" s="852">
        <f t="shared" ref="D9:D33" si="0">(C9/B9)*1000</f>
        <v>186.94422110552765</v>
      </c>
      <c r="E9" s="847">
        <v>872</v>
      </c>
      <c r="F9" s="847">
        <v>155.905</v>
      </c>
      <c r="G9" s="852">
        <f t="shared" ref="G9:G33" si="1">(F9/E9)*1000</f>
        <v>178.79013761467891</v>
      </c>
      <c r="I9" s="140"/>
      <c r="J9" s="140"/>
      <c r="L9" s="140"/>
    </row>
    <row r="10" spans="1:12" ht="16" customHeight="1">
      <c r="A10" s="136" t="s">
        <v>20</v>
      </c>
      <c r="B10" s="847">
        <v>45368</v>
      </c>
      <c r="C10" s="847">
        <v>8368.9054999999989</v>
      </c>
      <c r="D10" s="852">
        <f t="shared" si="0"/>
        <v>184.46714644683476</v>
      </c>
      <c r="E10" s="847">
        <v>63522</v>
      </c>
      <c r="F10" s="847">
        <v>11897.884</v>
      </c>
      <c r="G10" s="852">
        <f t="shared" si="1"/>
        <v>187.30335946601178</v>
      </c>
      <c r="I10" s="140"/>
      <c r="J10" s="140"/>
      <c r="L10" s="140"/>
    </row>
    <row r="11" spans="1:12" ht="16" customHeight="1">
      <c r="A11" s="136" t="s">
        <v>21</v>
      </c>
      <c r="B11" s="847">
        <v>48537</v>
      </c>
      <c r="C11" s="847">
        <v>7156.1487499999994</v>
      </c>
      <c r="D11" s="852">
        <f t="shared" si="0"/>
        <v>147.43698106599086</v>
      </c>
      <c r="E11" s="847">
        <v>52615</v>
      </c>
      <c r="F11" s="847">
        <v>7666.9254499999997</v>
      </c>
      <c r="G11" s="852">
        <f t="shared" si="1"/>
        <v>145.71748455763563</v>
      </c>
      <c r="I11" s="140"/>
      <c r="J11" s="140"/>
      <c r="L11" s="140"/>
    </row>
    <row r="12" spans="1:12" ht="16" customHeight="1">
      <c r="A12" s="130" t="s">
        <v>22</v>
      </c>
      <c r="B12" s="847">
        <v>48667</v>
      </c>
      <c r="C12" s="847">
        <v>8878.0807000000004</v>
      </c>
      <c r="D12" s="852">
        <f t="shared" si="0"/>
        <v>182.4250662666694</v>
      </c>
      <c r="E12" s="847">
        <v>50114</v>
      </c>
      <c r="F12" s="847">
        <v>9244.1092200000003</v>
      </c>
      <c r="G12" s="852">
        <f t="shared" si="1"/>
        <v>184.46161192481145</v>
      </c>
      <c r="I12" s="140"/>
      <c r="J12" s="140"/>
      <c r="L12" s="140"/>
    </row>
    <row r="13" spans="1:12" ht="16" customHeight="1">
      <c r="A13" s="130" t="s">
        <v>23</v>
      </c>
      <c r="B13" s="847">
        <v>38454</v>
      </c>
      <c r="C13" s="847">
        <v>7020.5439889843738</v>
      </c>
      <c r="D13" s="852">
        <f t="shared" si="0"/>
        <v>182.56992741936793</v>
      </c>
      <c r="E13" s="847">
        <v>41644</v>
      </c>
      <c r="F13" s="847">
        <v>7217.3576299999986</v>
      </c>
      <c r="G13" s="852">
        <f t="shared" si="1"/>
        <v>173.31086423014116</v>
      </c>
      <c r="I13" s="140"/>
      <c r="J13" s="140"/>
      <c r="L13" s="140"/>
    </row>
    <row r="14" spans="1:12" ht="16" customHeight="1">
      <c r="A14" s="135" t="s">
        <v>24</v>
      </c>
      <c r="B14" s="847">
        <v>13623</v>
      </c>
      <c r="C14" s="847">
        <v>3197.9014999999999</v>
      </c>
      <c r="D14" s="852">
        <f t="shared" si="0"/>
        <v>234.74282463480878</v>
      </c>
      <c r="E14" s="847">
        <v>14009</v>
      </c>
      <c r="F14" s="847">
        <v>3180.1902</v>
      </c>
      <c r="G14" s="852">
        <f t="shared" si="1"/>
        <v>227.01050753087301</v>
      </c>
      <c r="I14" s="140"/>
      <c r="J14" s="140"/>
      <c r="L14" s="140"/>
    </row>
    <row r="15" spans="1:12" ht="16" customHeight="1">
      <c r="A15" s="135" t="s">
        <v>25</v>
      </c>
      <c r="B15" s="847">
        <v>11301</v>
      </c>
      <c r="C15" s="847">
        <v>1681.0566640624997</v>
      </c>
      <c r="D15" s="852">
        <f t="shared" si="0"/>
        <v>148.75291249115119</v>
      </c>
      <c r="E15" s="847">
        <v>12996</v>
      </c>
      <c r="F15" s="847">
        <v>1743.4679999999998</v>
      </c>
      <c r="G15" s="852">
        <f t="shared" si="1"/>
        <v>134.15420129270544</v>
      </c>
      <c r="I15" s="140"/>
      <c r="J15" s="140"/>
      <c r="L15" s="140"/>
    </row>
    <row r="16" spans="1:12" ht="16" customHeight="1">
      <c r="A16" s="135" t="s">
        <v>26</v>
      </c>
      <c r="B16" s="847">
        <v>13530</v>
      </c>
      <c r="C16" s="847">
        <v>2141.5858249218745</v>
      </c>
      <c r="D16" s="852">
        <f t="shared" si="0"/>
        <v>158.28424426621393</v>
      </c>
      <c r="E16" s="847">
        <v>14639</v>
      </c>
      <c r="F16" s="847">
        <v>2293.6994300000001</v>
      </c>
      <c r="G16" s="852">
        <f t="shared" si="1"/>
        <v>156.68416080333358</v>
      </c>
      <c r="I16" s="140"/>
      <c r="J16" s="140"/>
      <c r="L16" s="140"/>
    </row>
    <row r="17" spans="1:12" ht="16" customHeight="1">
      <c r="A17" s="136" t="s">
        <v>27</v>
      </c>
      <c r="B17" s="1011">
        <v>11620</v>
      </c>
      <c r="C17" s="1011">
        <v>1617.0480000000002</v>
      </c>
      <c r="D17" s="852">
        <f t="shared" si="0"/>
        <v>139.16075731497421</v>
      </c>
      <c r="E17" s="847">
        <v>13037</v>
      </c>
      <c r="F17" s="847">
        <v>1799.3330000000001</v>
      </c>
      <c r="G17" s="852">
        <f t="shared" si="1"/>
        <v>138.01741198128403</v>
      </c>
      <c r="I17" s="140"/>
      <c r="J17" s="140"/>
      <c r="L17" s="140"/>
    </row>
    <row r="18" spans="1:12" ht="16" customHeight="1">
      <c r="A18" s="130" t="s">
        <v>28</v>
      </c>
      <c r="B18" s="847">
        <v>31714</v>
      </c>
      <c r="C18" s="847">
        <v>4121.920339450644</v>
      </c>
      <c r="D18" s="852">
        <f t="shared" si="0"/>
        <v>129.97163206945336</v>
      </c>
      <c r="E18" s="847">
        <v>39108</v>
      </c>
      <c r="F18" s="847">
        <v>5141.4446365728418</v>
      </c>
      <c r="G18" s="852">
        <f t="shared" si="1"/>
        <v>131.46784894581268</v>
      </c>
      <c r="I18" s="140"/>
      <c r="J18" s="140"/>
      <c r="L18" s="140"/>
    </row>
    <row r="19" spans="1:12" ht="16" customHeight="1">
      <c r="A19" s="130" t="s">
        <v>29</v>
      </c>
      <c r="B19" s="847">
        <v>335152</v>
      </c>
      <c r="C19" s="847">
        <v>81490.250669921865</v>
      </c>
      <c r="D19" s="852">
        <f t="shared" si="0"/>
        <v>243.14415748651916</v>
      </c>
      <c r="E19" s="847">
        <v>352782</v>
      </c>
      <c r="F19" s="847">
        <v>87453.031407052884</v>
      </c>
      <c r="G19" s="852">
        <f t="shared" si="1"/>
        <v>247.895389807453</v>
      </c>
      <c r="I19" s="140"/>
      <c r="J19" s="140"/>
      <c r="L19" s="140"/>
    </row>
    <row r="20" spans="1:12" ht="16" customHeight="1">
      <c r="A20" s="136" t="s">
        <v>30</v>
      </c>
      <c r="B20" s="847">
        <v>24481</v>
      </c>
      <c r="C20" s="847">
        <v>3461.5672426429164</v>
      </c>
      <c r="D20" s="852">
        <f t="shared" si="0"/>
        <v>141.39811456406667</v>
      </c>
      <c r="E20" s="847">
        <v>24233.51959966639</v>
      </c>
      <c r="F20" s="847">
        <v>3952.9296442305899</v>
      </c>
      <c r="G20" s="852">
        <f t="shared" si="1"/>
        <v>163.11826385652242</v>
      </c>
      <c r="I20" s="140"/>
      <c r="J20" s="140"/>
      <c r="L20" s="140"/>
    </row>
    <row r="21" spans="1:12" ht="16" customHeight="1">
      <c r="A21" s="136" t="s">
        <v>31</v>
      </c>
      <c r="B21" s="847">
        <v>31025</v>
      </c>
      <c r="C21" s="847">
        <v>4646.68156</v>
      </c>
      <c r="D21" s="852">
        <f t="shared" si="0"/>
        <v>149.772169540693</v>
      </c>
      <c r="E21" s="847">
        <v>28509</v>
      </c>
      <c r="F21" s="847">
        <v>3801.0503400000002</v>
      </c>
      <c r="G21" s="852">
        <f t="shared" si="1"/>
        <v>133.32808376302222</v>
      </c>
      <c r="I21" s="140"/>
      <c r="J21" s="140"/>
      <c r="L21" s="140"/>
    </row>
    <row r="22" spans="1:12" ht="16" customHeight="1">
      <c r="A22" s="136" t="s">
        <v>32</v>
      </c>
      <c r="B22" s="1011">
        <v>4450</v>
      </c>
      <c r="C22" s="847">
        <v>991.90319999999997</v>
      </c>
      <c r="D22" s="852">
        <f t="shared" si="0"/>
        <v>222.89959550561798</v>
      </c>
      <c r="E22" s="847">
        <v>4137</v>
      </c>
      <c r="F22" s="847">
        <v>858.96280000000002</v>
      </c>
      <c r="G22" s="852">
        <f t="shared" si="1"/>
        <v>207.62939328015469</v>
      </c>
      <c r="I22" s="140"/>
      <c r="J22" s="140"/>
      <c r="L22" s="140"/>
    </row>
    <row r="23" spans="1:12" ht="16" customHeight="1">
      <c r="A23" s="136" t="s">
        <v>33</v>
      </c>
      <c r="B23" s="847">
        <v>13474</v>
      </c>
      <c r="C23" s="847">
        <v>2340.6189999999997</v>
      </c>
      <c r="D23" s="852">
        <f t="shared" si="0"/>
        <v>173.71374499035178</v>
      </c>
      <c r="E23" s="847">
        <v>14415</v>
      </c>
      <c r="F23" s="847">
        <v>2418.0800000000004</v>
      </c>
      <c r="G23" s="852">
        <f t="shared" si="1"/>
        <v>167.74748525841142</v>
      </c>
      <c r="I23" s="140"/>
      <c r="J23" s="140"/>
      <c r="L23" s="140"/>
    </row>
    <row r="24" spans="1:12" ht="16" customHeight="1">
      <c r="A24" s="136" t="s">
        <v>34</v>
      </c>
      <c r="B24" s="847">
        <v>1462</v>
      </c>
      <c r="C24" s="847">
        <v>194.45759082031253</v>
      </c>
      <c r="D24" s="852">
        <f t="shared" si="0"/>
        <v>133.00792805766932</v>
      </c>
      <c r="E24" s="847">
        <v>1096</v>
      </c>
      <c r="F24" s="847">
        <v>144.28865200000001</v>
      </c>
      <c r="G24" s="852">
        <f t="shared" si="1"/>
        <v>131.6502299270073</v>
      </c>
      <c r="I24" s="140"/>
      <c r="J24" s="140"/>
      <c r="L24" s="140"/>
    </row>
    <row r="25" spans="1:12" ht="16" customHeight="1">
      <c r="A25" s="130" t="s">
        <v>35</v>
      </c>
      <c r="B25" s="847">
        <v>115392</v>
      </c>
      <c r="C25" s="847">
        <v>20625.597542968761</v>
      </c>
      <c r="D25" s="852">
        <f t="shared" si="0"/>
        <v>178.74373910642643</v>
      </c>
      <c r="E25" s="847">
        <v>128300</v>
      </c>
      <c r="F25" s="847">
        <v>23536.043999999998</v>
      </c>
      <c r="G25" s="852">
        <f t="shared" si="1"/>
        <v>183.44539360872952</v>
      </c>
      <c r="I25" s="140"/>
      <c r="J25" s="140"/>
      <c r="L25" s="140"/>
    </row>
    <row r="26" spans="1:12" ht="16" customHeight="1">
      <c r="A26" s="136" t="s">
        <v>36</v>
      </c>
      <c r="B26" s="847">
        <v>8219</v>
      </c>
      <c r="C26" s="847">
        <v>1831.4189765624999</v>
      </c>
      <c r="D26" s="852">
        <f t="shared" si="0"/>
        <v>222.82747007695582</v>
      </c>
      <c r="E26" s="847">
        <v>8937</v>
      </c>
      <c r="F26" s="847">
        <v>1972.6891499999999</v>
      </c>
      <c r="G26" s="852">
        <f t="shared" si="1"/>
        <v>220.73281302450488</v>
      </c>
      <c r="I26" s="140"/>
      <c r="J26" s="140"/>
      <c r="L26" s="140"/>
    </row>
    <row r="27" spans="1:12" ht="16" customHeight="1">
      <c r="A27" s="136" t="s">
        <v>37</v>
      </c>
      <c r="B27" s="1011">
        <v>781</v>
      </c>
      <c r="C27" s="1011">
        <v>128.31700000000001</v>
      </c>
      <c r="D27" s="852">
        <f t="shared" si="0"/>
        <v>164.29833546734957</v>
      </c>
      <c r="E27" s="847">
        <v>1316</v>
      </c>
      <c r="F27" s="847">
        <v>207.70500000000001</v>
      </c>
      <c r="G27" s="852">
        <f t="shared" si="1"/>
        <v>157.83054711246203</v>
      </c>
      <c r="I27" s="140"/>
      <c r="J27" s="140"/>
      <c r="L27" s="140"/>
    </row>
    <row r="28" spans="1:12" ht="16" customHeight="1">
      <c r="A28" s="136" t="s">
        <v>38</v>
      </c>
      <c r="B28" s="847">
        <v>41140</v>
      </c>
      <c r="C28" s="847">
        <v>5946.072000000001</v>
      </c>
      <c r="D28" s="852">
        <f t="shared" si="0"/>
        <v>144.53262032085564</v>
      </c>
      <c r="E28" s="847">
        <v>36993</v>
      </c>
      <c r="F28" s="847">
        <v>4779.1809999999996</v>
      </c>
      <c r="G28" s="852">
        <f t="shared" si="1"/>
        <v>129.19149568837346</v>
      </c>
      <c r="I28" s="140"/>
      <c r="J28" s="140"/>
      <c r="L28" s="140"/>
    </row>
    <row r="29" spans="1:12" ht="16" customHeight="1">
      <c r="A29" s="130" t="s">
        <v>39</v>
      </c>
      <c r="B29" s="847">
        <v>15053</v>
      </c>
      <c r="C29" s="847">
        <v>1724.9839843750001</v>
      </c>
      <c r="D29" s="852">
        <f t="shared" si="0"/>
        <v>114.5940333737461</v>
      </c>
      <c r="E29" s="847">
        <v>14710</v>
      </c>
      <c r="F29" s="847">
        <v>1693.49845</v>
      </c>
      <c r="G29" s="852">
        <f t="shared" si="1"/>
        <v>115.12565941536371</v>
      </c>
      <c r="I29" s="140"/>
      <c r="J29" s="140"/>
      <c r="L29" s="140"/>
    </row>
    <row r="30" spans="1:12" ht="16" customHeight="1">
      <c r="A30" s="135" t="s">
        <v>40</v>
      </c>
      <c r="B30" s="847">
        <v>6795</v>
      </c>
      <c r="C30" s="847">
        <v>776.24636914062501</v>
      </c>
      <c r="D30" s="852">
        <f t="shared" si="0"/>
        <v>114.23787625321928</v>
      </c>
      <c r="E30" s="847">
        <v>6830</v>
      </c>
      <c r="F30" s="847">
        <v>774.1957000000001</v>
      </c>
      <c r="G30" s="852">
        <f t="shared" si="1"/>
        <v>113.35222547584189</v>
      </c>
      <c r="I30" s="140"/>
      <c r="J30" s="140"/>
      <c r="L30" s="140"/>
    </row>
    <row r="31" spans="1:12" ht="16" customHeight="1">
      <c r="A31" s="135" t="s">
        <v>41</v>
      </c>
      <c r="B31" s="847">
        <v>8258</v>
      </c>
      <c r="C31" s="847">
        <v>948.73761523437508</v>
      </c>
      <c r="D31" s="852">
        <f t="shared" si="0"/>
        <v>114.88709315020284</v>
      </c>
      <c r="E31" s="847">
        <v>7880</v>
      </c>
      <c r="F31" s="847">
        <v>919.30274999999995</v>
      </c>
      <c r="G31" s="852">
        <f t="shared" si="1"/>
        <v>116.66278553299492</v>
      </c>
      <c r="I31" s="140"/>
      <c r="J31" s="140"/>
      <c r="L31" s="140"/>
    </row>
    <row r="32" spans="1:12" ht="16" customHeight="1">
      <c r="A32" s="136" t="s">
        <v>42</v>
      </c>
      <c r="B32" s="847">
        <v>81447</v>
      </c>
      <c r="C32" s="847">
        <v>14388.142</v>
      </c>
      <c r="D32" s="852">
        <f t="shared" si="0"/>
        <v>176.6565005463676</v>
      </c>
      <c r="E32" s="847">
        <v>73123</v>
      </c>
      <c r="F32" s="847">
        <v>13828.727000000001</v>
      </c>
      <c r="G32" s="852">
        <f t="shared" si="1"/>
        <v>189.11596898376709</v>
      </c>
      <c r="I32" s="140"/>
      <c r="J32" s="140"/>
      <c r="L32" s="140"/>
    </row>
    <row r="33" spans="1:12" ht="16" customHeight="1">
      <c r="A33" s="136" t="s">
        <v>43</v>
      </c>
      <c r="B33" s="1011">
        <v>37723</v>
      </c>
      <c r="C33" s="847">
        <v>5049.7700000000004</v>
      </c>
      <c r="D33" s="852">
        <f t="shared" si="0"/>
        <v>133.86448585743446</v>
      </c>
      <c r="E33" s="847">
        <v>45570</v>
      </c>
      <c r="F33" s="847">
        <v>6166.0120000000006</v>
      </c>
      <c r="G33" s="852">
        <f t="shared" si="1"/>
        <v>135.30858020627608</v>
      </c>
      <c r="I33" s="140"/>
      <c r="J33" s="140"/>
      <c r="L33" s="140"/>
    </row>
    <row r="34" spans="1:12" ht="16" customHeight="1">
      <c r="A34" s="130" t="s">
        <v>44</v>
      </c>
      <c r="B34" s="847">
        <v>25980</v>
      </c>
      <c r="C34" s="847">
        <v>3646.4605299999998</v>
      </c>
      <c r="D34" s="852">
        <f>(C34/B34)*1000</f>
        <v>140.35644842186295</v>
      </c>
      <c r="E34" s="847">
        <v>26399</v>
      </c>
      <c r="F34" s="847">
        <v>4353.7406499999997</v>
      </c>
      <c r="G34" s="852">
        <f>(F34/E34)*1000</f>
        <v>164.92066555551347</v>
      </c>
      <c r="I34" s="140"/>
      <c r="J34" s="140"/>
      <c r="L34" s="140"/>
    </row>
    <row r="35" spans="1:12" ht="16" customHeight="1">
      <c r="A35" s="130" t="s">
        <v>45</v>
      </c>
      <c r="B35" s="847">
        <v>10955</v>
      </c>
      <c r="C35" s="847">
        <v>1795.3309999999999</v>
      </c>
      <c r="D35" s="852">
        <f>(C35/B35)*1000</f>
        <v>163.88233683249655</v>
      </c>
      <c r="E35" s="847">
        <v>12209</v>
      </c>
      <c r="F35" s="847">
        <v>1901.2449999999999</v>
      </c>
      <c r="G35" s="852">
        <f>(F35/E35)*1000</f>
        <v>155.72487509214514</v>
      </c>
      <c r="I35" s="140"/>
      <c r="J35" s="140"/>
      <c r="L35" s="140"/>
    </row>
    <row r="36" spans="1:12" ht="16" customHeight="1">
      <c r="A36" s="130" t="s">
        <v>46</v>
      </c>
      <c r="B36" s="847">
        <v>7738</v>
      </c>
      <c r="C36" s="847">
        <v>1389.5531999999998</v>
      </c>
      <c r="D36" s="852">
        <f>(C36/B36)*1000</f>
        <v>179.57523907986558</v>
      </c>
      <c r="E36" s="847">
        <v>7580</v>
      </c>
      <c r="F36" s="847">
        <v>1328.3127199999999</v>
      </c>
      <c r="G36" s="852">
        <f>(F36/E36)*1000</f>
        <v>175.23914511873352</v>
      </c>
      <c r="I36" s="140"/>
      <c r="J36" s="140"/>
      <c r="L36" s="140"/>
    </row>
    <row r="37" spans="1:12" ht="16" customHeight="1" thickBot="1">
      <c r="A37" s="141" t="s">
        <v>47</v>
      </c>
      <c r="B37" s="255">
        <v>14389</v>
      </c>
      <c r="C37" s="255">
        <v>2294.96</v>
      </c>
      <c r="D37" s="853">
        <f>C37/B37*1000</f>
        <v>159.49405796094237</v>
      </c>
      <c r="E37" s="255">
        <v>13067</v>
      </c>
      <c r="F37" s="255">
        <v>2109.87</v>
      </c>
      <c r="G37" s="853">
        <f>F37/E37*1000</f>
        <v>161.46552383867757</v>
      </c>
      <c r="I37" s="140"/>
      <c r="J37" s="140"/>
      <c r="L37" s="140"/>
    </row>
    <row r="38" spans="1:12" ht="9" customHeight="1">
      <c r="A38" s="449" t="s">
        <v>330</v>
      </c>
      <c r="B38" s="477"/>
      <c r="C38" s="477"/>
      <c r="D38" s="477"/>
      <c r="E38" s="477"/>
      <c r="F38" s="236"/>
      <c r="G38" s="256"/>
      <c r="H38" s="236"/>
      <c r="I38" s="250"/>
    </row>
    <row r="39" spans="1:12" ht="9" customHeight="1">
      <c r="A39" s="449" t="s">
        <v>304</v>
      </c>
      <c r="B39" s="477"/>
      <c r="C39" s="477"/>
      <c r="D39" s="477"/>
      <c r="E39" s="477"/>
      <c r="F39" s="236"/>
      <c r="G39" s="236"/>
      <c r="H39" s="236"/>
      <c r="I39" s="250"/>
    </row>
    <row r="40" spans="1:12" ht="9" customHeight="1">
      <c r="A40" s="451" t="s">
        <v>303</v>
      </c>
      <c r="B40" s="477"/>
      <c r="C40" s="477"/>
      <c r="D40" s="477"/>
      <c r="E40" s="477"/>
      <c r="F40" s="236"/>
      <c r="G40" s="236"/>
      <c r="H40" s="236"/>
      <c r="I40" s="250"/>
    </row>
    <row r="41" spans="1:12" ht="13.25" customHeight="1">
      <c r="A41" s="11"/>
      <c r="B41" s="121"/>
      <c r="C41" s="121"/>
      <c r="D41" s="121"/>
      <c r="E41" s="121"/>
      <c r="F41" s="121"/>
      <c r="G41" s="121"/>
      <c r="H41" s="121"/>
    </row>
    <row r="42" spans="1:12" ht="13.25" customHeight="1">
      <c r="A42" s="67"/>
      <c r="B42" s="121"/>
      <c r="C42" s="121"/>
      <c r="D42" s="121"/>
      <c r="E42" s="121"/>
      <c r="F42" s="121"/>
      <c r="G42" s="121"/>
      <c r="H42" s="121"/>
    </row>
    <row r="43" spans="1:12" ht="13.25" customHeight="1">
      <c r="A43" s="67"/>
      <c r="B43" s="121"/>
      <c r="C43" s="121"/>
      <c r="D43" s="121"/>
      <c r="E43" s="121"/>
      <c r="F43" s="121"/>
      <c r="G43" s="121"/>
      <c r="H43" s="121"/>
    </row>
    <row r="44" spans="1:12" ht="13.25" customHeight="1">
      <c r="A44" s="22"/>
      <c r="B44" s="121"/>
      <c r="C44" s="121"/>
      <c r="D44" s="121"/>
      <c r="E44" s="121"/>
      <c r="F44" s="121"/>
      <c r="G44" s="121"/>
      <c r="H44" s="121"/>
    </row>
    <row r="45" spans="1:12" ht="13.25" customHeight="1">
      <c r="A45" s="30"/>
      <c r="B45" s="121"/>
      <c r="C45" s="121"/>
      <c r="D45" s="121"/>
      <c r="E45" s="121"/>
      <c r="F45" s="121"/>
      <c r="G45" s="121"/>
      <c r="H45" s="121"/>
    </row>
    <row r="46" spans="1:12" ht="13.25" customHeight="1">
      <c r="A46" s="22"/>
      <c r="B46" s="121"/>
      <c r="C46" s="121"/>
      <c r="D46" s="121"/>
      <c r="E46" s="121"/>
      <c r="F46" s="121"/>
      <c r="G46" s="121"/>
      <c r="H46" s="121"/>
    </row>
    <row r="47" spans="1:12" ht="13.25" customHeight="1">
      <c r="A47" s="67"/>
      <c r="B47" s="121"/>
      <c r="C47" s="121"/>
      <c r="D47" s="121"/>
      <c r="E47" s="121"/>
      <c r="F47" s="121"/>
      <c r="G47" s="121"/>
      <c r="H47" s="121"/>
    </row>
    <row r="48" spans="1:12" ht="13.25" customHeight="1">
      <c r="A48" s="67"/>
      <c r="B48" s="121"/>
      <c r="C48" s="121"/>
      <c r="D48" s="121"/>
      <c r="E48" s="121"/>
      <c r="F48" s="121"/>
      <c r="G48" s="121"/>
      <c r="H48" s="121"/>
    </row>
  </sheetData>
  <mergeCells count="3">
    <mergeCell ref="B5:D5"/>
    <mergeCell ref="E5:G5"/>
    <mergeCell ref="A5:A6"/>
  </mergeCells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  <ignoredErrors>
    <ignoredError sqref="G7" evalError="1"/>
    <ignoredError sqref="D7" formula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transitionEvaluation="1" codeName="Hoja92">
    <tabColor theme="9" tint="0.59999389629810485"/>
  </sheetPr>
  <dimension ref="A1:DW55"/>
  <sheetViews>
    <sheetView showGridLines="0" tabSelected="1" topLeftCell="DH1" zoomScaleNormal="100" workbookViewId="0">
      <selection activeCell="EC33" sqref="EC33"/>
    </sheetView>
  </sheetViews>
  <sheetFormatPr baseColWidth="10" defaultColWidth="7" defaultRowHeight="13.25" customHeight="1"/>
  <cols>
    <col min="1" max="1" width="16" style="11" customWidth="1"/>
    <col min="2" max="2" width="9.59765625" style="11" customWidth="1"/>
    <col min="3" max="14" width="9.19921875" style="11" customWidth="1"/>
    <col min="15" max="15" width="16" style="11" customWidth="1"/>
    <col min="16" max="16" width="9.59765625" style="11" customWidth="1"/>
    <col min="17" max="28" width="9.19921875" style="11" customWidth="1"/>
    <col min="29" max="29" width="13.59765625" style="11" customWidth="1"/>
    <col min="30" max="30" width="9.59765625" style="11" customWidth="1"/>
    <col min="31" max="42" width="9.19921875" style="11" customWidth="1"/>
    <col min="43" max="43" width="16" style="11" customWidth="1"/>
    <col min="44" max="44" width="9.59765625" style="11" customWidth="1"/>
    <col min="45" max="56" width="9.19921875" style="11" customWidth="1"/>
    <col min="57" max="57" width="16" style="11" customWidth="1"/>
    <col min="58" max="58" width="9.59765625" style="11" customWidth="1"/>
    <col min="59" max="70" width="9.19921875" style="11" customWidth="1"/>
    <col min="71" max="71" width="13.3984375" style="11" customWidth="1"/>
    <col min="72" max="72" width="9.59765625" style="11" customWidth="1"/>
    <col min="73" max="84" width="9.19921875" style="11" customWidth="1"/>
    <col min="85" max="85" width="16" style="11" customWidth="1"/>
    <col min="86" max="86" width="9.59765625" style="11" customWidth="1"/>
    <col min="87" max="98" width="9.19921875" style="11" customWidth="1"/>
    <col min="99" max="99" width="16" style="11" customWidth="1"/>
    <col min="100" max="100" width="9.59765625" style="11" customWidth="1"/>
    <col min="101" max="112" width="9.19921875" style="11" customWidth="1"/>
    <col min="113" max="113" width="16" style="11" customWidth="1"/>
    <col min="114" max="114" width="9.59765625" style="11" customWidth="1"/>
    <col min="115" max="126" width="9.19921875" style="11" customWidth="1"/>
    <col min="127" max="16384" width="7" style="11"/>
  </cols>
  <sheetData>
    <row r="1" spans="1:126" ht="13.25" customHeight="1"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DI1" s="56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</row>
    <row r="2" spans="1:126" s="260" customFormat="1" ht="15" customHeight="1">
      <c r="A2" s="259" t="s">
        <v>602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940" t="s">
        <v>601</v>
      </c>
      <c r="P2" s="940"/>
      <c r="Q2" s="940"/>
      <c r="R2" s="940"/>
      <c r="S2" s="940"/>
      <c r="T2" s="940"/>
      <c r="U2" s="940"/>
      <c r="V2" s="940"/>
      <c r="W2" s="940"/>
      <c r="X2" s="940"/>
      <c r="Y2" s="940"/>
      <c r="Z2" s="940"/>
      <c r="AA2" s="940"/>
      <c r="AB2" s="940"/>
      <c r="AC2" s="259" t="s">
        <v>600</v>
      </c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 t="s">
        <v>599</v>
      </c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 t="s">
        <v>598</v>
      </c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 t="s">
        <v>597</v>
      </c>
      <c r="BT2" s="259"/>
      <c r="BU2" s="259"/>
      <c r="BV2" s="259"/>
      <c r="BW2" s="259"/>
      <c r="BX2" s="259"/>
      <c r="BY2" s="259"/>
      <c r="BZ2" s="259"/>
      <c r="CA2" s="259"/>
      <c r="CB2" s="259"/>
      <c r="CC2" s="259"/>
      <c r="CD2" s="259"/>
      <c r="CE2" s="259"/>
      <c r="CF2" s="259"/>
      <c r="CG2" s="876" t="s">
        <v>596</v>
      </c>
      <c r="CH2" s="259"/>
      <c r="CI2" s="259"/>
      <c r="CJ2" s="259"/>
      <c r="CK2" s="259"/>
      <c r="CL2" s="259"/>
      <c r="CM2" s="259"/>
      <c r="CN2" s="259"/>
      <c r="CO2" s="259"/>
      <c r="CP2" s="259"/>
      <c r="CQ2" s="259"/>
      <c r="CR2" s="259"/>
      <c r="CS2" s="259"/>
      <c r="CT2" s="259"/>
      <c r="CU2" s="259" t="s">
        <v>595</v>
      </c>
      <c r="CV2" s="259"/>
      <c r="CW2" s="259"/>
      <c r="CX2" s="259"/>
      <c r="CY2" s="259"/>
      <c r="CZ2" s="259"/>
      <c r="DA2" s="259"/>
      <c r="DB2" s="259"/>
      <c r="DC2" s="259"/>
      <c r="DD2" s="259"/>
      <c r="DE2" s="259"/>
      <c r="DF2" s="259"/>
      <c r="DG2" s="259"/>
      <c r="DH2" s="259"/>
      <c r="DI2" s="259" t="s">
        <v>594</v>
      </c>
      <c r="DJ2" s="259"/>
      <c r="DK2" s="259"/>
      <c r="DL2" s="259"/>
      <c r="DM2" s="259"/>
      <c r="DN2" s="259"/>
      <c r="DO2" s="259"/>
      <c r="DP2" s="259"/>
      <c r="DQ2" s="259"/>
      <c r="DR2" s="259"/>
      <c r="DS2" s="259"/>
      <c r="DT2" s="259"/>
      <c r="DU2" s="259"/>
      <c r="DV2" s="259"/>
    </row>
    <row r="3" spans="1:126" s="262" customFormat="1" ht="13.25" customHeight="1">
      <c r="A3" s="261" t="s">
        <v>211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941" t="s">
        <v>210</v>
      </c>
      <c r="P3" s="941"/>
      <c r="Q3" s="941"/>
      <c r="R3" s="941"/>
      <c r="S3" s="941"/>
      <c r="T3" s="941"/>
      <c r="U3" s="941"/>
      <c r="V3" s="941"/>
      <c r="W3" s="941"/>
      <c r="X3" s="941"/>
      <c r="Y3" s="941"/>
      <c r="Z3" s="941"/>
      <c r="AA3" s="941"/>
      <c r="AB3" s="941"/>
      <c r="AC3" s="261" t="s">
        <v>351</v>
      </c>
      <c r="AD3" s="261"/>
      <c r="AE3" s="261"/>
      <c r="AF3" s="261"/>
      <c r="AG3" s="261"/>
      <c r="AH3" s="261"/>
      <c r="AI3" s="261"/>
      <c r="AJ3" s="261"/>
      <c r="AK3" s="261"/>
      <c r="AL3" s="261"/>
      <c r="AM3" s="261"/>
      <c r="AN3" s="261"/>
      <c r="AO3" s="261"/>
      <c r="AP3" s="261"/>
      <c r="AQ3" s="261" t="s">
        <v>211</v>
      </c>
      <c r="AR3" s="261"/>
      <c r="AS3" s="261"/>
      <c r="AT3" s="261"/>
      <c r="AU3" s="261"/>
      <c r="AV3" s="261"/>
      <c r="AW3" s="261"/>
      <c r="AX3" s="261"/>
      <c r="AY3" s="261"/>
      <c r="AZ3" s="261"/>
      <c r="BA3" s="261"/>
      <c r="BB3" s="261"/>
      <c r="BC3" s="261"/>
      <c r="BD3" s="261"/>
      <c r="BE3" s="261" t="s">
        <v>210</v>
      </c>
      <c r="BF3" s="261"/>
      <c r="BG3" s="261"/>
      <c r="BH3" s="261"/>
      <c r="BI3" s="261"/>
      <c r="BJ3" s="261"/>
      <c r="BK3" s="261"/>
      <c r="BL3" s="261"/>
      <c r="BM3" s="261"/>
      <c r="BN3" s="261"/>
      <c r="BO3" s="261"/>
      <c r="BP3" s="261"/>
      <c r="BQ3" s="261"/>
      <c r="BR3" s="261"/>
      <c r="BS3" s="261" t="s">
        <v>351</v>
      </c>
      <c r="BT3" s="261"/>
      <c r="BU3" s="261"/>
      <c r="BV3" s="261"/>
      <c r="BW3" s="261"/>
      <c r="BX3" s="261"/>
      <c r="BY3" s="261"/>
      <c r="BZ3" s="261"/>
      <c r="CA3" s="261"/>
      <c r="CB3" s="261"/>
      <c r="CC3" s="261"/>
      <c r="CD3" s="261"/>
      <c r="CE3" s="261"/>
      <c r="CF3" s="261"/>
      <c r="CG3" s="261" t="s">
        <v>211</v>
      </c>
      <c r="CH3" s="261"/>
      <c r="CI3" s="261"/>
      <c r="CJ3" s="261"/>
      <c r="CK3" s="261"/>
      <c r="CL3" s="261"/>
      <c r="CM3" s="261"/>
      <c r="CN3" s="261"/>
      <c r="CO3" s="261"/>
      <c r="CP3" s="261"/>
      <c r="CQ3" s="261"/>
      <c r="CR3" s="261"/>
      <c r="CS3" s="261"/>
      <c r="CT3" s="261"/>
      <c r="CU3" s="261" t="s">
        <v>307</v>
      </c>
      <c r="CV3" s="261"/>
      <c r="CW3" s="261"/>
      <c r="CX3" s="261"/>
      <c r="CY3" s="261"/>
      <c r="CZ3" s="261"/>
      <c r="DA3" s="261"/>
      <c r="DB3" s="261"/>
      <c r="DC3" s="261"/>
      <c r="DD3" s="261"/>
      <c r="DE3" s="261"/>
      <c r="DF3" s="261"/>
      <c r="DG3" s="261"/>
      <c r="DH3" s="261"/>
      <c r="DI3" s="261" t="s">
        <v>351</v>
      </c>
      <c r="DJ3" s="261"/>
      <c r="DK3" s="261"/>
      <c r="DL3" s="261"/>
      <c r="DM3" s="261"/>
      <c r="DN3" s="261"/>
      <c r="DO3" s="261"/>
      <c r="DP3" s="261"/>
      <c r="DQ3" s="261"/>
      <c r="DR3" s="261"/>
      <c r="DS3" s="261"/>
      <c r="DT3" s="261"/>
      <c r="DU3" s="261"/>
      <c r="DV3" s="261"/>
    </row>
    <row r="4" spans="1:126" ht="4.25" customHeight="1" thickBot="1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942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3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3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3"/>
      <c r="DJ4" s="139"/>
      <c r="DK4" s="139"/>
      <c r="DL4" s="139"/>
      <c r="DM4" s="139"/>
      <c r="DN4" s="139"/>
      <c r="DO4" s="139"/>
      <c r="DP4" s="139"/>
      <c r="DQ4" s="139"/>
      <c r="DR4" s="139"/>
      <c r="DS4" s="139"/>
      <c r="DT4" s="139"/>
      <c r="DU4" s="139"/>
      <c r="DV4" s="139"/>
    </row>
    <row r="5" spans="1:126" s="25" customFormat="1" ht="18" customHeight="1">
      <c r="A5" s="748" t="s">
        <v>16</v>
      </c>
      <c r="B5" s="749" t="s">
        <v>103</v>
      </c>
      <c r="C5" s="749" t="s">
        <v>53</v>
      </c>
      <c r="D5" s="749" t="s">
        <v>54</v>
      </c>
      <c r="E5" s="749" t="s">
        <v>55</v>
      </c>
      <c r="F5" s="749" t="s">
        <v>56</v>
      </c>
      <c r="G5" s="749" t="s">
        <v>57</v>
      </c>
      <c r="H5" s="749" t="s">
        <v>58</v>
      </c>
      <c r="I5" s="749" t="s">
        <v>59</v>
      </c>
      <c r="J5" s="749" t="s">
        <v>60</v>
      </c>
      <c r="K5" s="749" t="s">
        <v>61</v>
      </c>
      <c r="L5" s="749" t="s">
        <v>62</v>
      </c>
      <c r="M5" s="749" t="s">
        <v>63</v>
      </c>
      <c r="N5" s="749" t="s">
        <v>64</v>
      </c>
      <c r="O5" s="943" t="s">
        <v>16</v>
      </c>
      <c r="P5" s="944" t="s">
        <v>103</v>
      </c>
      <c r="Q5" s="944" t="s">
        <v>53</v>
      </c>
      <c r="R5" s="944" t="s">
        <v>54</v>
      </c>
      <c r="S5" s="944" t="s">
        <v>55</v>
      </c>
      <c r="T5" s="944" t="s">
        <v>56</v>
      </c>
      <c r="U5" s="944" t="s">
        <v>57</v>
      </c>
      <c r="V5" s="944" t="s">
        <v>58</v>
      </c>
      <c r="W5" s="944" t="s">
        <v>59</v>
      </c>
      <c r="X5" s="944" t="s">
        <v>60</v>
      </c>
      <c r="Y5" s="944" t="s">
        <v>61</v>
      </c>
      <c r="Z5" s="944" t="s">
        <v>62</v>
      </c>
      <c r="AA5" s="944" t="s">
        <v>63</v>
      </c>
      <c r="AB5" s="944" t="s">
        <v>64</v>
      </c>
      <c r="AC5" s="748" t="s">
        <v>16</v>
      </c>
      <c r="AD5" s="749" t="s">
        <v>103</v>
      </c>
      <c r="AE5" s="749" t="s">
        <v>53</v>
      </c>
      <c r="AF5" s="749" t="s">
        <v>54</v>
      </c>
      <c r="AG5" s="749" t="s">
        <v>55</v>
      </c>
      <c r="AH5" s="749" t="s">
        <v>56</v>
      </c>
      <c r="AI5" s="749" t="s">
        <v>57</v>
      </c>
      <c r="AJ5" s="749" t="s">
        <v>58</v>
      </c>
      <c r="AK5" s="749" t="s">
        <v>59</v>
      </c>
      <c r="AL5" s="749" t="s">
        <v>60</v>
      </c>
      <c r="AM5" s="749" t="s">
        <v>61</v>
      </c>
      <c r="AN5" s="749" t="s">
        <v>62</v>
      </c>
      <c r="AO5" s="749" t="s">
        <v>63</v>
      </c>
      <c r="AP5" s="749" t="s">
        <v>64</v>
      </c>
      <c r="AQ5" s="748" t="s">
        <v>16</v>
      </c>
      <c r="AR5" s="749" t="s">
        <v>103</v>
      </c>
      <c r="AS5" s="749" t="s">
        <v>53</v>
      </c>
      <c r="AT5" s="749" t="s">
        <v>54</v>
      </c>
      <c r="AU5" s="749" t="s">
        <v>55</v>
      </c>
      <c r="AV5" s="749" t="s">
        <v>56</v>
      </c>
      <c r="AW5" s="749" t="s">
        <v>57</v>
      </c>
      <c r="AX5" s="749" t="s">
        <v>58</v>
      </c>
      <c r="AY5" s="749" t="s">
        <v>59</v>
      </c>
      <c r="AZ5" s="749" t="s">
        <v>60</v>
      </c>
      <c r="BA5" s="749" t="s">
        <v>61</v>
      </c>
      <c r="BB5" s="749" t="s">
        <v>62</v>
      </c>
      <c r="BC5" s="749" t="s">
        <v>63</v>
      </c>
      <c r="BD5" s="749" t="s">
        <v>64</v>
      </c>
      <c r="BE5" s="748" t="s">
        <v>16</v>
      </c>
      <c r="BF5" s="749" t="s">
        <v>103</v>
      </c>
      <c r="BG5" s="749" t="s">
        <v>53</v>
      </c>
      <c r="BH5" s="749" t="s">
        <v>54</v>
      </c>
      <c r="BI5" s="749" t="s">
        <v>55</v>
      </c>
      <c r="BJ5" s="749" t="s">
        <v>56</v>
      </c>
      <c r="BK5" s="749" t="s">
        <v>57</v>
      </c>
      <c r="BL5" s="749" t="s">
        <v>58</v>
      </c>
      <c r="BM5" s="749" t="s">
        <v>59</v>
      </c>
      <c r="BN5" s="749" t="s">
        <v>60</v>
      </c>
      <c r="BO5" s="749" t="s">
        <v>61</v>
      </c>
      <c r="BP5" s="749" t="s">
        <v>62</v>
      </c>
      <c r="BQ5" s="749" t="s">
        <v>63</v>
      </c>
      <c r="BR5" s="749" t="s">
        <v>64</v>
      </c>
      <c r="BS5" s="748" t="s">
        <v>16</v>
      </c>
      <c r="BT5" s="749" t="s">
        <v>103</v>
      </c>
      <c r="BU5" s="749" t="s">
        <v>53</v>
      </c>
      <c r="BV5" s="749" t="s">
        <v>54</v>
      </c>
      <c r="BW5" s="749" t="s">
        <v>55</v>
      </c>
      <c r="BX5" s="749" t="s">
        <v>56</v>
      </c>
      <c r="BY5" s="749" t="s">
        <v>57</v>
      </c>
      <c r="BZ5" s="749" t="s">
        <v>58</v>
      </c>
      <c r="CA5" s="749" t="s">
        <v>59</v>
      </c>
      <c r="CB5" s="749" t="s">
        <v>60</v>
      </c>
      <c r="CC5" s="749" t="s">
        <v>61</v>
      </c>
      <c r="CD5" s="749" t="s">
        <v>62</v>
      </c>
      <c r="CE5" s="749" t="s">
        <v>63</v>
      </c>
      <c r="CF5" s="749" t="s">
        <v>64</v>
      </c>
      <c r="CG5" s="748" t="s">
        <v>16</v>
      </c>
      <c r="CH5" s="749" t="s">
        <v>103</v>
      </c>
      <c r="CI5" s="749" t="s">
        <v>53</v>
      </c>
      <c r="CJ5" s="749" t="s">
        <v>54</v>
      </c>
      <c r="CK5" s="749" t="s">
        <v>55</v>
      </c>
      <c r="CL5" s="749" t="s">
        <v>56</v>
      </c>
      <c r="CM5" s="749" t="s">
        <v>57</v>
      </c>
      <c r="CN5" s="749" t="s">
        <v>58</v>
      </c>
      <c r="CO5" s="749" t="s">
        <v>59</v>
      </c>
      <c r="CP5" s="749" t="s">
        <v>60</v>
      </c>
      <c r="CQ5" s="749" t="s">
        <v>61</v>
      </c>
      <c r="CR5" s="749" t="s">
        <v>62</v>
      </c>
      <c r="CS5" s="749" t="s">
        <v>63</v>
      </c>
      <c r="CT5" s="749" t="s">
        <v>64</v>
      </c>
      <c r="CU5" s="748" t="s">
        <v>16</v>
      </c>
      <c r="CV5" s="749" t="s">
        <v>103</v>
      </c>
      <c r="CW5" s="749" t="s">
        <v>53</v>
      </c>
      <c r="CX5" s="749" t="s">
        <v>54</v>
      </c>
      <c r="CY5" s="749" t="s">
        <v>55</v>
      </c>
      <c r="CZ5" s="749" t="s">
        <v>56</v>
      </c>
      <c r="DA5" s="749" t="s">
        <v>57</v>
      </c>
      <c r="DB5" s="749" t="s">
        <v>58</v>
      </c>
      <c r="DC5" s="749" t="s">
        <v>59</v>
      </c>
      <c r="DD5" s="749" t="s">
        <v>60</v>
      </c>
      <c r="DE5" s="749" t="s">
        <v>61</v>
      </c>
      <c r="DF5" s="749" t="s">
        <v>62</v>
      </c>
      <c r="DG5" s="749" t="s">
        <v>63</v>
      </c>
      <c r="DH5" s="749" t="s">
        <v>64</v>
      </c>
      <c r="DI5" s="748" t="s">
        <v>16</v>
      </c>
      <c r="DJ5" s="749" t="s">
        <v>103</v>
      </c>
      <c r="DK5" s="749" t="s">
        <v>53</v>
      </c>
      <c r="DL5" s="749" t="s">
        <v>54</v>
      </c>
      <c r="DM5" s="749" t="s">
        <v>55</v>
      </c>
      <c r="DN5" s="749" t="s">
        <v>56</v>
      </c>
      <c r="DO5" s="749" t="s">
        <v>57</v>
      </c>
      <c r="DP5" s="749" t="s">
        <v>58</v>
      </c>
      <c r="DQ5" s="749" t="s">
        <v>59</v>
      </c>
      <c r="DR5" s="749" t="s">
        <v>60</v>
      </c>
      <c r="DS5" s="749" t="s">
        <v>61</v>
      </c>
      <c r="DT5" s="749" t="s">
        <v>62</v>
      </c>
      <c r="DU5" s="749" t="s">
        <v>63</v>
      </c>
      <c r="DV5" s="749" t="s">
        <v>64</v>
      </c>
    </row>
    <row r="6" spans="1:126" s="25" customFormat="1" ht="18" customHeight="1">
      <c r="A6" s="859" t="s">
        <v>104</v>
      </c>
      <c r="B6" s="860">
        <f>SUM(C6:N6)</f>
        <v>626752.84466019413</v>
      </c>
      <c r="C6" s="861">
        <f>C8+C9+C10+C11+C12+C16+C17+C18+C19+C20+C21+C22+C23+C24+C25+C26+C27+C28+C31+C32+C33+C34+C35+C36</f>
        <v>52784</v>
      </c>
      <c r="D6" s="861">
        <f t="shared" ref="D6:N6" si="0">D8+D9+D10+D11+D12+D16+D17+D18+D19+D20+D21+D22+D23+D24+D25+D26+D27+D28+D31+D32+D33+D34+D35+D36</f>
        <v>49870</v>
      </c>
      <c r="E6" s="861">
        <f t="shared" si="0"/>
        <v>42435</v>
      </c>
      <c r="F6" s="861">
        <f t="shared" si="0"/>
        <v>52013</v>
      </c>
      <c r="G6" s="861">
        <f t="shared" si="0"/>
        <v>54782</v>
      </c>
      <c r="H6" s="861">
        <f t="shared" si="0"/>
        <v>54883</v>
      </c>
      <c r="I6" s="861">
        <f t="shared" si="0"/>
        <v>58872</v>
      </c>
      <c r="J6" s="861">
        <f t="shared" si="0"/>
        <v>52215</v>
      </c>
      <c r="K6" s="861">
        <f t="shared" si="0"/>
        <v>52303</v>
      </c>
      <c r="L6" s="861">
        <f t="shared" si="0"/>
        <v>51101</v>
      </c>
      <c r="M6" s="861">
        <f t="shared" si="0"/>
        <v>51623</v>
      </c>
      <c r="N6" s="861">
        <f t="shared" si="0"/>
        <v>53871.844660194176</v>
      </c>
      <c r="O6" s="945" t="s">
        <v>104</v>
      </c>
      <c r="P6" s="946">
        <f>SUM(Q6:AB6)</f>
        <v>8942.5674410629817</v>
      </c>
      <c r="Q6" s="862">
        <f>Q8+Q9+Q10+Q11+Q12+Q16+Q17+Q18+Q19+Q20+Q21+Q22+Q23+Q24+Q25+Q26+Q27+Q28+Q31+Q32+Q33+Q34+Q35+Q36</f>
        <v>711.02788691800026</v>
      </c>
      <c r="R6" s="862">
        <f t="shared" ref="R6:AB6" si="1">R8+R9+R10+R11+R12+R16+R17+R18+R19+R20+R21+R22+R23+R24+R25+R26+R27+R28+R31+R32+R33+R34+R35+R36</f>
        <v>676.7164583035152</v>
      </c>
      <c r="S6" s="862">
        <f t="shared" si="1"/>
        <v>615.89469782431775</v>
      </c>
      <c r="T6" s="862">
        <f t="shared" si="1"/>
        <v>727.20920279068002</v>
      </c>
      <c r="U6" s="862">
        <f t="shared" si="1"/>
        <v>781.24895453199997</v>
      </c>
      <c r="V6" s="862">
        <f t="shared" si="1"/>
        <v>756.1034624423404</v>
      </c>
      <c r="W6" s="862">
        <f t="shared" si="1"/>
        <v>843.06185213731999</v>
      </c>
      <c r="X6" s="862">
        <f t="shared" si="1"/>
        <v>796.21373219655345</v>
      </c>
      <c r="Y6" s="862">
        <f t="shared" si="1"/>
        <v>785.55716583799176</v>
      </c>
      <c r="Z6" s="862">
        <f t="shared" si="1"/>
        <v>720.32575000000008</v>
      </c>
      <c r="AA6" s="862">
        <f t="shared" si="1"/>
        <v>741.2975632089632</v>
      </c>
      <c r="AB6" s="862">
        <f t="shared" si="1"/>
        <v>787.91071487129955</v>
      </c>
      <c r="AC6" s="859" t="s">
        <v>105</v>
      </c>
      <c r="AD6" s="863">
        <f>(P6/B6)*1000</f>
        <v>14.2680923066434</v>
      </c>
      <c r="AE6" s="863">
        <f t="shared" ref="AE6:AP6" si="2">(Q6/C6)*1000</f>
        <v>13.470519227758416</v>
      </c>
      <c r="AF6" s="863">
        <f t="shared" si="2"/>
        <v>13.569610152466717</v>
      </c>
      <c r="AG6" s="863">
        <f t="shared" si="2"/>
        <v>14.513837582757576</v>
      </c>
      <c r="AH6" s="863">
        <f t="shared" si="2"/>
        <v>13.981297037099957</v>
      </c>
      <c r="AI6" s="863">
        <f t="shared" si="2"/>
        <v>14.261052070607132</v>
      </c>
      <c r="AJ6" s="863">
        <f t="shared" si="2"/>
        <v>13.776642356327832</v>
      </c>
      <c r="AK6" s="863">
        <f t="shared" si="2"/>
        <v>14.320251599016849</v>
      </c>
      <c r="AL6" s="863">
        <f t="shared" si="2"/>
        <v>15.248754806024197</v>
      </c>
      <c r="AM6" s="863">
        <f t="shared" si="2"/>
        <v>15.019351965240842</v>
      </c>
      <c r="AN6" s="863">
        <f t="shared" si="2"/>
        <v>14.096118471262796</v>
      </c>
      <c r="AO6" s="863">
        <f t="shared" si="2"/>
        <v>14.359831145205881</v>
      </c>
      <c r="AP6" s="863">
        <f t="shared" si="2"/>
        <v>14.625649443437112</v>
      </c>
      <c r="AQ6" s="859" t="s">
        <v>104</v>
      </c>
      <c r="AR6" s="864">
        <f>SUM(AS6:BD6)</f>
        <v>2316755.6499380423</v>
      </c>
      <c r="AS6" s="865">
        <f t="shared" ref="AS6:BD6" si="3">AS8+AS9+AS10+AS11+AS12+AS16+AS17+AS18+AS19+AS20+AS21+AS22+AS23+AS24+AS25+AS26+AS27+AS28+AS31+AS32+AS33+AS34+AS35+AS36</f>
        <v>169089</v>
      </c>
      <c r="AT6" s="865">
        <f t="shared" si="3"/>
        <v>173305</v>
      </c>
      <c r="AU6" s="865">
        <f t="shared" si="3"/>
        <v>174595</v>
      </c>
      <c r="AV6" s="865">
        <f t="shared" si="3"/>
        <v>185527</v>
      </c>
      <c r="AW6" s="865">
        <f t="shared" si="3"/>
        <v>194584</v>
      </c>
      <c r="AX6" s="865">
        <f t="shared" si="3"/>
        <v>194132</v>
      </c>
      <c r="AY6" s="865">
        <f t="shared" si="3"/>
        <v>207596</v>
      </c>
      <c r="AZ6" s="865">
        <f t="shared" si="3"/>
        <v>200639.5</v>
      </c>
      <c r="BA6" s="865">
        <f t="shared" si="3"/>
        <v>185734</v>
      </c>
      <c r="BB6" s="865">
        <f t="shared" si="3"/>
        <v>203251</v>
      </c>
      <c r="BC6" s="865">
        <f t="shared" si="3"/>
        <v>192310</v>
      </c>
      <c r="BD6" s="865">
        <f t="shared" si="3"/>
        <v>235993.14993804213</v>
      </c>
      <c r="BE6" s="859" t="s">
        <v>104</v>
      </c>
      <c r="BF6" s="860">
        <f>SUM(BG6:BR6)</f>
        <v>162336.86412535637</v>
      </c>
      <c r="BG6" s="861">
        <f t="shared" ref="BG6:BR6" si="4">BG8+BG9+BG10+BG11+BG12+BG16+BG17+BG18+BG19+BG20+BG21+BG22+BG23+BG24+BG25+BG26+BG27+BG28+BG31+BG32+BG33+BG34+BG35+BG36</f>
        <v>11455.375325003661</v>
      </c>
      <c r="BH6" s="861">
        <f t="shared" si="4"/>
        <v>11617.042015998657</v>
      </c>
      <c r="BI6" s="861">
        <f t="shared" si="4"/>
        <v>11596.180041666961</v>
      </c>
      <c r="BJ6" s="861">
        <f t="shared" si="4"/>
        <v>12880.7154218303</v>
      </c>
      <c r="BK6" s="861">
        <f t="shared" si="4"/>
        <v>13812.841386534747</v>
      </c>
      <c r="BL6" s="861">
        <f t="shared" si="4"/>
        <v>13886.843548869998</v>
      </c>
      <c r="BM6" s="861">
        <f t="shared" si="4"/>
        <v>14355.949503071222</v>
      </c>
      <c r="BN6" s="861">
        <f t="shared" si="4"/>
        <v>14833.73033396903</v>
      </c>
      <c r="BO6" s="861">
        <f t="shared" si="4"/>
        <v>13130.216517834331</v>
      </c>
      <c r="BP6" s="861">
        <f t="shared" si="4"/>
        <v>14562.183802635016</v>
      </c>
      <c r="BQ6" s="861">
        <f t="shared" si="4"/>
        <v>13688.840212783009</v>
      </c>
      <c r="BR6" s="861">
        <f t="shared" si="4"/>
        <v>16516.946015159439</v>
      </c>
      <c r="BS6" s="859" t="s">
        <v>105</v>
      </c>
      <c r="BT6" s="866">
        <f>(BF6/AR6)*1000</f>
        <v>70.070775107291865</v>
      </c>
      <c r="BU6" s="866">
        <f t="shared" ref="BU6:CF6" si="5">(BG6/AS6)*1000</f>
        <v>67.747608212264907</v>
      </c>
      <c r="BV6" s="866">
        <f t="shared" si="5"/>
        <v>67.032353457769005</v>
      </c>
      <c r="BW6" s="866">
        <f t="shared" si="5"/>
        <v>66.417595244233567</v>
      </c>
      <c r="BX6" s="866">
        <f t="shared" si="5"/>
        <v>69.427713604113151</v>
      </c>
      <c r="BY6" s="866">
        <f t="shared" si="5"/>
        <v>70.986521946998451</v>
      </c>
      <c r="BZ6" s="866">
        <f t="shared" si="5"/>
        <v>71.532995842364969</v>
      </c>
      <c r="CA6" s="866">
        <f t="shared" si="5"/>
        <v>69.153304991768735</v>
      </c>
      <c r="CB6" s="866">
        <f t="shared" si="5"/>
        <v>73.932253289950523</v>
      </c>
      <c r="CC6" s="866">
        <f t="shared" si="5"/>
        <v>70.693661461198971</v>
      </c>
      <c r="CD6" s="866">
        <f t="shared" si="5"/>
        <v>71.646308272210305</v>
      </c>
      <c r="CE6" s="866">
        <f t="shared" si="5"/>
        <v>71.181114933092459</v>
      </c>
      <c r="CF6" s="866">
        <f t="shared" si="5"/>
        <v>69.989090867662114</v>
      </c>
      <c r="CG6" s="859" t="s">
        <v>104</v>
      </c>
      <c r="CH6" s="860">
        <f>SUM(CI6:CT6)</f>
        <v>1054288.5195996664</v>
      </c>
      <c r="CI6" s="861">
        <f t="shared" ref="CI6:CT6" si="6">CI8+CI9+CI10+CI11+CI12+CI16+CI17+CI18+CI19+CI20+CI21+CI22+CI23+CI24+CI25+CI26+CI27+CI28+CI31+CI32+CI33+CI34+CI35+CI36</f>
        <v>89723</v>
      </c>
      <c r="CJ6" s="861">
        <f t="shared" si="6"/>
        <v>84050</v>
      </c>
      <c r="CK6" s="861">
        <f t="shared" si="6"/>
        <v>86350</v>
      </c>
      <c r="CL6" s="861">
        <f t="shared" si="6"/>
        <v>87843</v>
      </c>
      <c r="CM6" s="861">
        <f t="shared" si="6"/>
        <v>91037</v>
      </c>
      <c r="CN6" s="861">
        <f t="shared" si="6"/>
        <v>81701</v>
      </c>
      <c r="CO6" s="861">
        <f t="shared" si="6"/>
        <v>91964</v>
      </c>
      <c r="CP6" s="861">
        <f t="shared" si="6"/>
        <v>90090</v>
      </c>
      <c r="CQ6" s="861">
        <f t="shared" si="6"/>
        <v>88251</v>
      </c>
      <c r="CR6" s="861">
        <f t="shared" si="6"/>
        <v>89091</v>
      </c>
      <c r="CS6" s="861">
        <f t="shared" si="6"/>
        <v>87123</v>
      </c>
      <c r="CT6" s="861">
        <f t="shared" si="6"/>
        <v>87065.519599666382</v>
      </c>
      <c r="CU6" s="859" t="s">
        <v>104</v>
      </c>
      <c r="CV6" s="860">
        <f>SUM(CW6:DH6)</f>
        <v>203628.32674985632</v>
      </c>
      <c r="CW6" s="861">
        <f t="shared" ref="CW6:DH6" si="7">CW8+CW9+CW10+CW11+CW12+CW16+CW17+CW18+CW19+CW20+CW21+CW22+CW23+CW24+CW25+CW26+CW27+CW28+CW31+CW32+CW33+CW34+CW35+CW36</f>
        <v>17055.702085106685</v>
      </c>
      <c r="CX6" s="861">
        <f t="shared" si="7"/>
        <v>15954.243330084646</v>
      </c>
      <c r="CY6" s="861">
        <f t="shared" si="7"/>
        <v>16570.900585618336</v>
      </c>
      <c r="CZ6" s="861">
        <f t="shared" si="7"/>
        <v>17113.630780912001</v>
      </c>
      <c r="DA6" s="861">
        <f t="shared" si="7"/>
        <v>17397.654741719998</v>
      </c>
      <c r="DB6" s="861">
        <f t="shared" si="7"/>
        <v>16009.676735563273</v>
      </c>
      <c r="DC6" s="861">
        <f t="shared" si="7"/>
        <v>17964.342551470399</v>
      </c>
      <c r="DD6" s="861">
        <f t="shared" si="7"/>
        <v>17403.498763034229</v>
      </c>
      <c r="DE6" s="861">
        <f t="shared" si="7"/>
        <v>17121.905880836159</v>
      </c>
      <c r="DF6" s="861">
        <f t="shared" si="7"/>
        <v>17296.71891</v>
      </c>
      <c r="DG6" s="861">
        <f t="shared" si="7"/>
        <v>16744.026895303225</v>
      </c>
      <c r="DH6" s="861">
        <f t="shared" si="7"/>
        <v>16996.025490207365</v>
      </c>
      <c r="DI6" s="859" t="s">
        <v>105</v>
      </c>
      <c r="DJ6" s="866">
        <f>(CV6/CH6)*1000</f>
        <v>193.14288542872299</v>
      </c>
      <c r="DK6" s="866">
        <f t="shared" ref="DK6:DV6" si="8">(CW6/CI6)*1000</f>
        <v>190.09286453982463</v>
      </c>
      <c r="DL6" s="866">
        <f t="shared" si="8"/>
        <v>189.81848102420756</v>
      </c>
      <c r="DM6" s="866">
        <f t="shared" si="8"/>
        <v>191.90388634184524</v>
      </c>
      <c r="DN6" s="866">
        <f t="shared" si="8"/>
        <v>194.82065481497673</v>
      </c>
      <c r="DO6" s="866">
        <f t="shared" si="8"/>
        <v>191.10531697793203</v>
      </c>
      <c r="DP6" s="866">
        <f t="shared" si="8"/>
        <v>195.95447712467745</v>
      </c>
      <c r="DQ6" s="866">
        <f t="shared" si="8"/>
        <v>195.34103074540471</v>
      </c>
      <c r="DR6" s="866">
        <f t="shared" si="8"/>
        <v>193.1790294487094</v>
      </c>
      <c r="DS6" s="866">
        <f t="shared" si="8"/>
        <v>194.01373220514395</v>
      </c>
      <c r="DT6" s="866">
        <f t="shared" si="8"/>
        <v>194.14664679933998</v>
      </c>
      <c r="DU6" s="866">
        <f t="shared" si="8"/>
        <v>192.18836467182288</v>
      </c>
      <c r="DV6" s="866">
        <f t="shared" si="8"/>
        <v>195.2096027033013</v>
      </c>
    </row>
    <row r="7" spans="1:126" ht="1.25" customHeight="1">
      <c r="B7" s="447"/>
      <c r="C7" s="264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939"/>
      <c r="P7" s="947"/>
      <c r="Q7" s="948"/>
      <c r="R7" s="948"/>
      <c r="S7" s="948"/>
      <c r="T7" s="948"/>
      <c r="U7" s="948"/>
      <c r="V7" s="948"/>
      <c r="W7" s="948"/>
      <c r="X7" s="948"/>
      <c r="Y7" s="948"/>
      <c r="Z7" s="948"/>
      <c r="AA7" s="948"/>
      <c r="AB7" s="948"/>
      <c r="AD7" s="410"/>
      <c r="AE7" s="266"/>
      <c r="AF7" s="266"/>
      <c r="AG7" s="266"/>
      <c r="AH7" s="266"/>
      <c r="AI7" s="266"/>
      <c r="AJ7" s="266"/>
      <c r="AK7" s="266"/>
      <c r="AL7" s="266"/>
      <c r="AM7" s="266"/>
      <c r="AN7" s="266"/>
      <c r="AO7" s="266"/>
      <c r="AP7" s="266"/>
      <c r="AR7" s="448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162"/>
      <c r="BD7" s="162"/>
      <c r="BF7" s="409"/>
      <c r="BG7" s="264"/>
      <c r="BH7" s="264"/>
      <c r="BI7" s="264"/>
      <c r="BJ7" s="264"/>
      <c r="BK7" s="264"/>
      <c r="BL7" s="264"/>
      <c r="BM7" s="264"/>
      <c r="BN7" s="264"/>
      <c r="BO7" s="264"/>
      <c r="BP7" s="264"/>
      <c r="BQ7" s="264"/>
      <c r="BR7" s="264"/>
      <c r="BT7" s="411"/>
      <c r="BU7" s="263"/>
      <c r="BV7" s="263"/>
      <c r="BW7" s="263"/>
      <c r="BX7" s="263"/>
      <c r="BY7" s="263"/>
      <c r="BZ7" s="263"/>
      <c r="CA7" s="263"/>
      <c r="CB7" s="263"/>
      <c r="CC7" s="263"/>
      <c r="CD7" s="263"/>
      <c r="CE7" s="263"/>
      <c r="CF7" s="263"/>
      <c r="CH7" s="409"/>
      <c r="CI7" s="264"/>
      <c r="CJ7" s="264"/>
      <c r="CK7" s="264"/>
      <c r="CL7" s="264"/>
      <c r="CM7" s="264"/>
      <c r="CN7" s="264"/>
      <c r="CO7" s="264"/>
      <c r="CP7" s="264"/>
      <c r="CQ7" s="264"/>
      <c r="CR7" s="264"/>
      <c r="CS7" s="264"/>
      <c r="CT7" s="264"/>
      <c r="CV7" s="412"/>
      <c r="CW7" s="264"/>
      <c r="CX7" s="264"/>
      <c r="CY7" s="264"/>
      <c r="CZ7" s="264"/>
      <c r="DA7" s="264"/>
      <c r="DB7" s="264"/>
      <c r="DC7" s="264"/>
      <c r="DD7" s="264"/>
      <c r="DE7" s="264"/>
      <c r="DF7" s="264"/>
      <c r="DG7" s="264"/>
      <c r="DH7" s="264"/>
      <c r="DJ7" s="411"/>
      <c r="DK7" s="263"/>
      <c r="DL7" s="263"/>
      <c r="DM7" s="263"/>
      <c r="DN7" s="263"/>
      <c r="DO7" s="263"/>
      <c r="DP7" s="263"/>
      <c r="DQ7" s="263"/>
      <c r="DR7" s="263"/>
      <c r="DS7" s="263"/>
      <c r="DT7" s="263"/>
      <c r="DU7" s="263"/>
      <c r="DV7" s="263"/>
    </row>
    <row r="8" spans="1:126" ht="16" customHeight="1">
      <c r="A8" s="11" t="s">
        <v>219</v>
      </c>
      <c r="B8" s="867">
        <f>SUM(C8:N8)</f>
        <v>372</v>
      </c>
      <c r="C8" s="264">
        <v>24</v>
      </c>
      <c r="D8" s="264">
        <v>27</v>
      </c>
      <c r="E8" s="264">
        <v>33</v>
      </c>
      <c r="F8" s="264">
        <v>32</v>
      </c>
      <c r="G8" s="264">
        <v>30</v>
      </c>
      <c r="H8" s="264">
        <v>31</v>
      </c>
      <c r="I8" s="264">
        <v>29</v>
      </c>
      <c r="J8" s="264">
        <v>32</v>
      </c>
      <c r="K8" s="264">
        <v>30</v>
      </c>
      <c r="L8" s="264">
        <v>37</v>
      </c>
      <c r="M8" s="264">
        <v>32</v>
      </c>
      <c r="N8" s="264">
        <v>35</v>
      </c>
      <c r="O8" s="939" t="s">
        <v>219</v>
      </c>
      <c r="P8" s="949">
        <f>SUM(Q8:AB8)</f>
        <v>5.58</v>
      </c>
      <c r="Q8" s="948">
        <v>0.36</v>
      </c>
      <c r="R8" s="948">
        <v>0.40500000000000003</v>
      </c>
      <c r="S8" s="948">
        <v>0.495</v>
      </c>
      <c r="T8" s="948">
        <v>0.48</v>
      </c>
      <c r="U8" s="948">
        <v>0.45</v>
      </c>
      <c r="V8" s="948">
        <v>0.46500000000000002</v>
      </c>
      <c r="W8" s="948">
        <v>0.43499999999999994</v>
      </c>
      <c r="X8" s="948">
        <v>0.48</v>
      </c>
      <c r="Y8" s="948">
        <v>0.44999999999999996</v>
      </c>
      <c r="Z8" s="948">
        <v>0.55499999999999994</v>
      </c>
      <c r="AA8" s="948">
        <v>0.48</v>
      </c>
      <c r="AB8" s="948">
        <v>0.52500000000000002</v>
      </c>
      <c r="AC8" s="11" t="s">
        <v>219</v>
      </c>
      <c r="AD8" s="869">
        <f t="shared" ref="AD8:AP27" si="9">(P8/B8)*1000</f>
        <v>15</v>
      </c>
      <c r="AE8" s="265">
        <f>(Q8/C8)*1000</f>
        <v>15</v>
      </c>
      <c r="AF8" s="265">
        <f t="shared" si="9"/>
        <v>15.000000000000002</v>
      </c>
      <c r="AG8" s="265">
        <f t="shared" si="9"/>
        <v>15</v>
      </c>
      <c r="AH8" s="265">
        <f t="shared" si="9"/>
        <v>15</v>
      </c>
      <c r="AI8" s="265">
        <f t="shared" si="9"/>
        <v>15.000000000000002</v>
      </c>
      <c r="AJ8" s="265">
        <f t="shared" si="9"/>
        <v>15.000000000000002</v>
      </c>
      <c r="AK8" s="265">
        <f t="shared" si="9"/>
        <v>14.999999999999998</v>
      </c>
      <c r="AL8" s="265">
        <f t="shared" si="9"/>
        <v>15</v>
      </c>
      <c r="AM8" s="265">
        <f t="shared" si="9"/>
        <v>14.999999999999998</v>
      </c>
      <c r="AN8" s="265">
        <f t="shared" si="9"/>
        <v>14.999999999999998</v>
      </c>
      <c r="AO8" s="265">
        <f t="shared" si="9"/>
        <v>15</v>
      </c>
      <c r="AP8" s="265">
        <f t="shared" si="9"/>
        <v>15.000000000000002</v>
      </c>
      <c r="AQ8" s="11" t="s">
        <v>219</v>
      </c>
      <c r="AR8" s="871">
        <f>SUM(AS8:BD8)</f>
        <v>2084</v>
      </c>
      <c r="AS8" s="162">
        <v>178</v>
      </c>
      <c r="AT8" s="162">
        <v>164</v>
      </c>
      <c r="AU8" s="162">
        <v>168</v>
      </c>
      <c r="AV8" s="162">
        <v>168</v>
      </c>
      <c r="AW8" s="162">
        <v>162</v>
      </c>
      <c r="AX8" s="162">
        <v>164</v>
      </c>
      <c r="AY8" s="162">
        <v>172</v>
      </c>
      <c r="AZ8" s="162">
        <v>172</v>
      </c>
      <c r="BA8" s="162">
        <v>192</v>
      </c>
      <c r="BB8" s="162">
        <v>186</v>
      </c>
      <c r="BC8" s="162">
        <v>184</v>
      </c>
      <c r="BD8" s="162">
        <v>174</v>
      </c>
      <c r="BE8" s="11" t="s">
        <v>219</v>
      </c>
      <c r="BF8" s="867">
        <f>SUM(BG8:BR8)</f>
        <v>109.41</v>
      </c>
      <c r="BG8" s="264">
        <v>9.3449999999999989</v>
      </c>
      <c r="BH8" s="264">
        <v>8.61</v>
      </c>
      <c r="BI8" s="264">
        <v>8.82</v>
      </c>
      <c r="BJ8" s="264">
        <v>8.82</v>
      </c>
      <c r="BK8" s="264">
        <v>8.504999999999999</v>
      </c>
      <c r="BL8" s="264">
        <v>8.61</v>
      </c>
      <c r="BM8" s="264">
        <v>9.0299999999999994</v>
      </c>
      <c r="BN8" s="264">
        <v>9.0300000000000011</v>
      </c>
      <c r="BO8" s="264">
        <v>10.08</v>
      </c>
      <c r="BP8" s="264">
        <v>9.7650000000000006</v>
      </c>
      <c r="BQ8" s="264">
        <v>9.66</v>
      </c>
      <c r="BR8" s="264">
        <v>9.1349999999999998</v>
      </c>
      <c r="BS8" s="11" t="s">
        <v>219</v>
      </c>
      <c r="BT8" s="873">
        <f t="shared" ref="BT8:CF26" si="10">(BF8/AR8)*1000</f>
        <v>52.5</v>
      </c>
      <c r="BU8" s="263">
        <f t="shared" si="10"/>
        <v>52.499999999999993</v>
      </c>
      <c r="BV8" s="263">
        <f t="shared" si="10"/>
        <v>52.5</v>
      </c>
      <c r="BW8" s="263">
        <f t="shared" si="10"/>
        <v>52.500000000000007</v>
      </c>
      <c r="BX8" s="263">
        <f t="shared" si="10"/>
        <v>52.500000000000007</v>
      </c>
      <c r="BY8" s="263">
        <f t="shared" si="10"/>
        <v>52.499999999999993</v>
      </c>
      <c r="BZ8" s="263">
        <f t="shared" si="10"/>
        <v>52.5</v>
      </c>
      <c r="CA8" s="263">
        <f t="shared" si="10"/>
        <v>52.5</v>
      </c>
      <c r="CB8" s="263">
        <f t="shared" si="10"/>
        <v>52.500000000000007</v>
      </c>
      <c r="CC8" s="263">
        <f t="shared" si="10"/>
        <v>52.5</v>
      </c>
      <c r="CD8" s="263">
        <f t="shared" si="10"/>
        <v>52.500000000000007</v>
      </c>
      <c r="CE8" s="263">
        <f t="shared" si="10"/>
        <v>52.5</v>
      </c>
      <c r="CF8" s="263">
        <f t="shared" si="10"/>
        <v>52.5</v>
      </c>
      <c r="CG8" s="11" t="s">
        <v>219</v>
      </c>
      <c r="CH8" s="867">
        <f>SUM(CI8:CT8)</f>
        <v>872</v>
      </c>
      <c r="CI8" s="264">
        <v>61</v>
      </c>
      <c r="CJ8" s="264">
        <v>65</v>
      </c>
      <c r="CK8" s="264">
        <v>76</v>
      </c>
      <c r="CL8" s="264">
        <v>75</v>
      </c>
      <c r="CM8" s="264">
        <v>73</v>
      </c>
      <c r="CN8" s="264">
        <v>74</v>
      </c>
      <c r="CO8" s="264">
        <v>70</v>
      </c>
      <c r="CP8" s="264">
        <v>70</v>
      </c>
      <c r="CQ8" s="264">
        <v>74</v>
      </c>
      <c r="CR8" s="264">
        <v>73</v>
      </c>
      <c r="CS8" s="264">
        <v>77</v>
      </c>
      <c r="CT8" s="264">
        <v>84</v>
      </c>
      <c r="CU8" s="11" t="s">
        <v>219</v>
      </c>
      <c r="CV8" s="867">
        <f>SUM(CW8:DH8)</f>
        <v>155.905</v>
      </c>
      <c r="CW8" s="264">
        <v>10.885</v>
      </c>
      <c r="CX8" s="264">
        <v>11.620000000000001</v>
      </c>
      <c r="CY8" s="264">
        <v>13.585000000000001</v>
      </c>
      <c r="CZ8" s="264">
        <v>13.399999999999999</v>
      </c>
      <c r="DA8" s="264">
        <v>13.05</v>
      </c>
      <c r="DB8" s="264">
        <v>13.24</v>
      </c>
      <c r="DC8" s="264">
        <v>12.525</v>
      </c>
      <c r="DD8" s="264">
        <v>12.52</v>
      </c>
      <c r="DE8" s="264">
        <v>13.245000000000001</v>
      </c>
      <c r="DF8" s="264">
        <v>13.055</v>
      </c>
      <c r="DG8" s="264">
        <v>13.760000000000002</v>
      </c>
      <c r="DH8" s="264">
        <v>15.02</v>
      </c>
      <c r="DI8" s="11" t="s">
        <v>219</v>
      </c>
      <c r="DJ8" s="873">
        <f t="shared" ref="DJ8:DV27" si="11">(CV8/CH8)*1000</f>
        <v>178.79013761467891</v>
      </c>
      <c r="DK8" s="263">
        <f t="shared" si="11"/>
        <v>178.44262295081967</v>
      </c>
      <c r="DL8" s="263">
        <f t="shared" si="11"/>
        <v>178.7692307692308</v>
      </c>
      <c r="DM8" s="263">
        <f t="shared" si="11"/>
        <v>178.75000000000003</v>
      </c>
      <c r="DN8" s="263">
        <f t="shared" si="11"/>
        <v>178.66666666666663</v>
      </c>
      <c r="DO8" s="263">
        <f t="shared" si="11"/>
        <v>178.76712328767124</v>
      </c>
      <c r="DP8" s="263">
        <f t="shared" si="11"/>
        <v>178.91891891891893</v>
      </c>
      <c r="DQ8" s="263">
        <f t="shared" si="11"/>
        <v>178.92857142857144</v>
      </c>
      <c r="DR8" s="263">
        <f t="shared" si="11"/>
        <v>178.85714285714286</v>
      </c>
      <c r="DS8" s="263">
        <f t="shared" si="11"/>
        <v>178.98648648648648</v>
      </c>
      <c r="DT8" s="263">
        <f t="shared" si="11"/>
        <v>178.83561643835617</v>
      </c>
      <c r="DU8" s="263">
        <f t="shared" si="11"/>
        <v>178.70129870129873</v>
      </c>
      <c r="DV8" s="263">
        <f t="shared" si="11"/>
        <v>178.8095238095238</v>
      </c>
    </row>
    <row r="9" spans="1:126" ht="16" customHeight="1">
      <c r="A9" s="11" t="s">
        <v>220</v>
      </c>
      <c r="B9" s="867">
        <f t="shared" ref="B9:B35" si="12">SUM(C9:N9)</f>
        <v>16966</v>
      </c>
      <c r="C9" s="264">
        <v>1259</v>
      </c>
      <c r="D9" s="264">
        <v>1253</v>
      </c>
      <c r="E9" s="264">
        <v>1331</v>
      </c>
      <c r="F9" s="264">
        <v>1290</v>
      </c>
      <c r="G9" s="264">
        <v>1575</v>
      </c>
      <c r="H9" s="264">
        <v>1485</v>
      </c>
      <c r="I9" s="264">
        <v>1260</v>
      </c>
      <c r="J9" s="264">
        <v>1475</v>
      </c>
      <c r="K9" s="264">
        <v>1416</v>
      </c>
      <c r="L9" s="264">
        <v>1441</v>
      </c>
      <c r="M9" s="264">
        <v>1572</v>
      </c>
      <c r="N9" s="264">
        <v>1609</v>
      </c>
      <c r="O9" s="939" t="s">
        <v>220</v>
      </c>
      <c r="P9" s="949">
        <f t="shared" ref="P9:P35" si="13">SUM(Q9:AB9)</f>
        <v>439.7863636363636</v>
      </c>
      <c r="Q9" s="948">
        <v>32.72</v>
      </c>
      <c r="R9" s="948">
        <v>36.347999999999999</v>
      </c>
      <c r="S9" s="948">
        <v>30.908999999999999</v>
      </c>
      <c r="T9" s="948">
        <v>35.707999999999998</v>
      </c>
      <c r="U9" s="948">
        <v>44.967999999999996</v>
      </c>
      <c r="V9" s="948">
        <v>36.966999999999999</v>
      </c>
      <c r="W9" s="948">
        <v>26.709</v>
      </c>
      <c r="X9" s="948">
        <v>33.823999999999998</v>
      </c>
      <c r="Y9" s="948">
        <v>36.293999999999997</v>
      </c>
      <c r="Z9" s="948">
        <v>38.694000000000003</v>
      </c>
      <c r="AA9" s="948">
        <v>42.671999999999997</v>
      </c>
      <c r="AB9" s="948">
        <v>43.973363636363636</v>
      </c>
      <c r="AC9" s="11" t="s">
        <v>220</v>
      </c>
      <c r="AD9" s="869">
        <f t="shared" si="9"/>
        <v>25.921629354966615</v>
      </c>
      <c r="AE9" s="265">
        <f t="shared" si="9"/>
        <v>25.988880063542492</v>
      </c>
      <c r="AF9" s="265">
        <f t="shared" si="9"/>
        <v>29.008778930566638</v>
      </c>
      <c r="AG9" s="265">
        <f t="shared" si="9"/>
        <v>23.222389181066866</v>
      </c>
      <c r="AH9" s="265">
        <f t="shared" si="9"/>
        <v>27.68062015503876</v>
      </c>
      <c r="AI9" s="265">
        <f t="shared" si="9"/>
        <v>28.551111111111112</v>
      </c>
      <c r="AJ9" s="265">
        <f t="shared" si="9"/>
        <v>24.893602693602695</v>
      </c>
      <c r="AK9" s="265">
        <f t="shared" si="9"/>
        <v>21.19761904761905</v>
      </c>
      <c r="AL9" s="265">
        <f t="shared" si="9"/>
        <v>22.931525423728814</v>
      </c>
      <c r="AM9" s="265">
        <f t="shared" si="9"/>
        <v>25.631355932203387</v>
      </c>
      <c r="AN9" s="265">
        <f t="shared" si="9"/>
        <v>26.852185981956975</v>
      </c>
      <c r="AO9" s="265">
        <f t="shared" si="9"/>
        <v>27.145038167938932</v>
      </c>
      <c r="AP9" s="265">
        <f t="shared" si="9"/>
        <v>27.329623142550428</v>
      </c>
      <c r="AQ9" s="11" t="s">
        <v>220</v>
      </c>
      <c r="AR9" s="871">
        <f t="shared" ref="AR9:AR35" si="14">SUM(AS9:BD9)</f>
        <v>29814</v>
      </c>
      <c r="AS9" s="162">
        <v>3176</v>
      </c>
      <c r="AT9" s="162">
        <v>2133</v>
      </c>
      <c r="AU9" s="162">
        <v>2237</v>
      </c>
      <c r="AV9" s="162">
        <v>2341</v>
      </c>
      <c r="AW9" s="162">
        <v>2314</v>
      </c>
      <c r="AX9" s="162">
        <v>2531</v>
      </c>
      <c r="AY9" s="162">
        <v>2565</v>
      </c>
      <c r="AZ9" s="162">
        <v>2547</v>
      </c>
      <c r="BA9" s="162">
        <v>2371</v>
      </c>
      <c r="BB9" s="162">
        <v>2442</v>
      </c>
      <c r="BC9" s="162">
        <v>2452</v>
      </c>
      <c r="BD9" s="162">
        <v>2705</v>
      </c>
      <c r="BE9" s="11" t="s">
        <v>220</v>
      </c>
      <c r="BF9" s="867">
        <f t="shared" ref="BF9:BF35" si="15">SUM(BG9:BR9)</f>
        <v>1873.7549999999997</v>
      </c>
      <c r="BG9" s="264">
        <v>237.68699999999998</v>
      </c>
      <c r="BH9" s="264">
        <v>139.75200000000001</v>
      </c>
      <c r="BI9" s="264">
        <v>145.58199999999999</v>
      </c>
      <c r="BJ9" s="264">
        <v>151.12049999999999</v>
      </c>
      <c r="BK9" s="264">
        <v>150.86349999999999</v>
      </c>
      <c r="BL9" s="264">
        <v>160.86349999999999</v>
      </c>
      <c r="BM9" s="264">
        <v>152.696</v>
      </c>
      <c r="BN9" s="264">
        <v>145.952</v>
      </c>
      <c r="BO9" s="264">
        <v>148.18299999999999</v>
      </c>
      <c r="BP9" s="264">
        <v>148.36599999999999</v>
      </c>
      <c r="BQ9" s="264">
        <v>133.82600000000002</v>
      </c>
      <c r="BR9" s="264">
        <v>158.86349999999999</v>
      </c>
      <c r="BS9" s="11" t="s">
        <v>220</v>
      </c>
      <c r="BT9" s="873">
        <f t="shared" si="10"/>
        <v>62.84815858321592</v>
      </c>
      <c r="BU9" s="263">
        <f t="shared" si="10"/>
        <v>74.838476070528955</v>
      </c>
      <c r="BV9" s="263">
        <f t="shared" si="10"/>
        <v>65.51898734177216</v>
      </c>
      <c r="BW9" s="263">
        <f t="shared" si="10"/>
        <v>65.079123826553413</v>
      </c>
      <c r="BX9" s="263">
        <f t="shared" si="10"/>
        <v>64.553823152498921</v>
      </c>
      <c r="BY9" s="263">
        <f t="shared" si="10"/>
        <v>65.195980985306818</v>
      </c>
      <c r="BZ9" s="263">
        <f t="shared" si="10"/>
        <v>63.557289608850247</v>
      </c>
      <c r="CA9" s="263">
        <f t="shared" si="10"/>
        <v>59.530604288499028</v>
      </c>
      <c r="CB9" s="263">
        <f t="shared" si="10"/>
        <v>57.303494307027869</v>
      </c>
      <c r="CC9" s="263">
        <f t="shared" si="10"/>
        <v>62.498102066638552</v>
      </c>
      <c r="CD9" s="263">
        <f t="shared" si="10"/>
        <v>60.755937755937751</v>
      </c>
      <c r="CE9" s="263">
        <f t="shared" si="10"/>
        <v>54.578303425774891</v>
      </c>
      <c r="CF9" s="263">
        <f t="shared" si="10"/>
        <v>58.72957486136783</v>
      </c>
      <c r="CG9" s="11" t="s">
        <v>220</v>
      </c>
      <c r="CH9" s="867">
        <f t="shared" ref="CH9:CH36" si="16">SUM(CI9:CT9)</f>
        <v>63522</v>
      </c>
      <c r="CI9" s="264">
        <v>6664</v>
      </c>
      <c r="CJ9" s="264">
        <v>5061</v>
      </c>
      <c r="CK9" s="264">
        <v>5047</v>
      </c>
      <c r="CL9" s="264">
        <v>5110</v>
      </c>
      <c r="CM9" s="264">
        <v>5080</v>
      </c>
      <c r="CN9" s="264">
        <v>5089</v>
      </c>
      <c r="CO9" s="264">
        <v>5122</v>
      </c>
      <c r="CP9" s="264">
        <v>5229</v>
      </c>
      <c r="CQ9" s="264">
        <v>5181</v>
      </c>
      <c r="CR9" s="264">
        <v>5398</v>
      </c>
      <c r="CS9" s="264">
        <v>5222</v>
      </c>
      <c r="CT9" s="264">
        <v>5319</v>
      </c>
      <c r="CU9" s="11" t="s">
        <v>220</v>
      </c>
      <c r="CV9" s="867">
        <f t="shared" ref="CV9:CV36" si="17">SUM(CW9:DH9)</f>
        <v>11897.884</v>
      </c>
      <c r="CW9" s="264">
        <v>1349.713</v>
      </c>
      <c r="CX9" s="264">
        <v>1023.456</v>
      </c>
      <c r="CY9" s="264">
        <v>932.63099999999997</v>
      </c>
      <c r="CZ9" s="264">
        <v>951.18650000000002</v>
      </c>
      <c r="DA9" s="264">
        <v>941.96699999999998</v>
      </c>
      <c r="DB9" s="264">
        <v>942.55900000000008</v>
      </c>
      <c r="DC9" s="264">
        <v>942.51300000000003</v>
      </c>
      <c r="DD9" s="264">
        <v>964.40600000000006</v>
      </c>
      <c r="DE9" s="264">
        <v>946.57650000000001</v>
      </c>
      <c r="DF9" s="264">
        <v>982.678</v>
      </c>
      <c r="DG9" s="264">
        <v>948.01650000000006</v>
      </c>
      <c r="DH9" s="264">
        <v>972.18149999999991</v>
      </c>
      <c r="DI9" s="11" t="s">
        <v>220</v>
      </c>
      <c r="DJ9" s="873">
        <f t="shared" si="11"/>
        <v>187.30335946601178</v>
      </c>
      <c r="DK9" s="263">
        <f t="shared" si="11"/>
        <v>202.53796518607442</v>
      </c>
      <c r="DL9" s="263">
        <f t="shared" si="11"/>
        <v>202.22406639004151</v>
      </c>
      <c r="DM9" s="263">
        <f t="shared" si="11"/>
        <v>184.7891816920943</v>
      </c>
      <c r="DN9" s="263">
        <f t="shared" si="11"/>
        <v>186.1421722113503</v>
      </c>
      <c r="DO9" s="263">
        <f t="shared" si="11"/>
        <v>185.42657480314961</v>
      </c>
      <c r="DP9" s="263">
        <f t="shared" si="11"/>
        <v>185.21497347219494</v>
      </c>
      <c r="DQ9" s="263">
        <f t="shared" si="11"/>
        <v>184.01269035532997</v>
      </c>
      <c r="DR9" s="263">
        <f t="shared" si="11"/>
        <v>184.43411742206925</v>
      </c>
      <c r="DS9" s="263">
        <f t="shared" si="11"/>
        <v>182.70150550086856</v>
      </c>
      <c r="DT9" s="263">
        <f t="shared" si="11"/>
        <v>182.0448314190441</v>
      </c>
      <c r="DU9" s="263">
        <f t="shared" si="11"/>
        <v>181.542799693604</v>
      </c>
      <c r="DV9" s="263">
        <f t="shared" si="11"/>
        <v>182.77523970671177</v>
      </c>
    </row>
    <row r="10" spans="1:126" ht="16" customHeight="1">
      <c r="A10" s="11" t="s">
        <v>221</v>
      </c>
      <c r="B10" s="867">
        <f t="shared" si="12"/>
        <v>6684</v>
      </c>
      <c r="C10" s="264">
        <v>639</v>
      </c>
      <c r="D10" s="264">
        <v>535</v>
      </c>
      <c r="E10" s="264">
        <v>429</v>
      </c>
      <c r="F10" s="264">
        <v>485</v>
      </c>
      <c r="G10" s="264">
        <v>519</v>
      </c>
      <c r="H10" s="264">
        <v>583</v>
      </c>
      <c r="I10" s="264">
        <v>504</v>
      </c>
      <c r="J10" s="264">
        <v>504</v>
      </c>
      <c r="K10" s="264">
        <v>763</v>
      </c>
      <c r="L10" s="264">
        <v>386</v>
      </c>
      <c r="M10" s="264">
        <v>600</v>
      </c>
      <c r="N10" s="264">
        <v>737</v>
      </c>
      <c r="O10" s="939" t="s">
        <v>221</v>
      </c>
      <c r="P10" s="949">
        <f t="shared" si="13"/>
        <v>76.316000000000003</v>
      </c>
      <c r="Q10" s="948">
        <v>8.3829999999999991</v>
      </c>
      <c r="R10" s="948">
        <v>2.1629999999999998</v>
      </c>
      <c r="S10" s="948">
        <v>4.774</v>
      </c>
      <c r="T10" s="948">
        <v>5.6470000000000002</v>
      </c>
      <c r="U10" s="948">
        <v>6.2489999999999997</v>
      </c>
      <c r="V10" s="948">
        <v>5.798</v>
      </c>
      <c r="W10" s="948">
        <v>5.782</v>
      </c>
      <c r="X10" s="948">
        <v>5.67</v>
      </c>
      <c r="Y10" s="948">
        <v>9.8640000000000008</v>
      </c>
      <c r="Z10" s="948">
        <v>4.5659999999999998</v>
      </c>
      <c r="AA10" s="948">
        <v>7.468</v>
      </c>
      <c r="AB10" s="948">
        <v>9.952</v>
      </c>
      <c r="AC10" s="11" t="s">
        <v>221</v>
      </c>
      <c r="AD10" s="869">
        <f t="shared" si="9"/>
        <v>11.417713943746259</v>
      </c>
      <c r="AE10" s="265">
        <f t="shared" si="9"/>
        <v>13.118935837245695</v>
      </c>
      <c r="AF10" s="265">
        <f t="shared" si="9"/>
        <v>4.0429906542056067</v>
      </c>
      <c r="AG10" s="265">
        <f t="shared" si="9"/>
        <v>11.128205128205128</v>
      </c>
      <c r="AH10" s="265">
        <f t="shared" si="9"/>
        <v>11.643298969072166</v>
      </c>
      <c r="AI10" s="265">
        <f t="shared" si="9"/>
        <v>12.040462427745664</v>
      </c>
      <c r="AJ10" s="265">
        <f t="shared" si="9"/>
        <v>9.9451114922813044</v>
      </c>
      <c r="AK10" s="265">
        <f t="shared" si="9"/>
        <v>11.472222222222221</v>
      </c>
      <c r="AL10" s="265">
        <f t="shared" si="9"/>
        <v>11.25</v>
      </c>
      <c r="AM10" s="265">
        <f t="shared" si="9"/>
        <v>12.927916120576672</v>
      </c>
      <c r="AN10" s="265">
        <f t="shared" si="9"/>
        <v>11.82901554404145</v>
      </c>
      <c r="AO10" s="265">
        <f t="shared" si="9"/>
        <v>12.446666666666667</v>
      </c>
      <c r="AP10" s="265">
        <f t="shared" si="9"/>
        <v>13.503392130257803</v>
      </c>
      <c r="AQ10" s="11" t="s">
        <v>221</v>
      </c>
      <c r="AR10" s="871">
        <f t="shared" si="14"/>
        <v>34591</v>
      </c>
      <c r="AS10" s="162">
        <v>2441</v>
      </c>
      <c r="AT10" s="162">
        <v>2603</v>
      </c>
      <c r="AU10" s="162">
        <v>2670</v>
      </c>
      <c r="AV10" s="162">
        <v>2659</v>
      </c>
      <c r="AW10" s="162">
        <v>3054</v>
      </c>
      <c r="AX10" s="162">
        <v>2713</v>
      </c>
      <c r="AY10" s="162">
        <v>3230</v>
      </c>
      <c r="AZ10" s="162">
        <v>2825</v>
      </c>
      <c r="BA10" s="162">
        <v>2622</v>
      </c>
      <c r="BB10" s="162">
        <v>2734</v>
      </c>
      <c r="BC10" s="162">
        <v>3115</v>
      </c>
      <c r="BD10" s="162">
        <v>3925</v>
      </c>
      <c r="BE10" s="11" t="s">
        <v>221</v>
      </c>
      <c r="BF10" s="867">
        <f t="shared" si="15"/>
        <v>2239.7743999999998</v>
      </c>
      <c r="BG10" s="264">
        <v>159.14734999999999</v>
      </c>
      <c r="BH10" s="264">
        <v>167.60849999999999</v>
      </c>
      <c r="BI10" s="264">
        <v>170.96825000000001</v>
      </c>
      <c r="BJ10" s="264">
        <v>171.07849999999999</v>
      </c>
      <c r="BK10" s="264">
        <v>196.7397</v>
      </c>
      <c r="BL10" s="264">
        <v>176.35500000000002</v>
      </c>
      <c r="BM10" s="264">
        <v>211.15300000000002</v>
      </c>
      <c r="BN10" s="264">
        <v>183.44200000000001</v>
      </c>
      <c r="BO10" s="264">
        <v>170.1576</v>
      </c>
      <c r="BP10" s="264">
        <v>176.8</v>
      </c>
      <c r="BQ10" s="264">
        <v>201.85199999999998</v>
      </c>
      <c r="BR10" s="264">
        <v>254.4725</v>
      </c>
      <c r="BS10" s="11" t="s">
        <v>221</v>
      </c>
      <c r="BT10" s="873">
        <f t="shared" si="10"/>
        <v>64.750206701165027</v>
      </c>
      <c r="BU10" s="263">
        <f t="shared" si="10"/>
        <v>65.197603441212621</v>
      </c>
      <c r="BV10" s="263">
        <f t="shared" si="10"/>
        <v>64.390510948905103</v>
      </c>
      <c r="BW10" s="263">
        <f t="shared" si="10"/>
        <v>64.033052434456934</v>
      </c>
      <c r="BX10" s="263">
        <f t="shared" si="10"/>
        <v>64.339413313275671</v>
      </c>
      <c r="BY10" s="263">
        <f t="shared" si="10"/>
        <v>64.420333988212178</v>
      </c>
      <c r="BZ10" s="263">
        <f t="shared" si="10"/>
        <v>65.00368595650572</v>
      </c>
      <c r="CA10" s="263">
        <f t="shared" si="10"/>
        <v>65.372445820433441</v>
      </c>
      <c r="CB10" s="263">
        <f t="shared" si="10"/>
        <v>64.935221238938055</v>
      </c>
      <c r="CC10" s="263">
        <f t="shared" si="10"/>
        <v>64.89610983981693</v>
      </c>
      <c r="CD10" s="263">
        <f t="shared" si="10"/>
        <v>64.667154352596924</v>
      </c>
      <c r="CE10" s="263">
        <f t="shared" si="10"/>
        <v>64.8</v>
      </c>
      <c r="CF10" s="263">
        <f t="shared" si="10"/>
        <v>64.833757961783434</v>
      </c>
      <c r="CG10" s="11" t="s">
        <v>221</v>
      </c>
      <c r="CH10" s="867">
        <f t="shared" si="16"/>
        <v>52615</v>
      </c>
      <c r="CI10" s="264">
        <v>4637</v>
      </c>
      <c r="CJ10" s="264">
        <v>4230</v>
      </c>
      <c r="CK10" s="264">
        <v>4290</v>
      </c>
      <c r="CL10" s="264">
        <v>4200</v>
      </c>
      <c r="CM10" s="264">
        <v>4035</v>
      </c>
      <c r="CN10" s="264">
        <v>3900</v>
      </c>
      <c r="CO10" s="264">
        <v>4550</v>
      </c>
      <c r="CP10" s="264">
        <v>4525</v>
      </c>
      <c r="CQ10" s="264">
        <v>4503</v>
      </c>
      <c r="CR10" s="264">
        <v>4355</v>
      </c>
      <c r="CS10" s="264">
        <v>4545</v>
      </c>
      <c r="CT10" s="264">
        <v>4845</v>
      </c>
      <c r="CU10" s="11" t="s">
        <v>221</v>
      </c>
      <c r="CV10" s="867">
        <f t="shared" si="17"/>
        <v>7666.9254499999997</v>
      </c>
      <c r="CW10" s="264">
        <v>667.43200000000002</v>
      </c>
      <c r="CX10" s="264">
        <v>615.86685</v>
      </c>
      <c r="CY10" s="264">
        <v>626.16750000000002</v>
      </c>
      <c r="CZ10" s="264">
        <v>614.9</v>
      </c>
      <c r="DA10" s="264">
        <v>586.96549999999991</v>
      </c>
      <c r="DB10" s="264">
        <v>569.89</v>
      </c>
      <c r="DC10" s="264">
        <v>662.72800000000007</v>
      </c>
      <c r="DD10" s="264">
        <v>657.9</v>
      </c>
      <c r="DE10" s="264">
        <v>658.04975000000002</v>
      </c>
      <c r="DF10" s="264">
        <v>636.74699999999996</v>
      </c>
      <c r="DG10" s="264">
        <v>662.01135000000011</v>
      </c>
      <c r="DH10" s="264">
        <v>708.26749999999993</v>
      </c>
      <c r="DI10" s="11" t="s">
        <v>221</v>
      </c>
      <c r="DJ10" s="873">
        <f t="shared" si="11"/>
        <v>145.71748455763563</v>
      </c>
      <c r="DK10" s="263">
        <f t="shared" si="11"/>
        <v>143.93616562432607</v>
      </c>
      <c r="DL10" s="263">
        <f t="shared" si="11"/>
        <v>145.595</v>
      </c>
      <c r="DM10" s="263">
        <f t="shared" si="11"/>
        <v>145.95979020979021</v>
      </c>
      <c r="DN10" s="263">
        <f t="shared" si="11"/>
        <v>146.4047619047619</v>
      </c>
      <c r="DO10" s="263">
        <f t="shared" si="11"/>
        <v>145.46852540272613</v>
      </c>
      <c r="DP10" s="263">
        <f t="shared" si="11"/>
        <v>146.12564102564102</v>
      </c>
      <c r="DQ10" s="263">
        <f t="shared" si="11"/>
        <v>145.65450549450551</v>
      </c>
      <c r="DR10" s="263">
        <f t="shared" si="11"/>
        <v>145.39226519337018</v>
      </c>
      <c r="DS10" s="263">
        <f t="shared" si="11"/>
        <v>146.13585387519433</v>
      </c>
      <c r="DT10" s="263">
        <f t="shared" si="11"/>
        <v>146.21056257175661</v>
      </c>
      <c r="DU10" s="263">
        <f t="shared" si="11"/>
        <v>145.65706270627066</v>
      </c>
      <c r="DV10" s="263">
        <f t="shared" si="11"/>
        <v>146.18524251805985</v>
      </c>
    </row>
    <row r="11" spans="1:126" ht="16" customHeight="1">
      <c r="A11" s="11" t="s">
        <v>222</v>
      </c>
      <c r="B11" s="867">
        <f t="shared" si="12"/>
        <v>165166</v>
      </c>
      <c r="C11" s="264">
        <v>12776</v>
      </c>
      <c r="D11" s="264">
        <v>13013</v>
      </c>
      <c r="E11" s="264">
        <v>11981</v>
      </c>
      <c r="F11" s="264">
        <v>11767</v>
      </c>
      <c r="G11" s="264">
        <v>13139</v>
      </c>
      <c r="H11" s="264">
        <v>14653</v>
      </c>
      <c r="I11" s="264">
        <v>14406</v>
      </c>
      <c r="J11" s="264">
        <v>13108</v>
      </c>
      <c r="K11" s="264">
        <v>15427</v>
      </c>
      <c r="L11" s="264">
        <v>15624</v>
      </c>
      <c r="M11" s="264">
        <v>14931</v>
      </c>
      <c r="N11" s="264">
        <v>14341</v>
      </c>
      <c r="O11" s="939" t="s">
        <v>222</v>
      </c>
      <c r="P11" s="949">
        <f t="shared" si="13"/>
        <v>2168.3266199999998</v>
      </c>
      <c r="Q11" s="948">
        <v>161.0017</v>
      </c>
      <c r="R11" s="948">
        <v>168.3038</v>
      </c>
      <c r="S11" s="948">
        <v>156.56720000000001</v>
      </c>
      <c r="T11" s="948">
        <v>154.04149999999998</v>
      </c>
      <c r="U11" s="948">
        <v>173.2842</v>
      </c>
      <c r="V11" s="948">
        <v>192.64374000000001</v>
      </c>
      <c r="W11" s="948">
        <v>189.75928000000002</v>
      </c>
      <c r="X11" s="948">
        <v>179.8039</v>
      </c>
      <c r="Y11" s="948">
        <v>214.91479999999999</v>
      </c>
      <c r="Z11" s="948">
        <v>190.50239999999999</v>
      </c>
      <c r="AA11" s="948">
        <v>194.39670000000001</v>
      </c>
      <c r="AB11" s="948">
        <v>193.10739999999998</v>
      </c>
      <c r="AC11" s="11" t="s">
        <v>222</v>
      </c>
      <c r="AD11" s="869">
        <f t="shared" si="9"/>
        <v>13.128165724180519</v>
      </c>
      <c r="AE11" s="265">
        <f t="shared" si="9"/>
        <v>12.601886349405135</v>
      </c>
      <c r="AF11" s="265">
        <f t="shared" si="9"/>
        <v>12.933512641204947</v>
      </c>
      <c r="AG11" s="265">
        <f t="shared" si="9"/>
        <v>13.067957599532596</v>
      </c>
      <c r="AH11" s="265">
        <f t="shared" si="9"/>
        <v>13.090974759921815</v>
      </c>
      <c r="AI11" s="265">
        <f t="shared" si="9"/>
        <v>13.188537940482533</v>
      </c>
      <c r="AJ11" s="265">
        <f t="shared" si="9"/>
        <v>13.147051115812461</v>
      </c>
      <c r="AK11" s="265">
        <f t="shared" si="9"/>
        <v>13.172239344717481</v>
      </c>
      <c r="AL11" s="265">
        <f t="shared" si="9"/>
        <v>13.717111687519072</v>
      </c>
      <c r="AM11" s="265">
        <f t="shared" si="9"/>
        <v>13.931081869449665</v>
      </c>
      <c r="AN11" s="265">
        <f t="shared" si="9"/>
        <v>12.192933947772657</v>
      </c>
      <c r="AO11" s="265">
        <f t="shared" si="9"/>
        <v>13.019670484227447</v>
      </c>
      <c r="AP11" s="265">
        <f t="shared" si="9"/>
        <v>13.46540687539223</v>
      </c>
      <c r="AQ11" s="11" t="s">
        <v>222</v>
      </c>
      <c r="AR11" s="871">
        <f t="shared" si="14"/>
        <v>138100</v>
      </c>
      <c r="AS11" s="162">
        <v>15956</v>
      </c>
      <c r="AT11" s="162">
        <v>16662</v>
      </c>
      <c r="AU11" s="162">
        <v>12578</v>
      </c>
      <c r="AV11" s="162">
        <v>9641</v>
      </c>
      <c r="AW11" s="162">
        <v>8679</v>
      </c>
      <c r="AX11" s="162">
        <v>9854</v>
      </c>
      <c r="AY11" s="162">
        <v>10610</v>
      </c>
      <c r="AZ11" s="162">
        <v>9383</v>
      </c>
      <c r="BA11" s="162">
        <v>10480</v>
      </c>
      <c r="BB11" s="162">
        <v>11310</v>
      </c>
      <c r="BC11" s="162">
        <v>10688</v>
      </c>
      <c r="BD11" s="162">
        <v>12259</v>
      </c>
      <c r="BE11" s="11" t="s">
        <v>222</v>
      </c>
      <c r="BF11" s="867">
        <f t="shared" si="15"/>
        <v>7935.4631999999992</v>
      </c>
      <c r="BG11" s="264">
        <v>928.84840000000008</v>
      </c>
      <c r="BH11" s="264">
        <v>941.66110000000003</v>
      </c>
      <c r="BI11" s="264">
        <v>627.65899999999999</v>
      </c>
      <c r="BJ11" s="264">
        <v>567.08429999999998</v>
      </c>
      <c r="BK11" s="264">
        <v>536.23849999999993</v>
      </c>
      <c r="BL11" s="264">
        <v>568.38419999999996</v>
      </c>
      <c r="BM11" s="264">
        <v>620.88200000000006</v>
      </c>
      <c r="BN11" s="264">
        <v>562.67790000000002</v>
      </c>
      <c r="BO11" s="264">
        <v>614.70389999999998</v>
      </c>
      <c r="BP11" s="264">
        <v>644.54150000000004</v>
      </c>
      <c r="BQ11" s="264">
        <v>600.27959999999996</v>
      </c>
      <c r="BR11" s="264">
        <v>722.50279999999998</v>
      </c>
      <c r="BS11" s="11" t="s">
        <v>222</v>
      </c>
      <c r="BT11" s="873">
        <f t="shared" si="10"/>
        <v>57.461717595944961</v>
      </c>
      <c r="BU11" s="263">
        <f t="shared" si="10"/>
        <v>58.213111055402358</v>
      </c>
      <c r="BV11" s="263">
        <f t="shared" si="10"/>
        <v>56.515490337294445</v>
      </c>
      <c r="BW11" s="263">
        <f t="shared" si="10"/>
        <v>49.901335665447604</v>
      </c>
      <c r="BX11" s="263">
        <f t="shared" si="10"/>
        <v>58.820070532102477</v>
      </c>
      <c r="BY11" s="263">
        <f t="shared" si="10"/>
        <v>61.785747205899291</v>
      </c>
      <c r="BZ11" s="263">
        <f t="shared" si="10"/>
        <v>57.680556119342398</v>
      </c>
      <c r="CA11" s="263">
        <f t="shared" si="10"/>
        <v>58.518567389255423</v>
      </c>
      <c r="CB11" s="263">
        <f t="shared" si="10"/>
        <v>59.967803474368544</v>
      </c>
      <c r="CC11" s="263">
        <f t="shared" si="10"/>
        <v>58.654952290076338</v>
      </c>
      <c r="CD11" s="263">
        <f t="shared" si="10"/>
        <v>56.988638373121134</v>
      </c>
      <c r="CE11" s="263">
        <f t="shared" si="10"/>
        <v>56.163884730538918</v>
      </c>
      <c r="CF11" s="263">
        <f t="shared" si="10"/>
        <v>58.936520107675989</v>
      </c>
      <c r="CG11" s="11" t="s">
        <v>222</v>
      </c>
      <c r="CH11" s="867">
        <f t="shared" si="16"/>
        <v>50114</v>
      </c>
      <c r="CI11" s="264">
        <v>4870</v>
      </c>
      <c r="CJ11" s="264">
        <v>4437</v>
      </c>
      <c r="CK11" s="264">
        <v>4719</v>
      </c>
      <c r="CL11" s="264">
        <v>3447</v>
      </c>
      <c r="CM11" s="264">
        <v>3768</v>
      </c>
      <c r="CN11" s="264">
        <v>3127</v>
      </c>
      <c r="CO11" s="264">
        <v>4005</v>
      </c>
      <c r="CP11" s="264">
        <v>4011</v>
      </c>
      <c r="CQ11" s="264">
        <v>4617</v>
      </c>
      <c r="CR11" s="264">
        <v>4451</v>
      </c>
      <c r="CS11" s="264">
        <v>4355</v>
      </c>
      <c r="CT11" s="264">
        <v>4307</v>
      </c>
      <c r="CU11" s="11" t="s">
        <v>222</v>
      </c>
      <c r="CV11" s="867">
        <f t="shared" si="17"/>
        <v>9244.1092200000003</v>
      </c>
      <c r="CW11" s="264">
        <v>874.61</v>
      </c>
      <c r="CX11" s="264">
        <v>799.49849999999992</v>
      </c>
      <c r="CY11" s="264">
        <v>970.33240000000001</v>
      </c>
      <c r="CZ11" s="264">
        <v>620.50049999999999</v>
      </c>
      <c r="DA11" s="264">
        <v>685.08720000000005</v>
      </c>
      <c r="DB11" s="264">
        <v>574.98307</v>
      </c>
      <c r="DC11" s="264">
        <v>736.14554999999996</v>
      </c>
      <c r="DD11" s="264">
        <v>759.35400000000004</v>
      </c>
      <c r="DE11" s="264">
        <v>858.18299999999999</v>
      </c>
      <c r="DF11" s="264">
        <v>841.73299999999995</v>
      </c>
      <c r="DG11" s="264">
        <v>761.41499999999996</v>
      </c>
      <c r="DH11" s="264">
        <v>762.26700000000005</v>
      </c>
      <c r="DI11" s="11" t="s">
        <v>222</v>
      </c>
      <c r="DJ11" s="873">
        <f t="shared" si="11"/>
        <v>184.46161192481145</v>
      </c>
      <c r="DK11" s="263">
        <f t="shared" si="11"/>
        <v>179.59137577002053</v>
      </c>
      <c r="DL11" s="263">
        <f t="shared" si="11"/>
        <v>180.18897903989182</v>
      </c>
      <c r="DM11" s="263">
        <f t="shared" si="11"/>
        <v>205.62246238609873</v>
      </c>
      <c r="DN11" s="263">
        <f t="shared" si="11"/>
        <v>180.01174934725847</v>
      </c>
      <c r="DO11" s="263">
        <f t="shared" si="11"/>
        <v>181.81719745222932</v>
      </c>
      <c r="DP11" s="263">
        <f t="shared" si="11"/>
        <v>183.87690118324272</v>
      </c>
      <c r="DQ11" s="263">
        <f t="shared" si="11"/>
        <v>183.80662921348315</v>
      </c>
      <c r="DR11" s="263">
        <f t="shared" si="11"/>
        <v>189.31787584143606</v>
      </c>
      <c r="DS11" s="263">
        <f t="shared" si="11"/>
        <v>185.87459389213777</v>
      </c>
      <c r="DT11" s="263">
        <f t="shared" si="11"/>
        <v>189.11098629521456</v>
      </c>
      <c r="DU11" s="263">
        <f t="shared" si="11"/>
        <v>174.83696900114808</v>
      </c>
      <c r="DV11" s="263">
        <f t="shared" si="11"/>
        <v>176.98328302762945</v>
      </c>
    </row>
    <row r="12" spans="1:126" ht="16" customHeight="1">
      <c r="A12" s="11" t="s">
        <v>244</v>
      </c>
      <c r="B12" s="867">
        <f t="shared" si="12"/>
        <v>32308</v>
      </c>
      <c r="C12" s="264">
        <v>2782</v>
      </c>
      <c r="D12" s="264">
        <v>2584</v>
      </c>
      <c r="E12" s="264">
        <v>2679</v>
      </c>
      <c r="F12" s="264">
        <v>2783</v>
      </c>
      <c r="G12" s="264">
        <v>2858</v>
      </c>
      <c r="H12" s="264">
        <v>2986</v>
      </c>
      <c r="I12" s="264">
        <v>3126</v>
      </c>
      <c r="J12" s="264">
        <v>3086</v>
      </c>
      <c r="K12" s="264">
        <v>2492</v>
      </c>
      <c r="L12" s="264">
        <v>2190</v>
      </c>
      <c r="M12" s="264">
        <v>2103</v>
      </c>
      <c r="N12" s="264">
        <v>2639</v>
      </c>
      <c r="O12" s="939" t="s">
        <v>244</v>
      </c>
      <c r="P12" s="949">
        <f t="shared" si="13"/>
        <v>740.78219999999999</v>
      </c>
      <c r="Q12" s="948">
        <v>63.529399999999995</v>
      </c>
      <c r="R12" s="948">
        <v>60.494</v>
      </c>
      <c r="S12" s="948">
        <v>62.8</v>
      </c>
      <c r="T12" s="948">
        <v>65.993299999999991</v>
      </c>
      <c r="U12" s="948">
        <v>65.312399999999997</v>
      </c>
      <c r="V12" s="948">
        <v>64.841799999999992</v>
      </c>
      <c r="W12" s="948">
        <v>69.437350000000009</v>
      </c>
      <c r="X12" s="948">
        <v>69.490000000000009</v>
      </c>
      <c r="Y12" s="948">
        <v>56.240549999999999</v>
      </c>
      <c r="Z12" s="948">
        <v>52.118000000000002</v>
      </c>
      <c r="AA12" s="948">
        <v>49.511400000000002</v>
      </c>
      <c r="AB12" s="948">
        <v>61.014000000000003</v>
      </c>
      <c r="AC12" s="11" t="s">
        <v>244</v>
      </c>
      <c r="AD12" s="869">
        <f t="shared" si="9"/>
        <v>22.928754488052494</v>
      </c>
      <c r="AE12" s="265">
        <f t="shared" si="9"/>
        <v>22.835873472322071</v>
      </c>
      <c r="AF12" s="265">
        <f t="shared" si="9"/>
        <v>23.410990712074302</v>
      </c>
      <c r="AG12" s="265">
        <f t="shared" si="9"/>
        <v>23.441582680104517</v>
      </c>
      <c r="AH12" s="265">
        <f t="shared" si="9"/>
        <v>23.713007545813866</v>
      </c>
      <c r="AI12" s="265">
        <f t="shared" si="9"/>
        <v>22.852484254723581</v>
      </c>
      <c r="AJ12" s="265">
        <f t="shared" si="9"/>
        <v>21.715271265907564</v>
      </c>
      <c r="AK12" s="265">
        <f t="shared" si="9"/>
        <v>22.212843889955217</v>
      </c>
      <c r="AL12" s="265">
        <f t="shared" si="9"/>
        <v>22.517822423849648</v>
      </c>
      <c r="AM12" s="265">
        <f t="shared" si="9"/>
        <v>22.568439004815406</v>
      </c>
      <c r="AN12" s="265">
        <f t="shared" si="9"/>
        <v>23.798173515981734</v>
      </c>
      <c r="AO12" s="265">
        <f t="shared" si="9"/>
        <v>23.543223965763197</v>
      </c>
      <c r="AP12" s="265">
        <f t="shared" si="9"/>
        <v>23.120121258052293</v>
      </c>
      <c r="AQ12" s="11" t="s">
        <v>244</v>
      </c>
      <c r="AR12" s="871">
        <f t="shared" si="14"/>
        <v>88669</v>
      </c>
      <c r="AS12" s="162">
        <v>7286</v>
      </c>
      <c r="AT12" s="162">
        <v>6878</v>
      </c>
      <c r="AU12" s="162">
        <v>7271</v>
      </c>
      <c r="AV12" s="162">
        <v>7302</v>
      </c>
      <c r="AW12" s="162">
        <v>7603</v>
      </c>
      <c r="AX12" s="162">
        <v>7908</v>
      </c>
      <c r="AY12" s="162">
        <v>7765</v>
      </c>
      <c r="AZ12" s="162">
        <v>7277</v>
      </c>
      <c r="BA12" s="162">
        <v>7539</v>
      </c>
      <c r="BB12" s="162">
        <v>6612</v>
      </c>
      <c r="BC12" s="162">
        <v>6735</v>
      </c>
      <c r="BD12" s="162">
        <v>8493</v>
      </c>
      <c r="BE12" s="11" t="s">
        <v>244</v>
      </c>
      <c r="BF12" s="867">
        <f t="shared" si="15"/>
        <v>4512.8977999999997</v>
      </c>
      <c r="BG12" s="264">
        <v>375.51799999999997</v>
      </c>
      <c r="BH12" s="264">
        <v>355.47604999999999</v>
      </c>
      <c r="BI12" s="264">
        <v>377.23950000000002</v>
      </c>
      <c r="BJ12" s="264">
        <v>375.42340000000002</v>
      </c>
      <c r="BK12" s="264">
        <v>393.53494999999998</v>
      </c>
      <c r="BL12" s="264">
        <v>402.41650000000004</v>
      </c>
      <c r="BM12" s="264">
        <v>395.56875000000002</v>
      </c>
      <c r="BN12" s="264">
        <v>366.07749999999999</v>
      </c>
      <c r="BO12" s="264">
        <v>379.08910000000003</v>
      </c>
      <c r="BP12" s="264">
        <v>328.1825</v>
      </c>
      <c r="BQ12" s="264">
        <v>333.07205000000005</v>
      </c>
      <c r="BR12" s="264">
        <v>431.29950000000002</v>
      </c>
      <c r="BS12" s="11" t="s">
        <v>244</v>
      </c>
      <c r="BT12" s="873">
        <f t="shared" si="10"/>
        <v>50.896004240489908</v>
      </c>
      <c r="BU12" s="263">
        <f t="shared" si="10"/>
        <v>51.539665111172106</v>
      </c>
      <c r="BV12" s="263">
        <f t="shared" si="10"/>
        <v>51.683054667054378</v>
      </c>
      <c r="BW12" s="263">
        <f t="shared" si="10"/>
        <v>51.882753403933442</v>
      </c>
      <c r="BX12" s="263">
        <f t="shared" si="10"/>
        <v>51.413777047384279</v>
      </c>
      <c r="BY12" s="263">
        <f t="shared" si="10"/>
        <v>51.760482704195709</v>
      </c>
      <c r="BZ12" s="263">
        <f t="shared" si="10"/>
        <v>50.887266059686404</v>
      </c>
      <c r="CA12" s="263">
        <f t="shared" si="10"/>
        <v>50.94253058596265</v>
      </c>
      <c r="CB12" s="263">
        <f t="shared" si="10"/>
        <v>50.306101415418439</v>
      </c>
      <c r="CC12" s="263">
        <f t="shared" si="10"/>
        <v>50.283737896272719</v>
      </c>
      <c r="CD12" s="263">
        <f t="shared" si="10"/>
        <v>49.634376890502118</v>
      </c>
      <c r="CE12" s="263">
        <f t="shared" si="10"/>
        <v>49.453904974016339</v>
      </c>
      <c r="CF12" s="263">
        <f t="shared" si="10"/>
        <v>50.782938890851298</v>
      </c>
      <c r="CG12" s="11" t="s">
        <v>244</v>
      </c>
      <c r="CH12" s="867">
        <f t="shared" si="16"/>
        <v>41644</v>
      </c>
      <c r="CI12" s="264">
        <v>3374</v>
      </c>
      <c r="CJ12" s="264">
        <v>3066</v>
      </c>
      <c r="CK12" s="264">
        <v>3298</v>
      </c>
      <c r="CL12" s="264">
        <v>3588</v>
      </c>
      <c r="CM12" s="264">
        <v>3812</v>
      </c>
      <c r="CN12" s="264">
        <v>3525</v>
      </c>
      <c r="CO12" s="264">
        <v>3668</v>
      </c>
      <c r="CP12" s="264">
        <v>3256</v>
      </c>
      <c r="CQ12" s="264">
        <v>3390</v>
      </c>
      <c r="CR12" s="264">
        <v>3392</v>
      </c>
      <c r="CS12" s="264">
        <v>3443</v>
      </c>
      <c r="CT12" s="264">
        <v>3832</v>
      </c>
      <c r="CU12" s="11" t="s">
        <v>244</v>
      </c>
      <c r="CV12" s="867">
        <f t="shared" si="17"/>
        <v>7217.3576299999986</v>
      </c>
      <c r="CW12" s="264">
        <v>602.01834999999994</v>
      </c>
      <c r="CX12" s="264">
        <v>553.1579999999999</v>
      </c>
      <c r="CY12" s="264">
        <v>607.31150000000002</v>
      </c>
      <c r="CZ12" s="264">
        <v>640.71675000000005</v>
      </c>
      <c r="DA12" s="264">
        <v>631.18810000000008</v>
      </c>
      <c r="DB12" s="264">
        <v>612.67567999999994</v>
      </c>
      <c r="DC12" s="264">
        <v>628.86349999999993</v>
      </c>
      <c r="DD12" s="264">
        <v>547.44024999999999</v>
      </c>
      <c r="DE12" s="264">
        <v>590.07979999999998</v>
      </c>
      <c r="DF12" s="264">
        <v>569.20839999999998</v>
      </c>
      <c r="DG12" s="264">
        <v>581.3152</v>
      </c>
      <c r="DH12" s="264">
        <v>653.38210000000004</v>
      </c>
      <c r="DI12" s="11" t="s">
        <v>244</v>
      </c>
      <c r="DJ12" s="873">
        <f t="shared" si="11"/>
        <v>173.31086423014116</v>
      </c>
      <c r="DK12" s="263">
        <f t="shared" si="11"/>
        <v>178.42867516301126</v>
      </c>
      <c r="DL12" s="263">
        <f t="shared" si="11"/>
        <v>180.41682974559683</v>
      </c>
      <c r="DM12" s="263">
        <f t="shared" si="11"/>
        <v>184.14539114614919</v>
      </c>
      <c r="DN12" s="263">
        <f t="shared" si="11"/>
        <v>178.57211538461539</v>
      </c>
      <c r="DO12" s="263">
        <f t="shared" si="11"/>
        <v>165.57924973767055</v>
      </c>
      <c r="DP12" s="263">
        <f t="shared" si="11"/>
        <v>173.80870354609928</v>
      </c>
      <c r="DQ12" s="263">
        <f t="shared" si="11"/>
        <v>171.44588331515811</v>
      </c>
      <c r="DR12" s="263">
        <f t="shared" si="11"/>
        <v>168.13275491400492</v>
      </c>
      <c r="DS12" s="263">
        <f t="shared" si="11"/>
        <v>174.06483775811211</v>
      </c>
      <c r="DT12" s="263">
        <f t="shared" si="11"/>
        <v>167.80908018867925</v>
      </c>
      <c r="DU12" s="263">
        <f t="shared" si="11"/>
        <v>168.83973279117049</v>
      </c>
      <c r="DV12" s="263">
        <f t="shared" si="11"/>
        <v>170.50681106471819</v>
      </c>
    </row>
    <row r="13" spans="1:126" ht="16" customHeight="1">
      <c r="A13" s="26" t="s">
        <v>94</v>
      </c>
      <c r="B13" s="867">
        <f t="shared" si="12"/>
        <v>29195</v>
      </c>
      <c r="C13" s="264">
        <v>2585</v>
      </c>
      <c r="D13" s="264">
        <v>2340</v>
      </c>
      <c r="E13" s="264">
        <v>2425</v>
      </c>
      <c r="F13" s="264">
        <v>2505</v>
      </c>
      <c r="G13" s="264">
        <v>2620</v>
      </c>
      <c r="H13" s="264">
        <v>2650</v>
      </c>
      <c r="I13" s="264">
        <v>2845</v>
      </c>
      <c r="J13" s="264">
        <v>2780</v>
      </c>
      <c r="K13" s="264">
        <v>2290</v>
      </c>
      <c r="L13" s="264">
        <v>1940</v>
      </c>
      <c r="M13" s="264">
        <v>1860</v>
      </c>
      <c r="N13" s="264">
        <v>2355</v>
      </c>
      <c r="O13" s="950" t="s">
        <v>94</v>
      </c>
      <c r="P13" s="949">
        <f t="shared" si="13"/>
        <v>684.28599999999994</v>
      </c>
      <c r="Q13" s="948">
        <v>59.153999999999996</v>
      </c>
      <c r="R13" s="948">
        <v>54.78</v>
      </c>
      <c r="S13" s="948">
        <v>56.481000000000002</v>
      </c>
      <c r="T13" s="948">
        <v>58.997499999999995</v>
      </c>
      <c r="U13" s="948">
        <v>61.35</v>
      </c>
      <c r="V13" s="948">
        <v>60.076000000000001</v>
      </c>
      <c r="W13" s="948">
        <v>65.2</v>
      </c>
      <c r="X13" s="948">
        <v>65.027500000000003</v>
      </c>
      <c r="Y13" s="948">
        <v>53.4</v>
      </c>
      <c r="Z13" s="948">
        <v>47.42</v>
      </c>
      <c r="AA13" s="948">
        <v>45.75</v>
      </c>
      <c r="AB13" s="948">
        <v>56.65</v>
      </c>
      <c r="AC13" s="26" t="s">
        <v>94</v>
      </c>
      <c r="AD13" s="869">
        <f t="shared" si="9"/>
        <v>23.438465490666207</v>
      </c>
      <c r="AE13" s="265">
        <f t="shared" si="9"/>
        <v>22.883558994197291</v>
      </c>
      <c r="AF13" s="265">
        <f t="shared" si="9"/>
        <v>23.410256410256409</v>
      </c>
      <c r="AG13" s="265">
        <f t="shared" si="9"/>
        <v>23.291134020618557</v>
      </c>
      <c r="AH13" s="265">
        <f t="shared" si="9"/>
        <v>23.551896207584829</v>
      </c>
      <c r="AI13" s="265">
        <f t="shared" si="9"/>
        <v>23.416030534351144</v>
      </c>
      <c r="AJ13" s="265">
        <f t="shared" si="9"/>
        <v>22.670188679245282</v>
      </c>
      <c r="AK13" s="265">
        <f t="shared" si="9"/>
        <v>22.917398945518453</v>
      </c>
      <c r="AL13" s="265">
        <f t="shared" si="9"/>
        <v>23.391187050359715</v>
      </c>
      <c r="AM13" s="265">
        <f t="shared" si="9"/>
        <v>23.318777292576421</v>
      </c>
      <c r="AN13" s="265">
        <f t="shared" si="9"/>
        <v>24.443298969072163</v>
      </c>
      <c r="AO13" s="265">
        <f t="shared" si="9"/>
        <v>24.596774193548388</v>
      </c>
      <c r="AP13" s="265">
        <f t="shared" si="9"/>
        <v>24.055201698513802</v>
      </c>
      <c r="AQ13" s="26" t="s">
        <v>94</v>
      </c>
      <c r="AR13" s="871">
        <f t="shared" si="14"/>
        <v>39438</v>
      </c>
      <c r="AS13" s="162">
        <v>3170</v>
      </c>
      <c r="AT13" s="162">
        <v>3020</v>
      </c>
      <c r="AU13" s="162">
        <v>3350</v>
      </c>
      <c r="AV13" s="162">
        <v>3240</v>
      </c>
      <c r="AW13" s="162">
        <v>3393</v>
      </c>
      <c r="AX13" s="162">
        <v>3580</v>
      </c>
      <c r="AY13" s="162">
        <v>3515</v>
      </c>
      <c r="AZ13" s="162">
        <v>3280</v>
      </c>
      <c r="BA13" s="162">
        <v>3840</v>
      </c>
      <c r="BB13" s="162">
        <v>2500</v>
      </c>
      <c r="BC13" s="162">
        <v>2545</v>
      </c>
      <c r="BD13" s="162">
        <v>4005</v>
      </c>
      <c r="BE13" s="26" t="s">
        <v>94</v>
      </c>
      <c r="BF13" s="867">
        <f t="shared" si="15"/>
        <v>1970.0435499999999</v>
      </c>
      <c r="BG13" s="264">
        <v>157.19</v>
      </c>
      <c r="BH13" s="264">
        <v>150.33679999999998</v>
      </c>
      <c r="BI13" s="264">
        <v>167.655</v>
      </c>
      <c r="BJ13" s="264">
        <v>158.9384</v>
      </c>
      <c r="BK13" s="264">
        <v>169.66694999999999</v>
      </c>
      <c r="BL13" s="264">
        <v>177.864</v>
      </c>
      <c r="BM13" s="264">
        <v>176.46199999999999</v>
      </c>
      <c r="BN13" s="264">
        <v>163.16750000000002</v>
      </c>
      <c r="BO13" s="264">
        <v>191.67509999999999</v>
      </c>
      <c r="BP13" s="264">
        <v>125.15349999999999</v>
      </c>
      <c r="BQ13" s="264">
        <v>128.67930000000001</v>
      </c>
      <c r="BR13" s="264">
        <v>203.255</v>
      </c>
      <c r="BS13" s="26" t="s">
        <v>94</v>
      </c>
      <c r="BT13" s="873">
        <f t="shared" si="10"/>
        <v>49.95292737968456</v>
      </c>
      <c r="BU13" s="263">
        <f t="shared" si="10"/>
        <v>49.586750788643535</v>
      </c>
      <c r="BV13" s="263">
        <f t="shared" si="10"/>
        <v>49.780397350993368</v>
      </c>
      <c r="BW13" s="263">
        <f t="shared" si="10"/>
        <v>50.046268656716414</v>
      </c>
      <c r="BX13" s="263">
        <f t="shared" si="10"/>
        <v>49.05506172839506</v>
      </c>
      <c r="BY13" s="263">
        <f t="shared" si="10"/>
        <v>50.004995579133507</v>
      </c>
      <c r="BZ13" s="263">
        <f t="shared" si="10"/>
        <v>49.682681564245812</v>
      </c>
      <c r="CA13" s="263">
        <f t="shared" si="10"/>
        <v>50.202560455192028</v>
      </c>
      <c r="CB13" s="263">
        <f t="shared" si="10"/>
        <v>49.746189024390247</v>
      </c>
      <c r="CC13" s="263">
        <f t="shared" si="10"/>
        <v>49.915390624999993</v>
      </c>
      <c r="CD13" s="263">
        <f t="shared" si="10"/>
        <v>50.061399999999999</v>
      </c>
      <c r="CE13" s="263">
        <f t="shared" si="10"/>
        <v>50.561611001964643</v>
      </c>
      <c r="CF13" s="263">
        <f t="shared" si="10"/>
        <v>50.750312109862676</v>
      </c>
      <c r="CG13" s="26" t="s">
        <v>94</v>
      </c>
      <c r="CH13" s="867">
        <f t="shared" si="16"/>
        <v>14009</v>
      </c>
      <c r="CI13" s="264">
        <v>1143</v>
      </c>
      <c r="CJ13" s="264">
        <v>1078</v>
      </c>
      <c r="CK13" s="264">
        <v>1128</v>
      </c>
      <c r="CL13" s="264">
        <v>1090</v>
      </c>
      <c r="CM13" s="264">
        <v>1187</v>
      </c>
      <c r="CN13" s="264">
        <v>1312</v>
      </c>
      <c r="CO13" s="264">
        <v>1290</v>
      </c>
      <c r="CP13" s="264">
        <v>1120</v>
      </c>
      <c r="CQ13" s="264">
        <v>1228</v>
      </c>
      <c r="CR13" s="264">
        <v>1050</v>
      </c>
      <c r="CS13" s="264">
        <v>1105</v>
      </c>
      <c r="CT13" s="264">
        <v>1278</v>
      </c>
      <c r="CU13" s="26" t="s">
        <v>94</v>
      </c>
      <c r="CV13" s="867">
        <f t="shared" si="17"/>
        <v>3180.1902</v>
      </c>
      <c r="CW13" s="264">
        <v>258.07034999999996</v>
      </c>
      <c r="CX13" s="264">
        <v>241.84899999999999</v>
      </c>
      <c r="CY13" s="264">
        <v>254.62909999999999</v>
      </c>
      <c r="CZ13" s="264">
        <v>247.054</v>
      </c>
      <c r="DA13" s="264">
        <v>269.71389999999997</v>
      </c>
      <c r="DB13" s="264">
        <v>297.36320000000001</v>
      </c>
      <c r="DC13" s="264">
        <v>292.13</v>
      </c>
      <c r="DD13" s="264">
        <v>254.41225</v>
      </c>
      <c r="DE13" s="264">
        <v>280.91359999999997</v>
      </c>
      <c r="DF13" s="264">
        <v>240.166</v>
      </c>
      <c r="DG13" s="264">
        <v>252.255</v>
      </c>
      <c r="DH13" s="264">
        <v>291.63380000000001</v>
      </c>
      <c r="DI13" s="26" t="s">
        <v>94</v>
      </c>
      <c r="DJ13" s="873">
        <f t="shared" si="11"/>
        <v>227.01050753087301</v>
      </c>
      <c r="DK13" s="263">
        <f t="shared" si="11"/>
        <v>225.7833333333333</v>
      </c>
      <c r="DL13" s="263">
        <f t="shared" si="11"/>
        <v>224.34972170686453</v>
      </c>
      <c r="DM13" s="263">
        <f t="shared" si="11"/>
        <v>225.73501773049645</v>
      </c>
      <c r="DN13" s="263">
        <f t="shared" si="11"/>
        <v>226.65504587155962</v>
      </c>
      <c r="DO13" s="263">
        <f t="shared" si="11"/>
        <v>227.22316764953663</v>
      </c>
      <c r="DP13" s="263">
        <f t="shared" si="11"/>
        <v>226.64878048780488</v>
      </c>
      <c r="DQ13" s="263">
        <f t="shared" si="11"/>
        <v>226.45736434108525</v>
      </c>
      <c r="DR13" s="263">
        <f t="shared" si="11"/>
        <v>227.15379464285715</v>
      </c>
      <c r="DS13" s="263">
        <f t="shared" si="11"/>
        <v>228.75700325732899</v>
      </c>
      <c r="DT13" s="263">
        <f t="shared" si="11"/>
        <v>228.72952380952381</v>
      </c>
      <c r="DU13" s="263">
        <f t="shared" si="11"/>
        <v>228.28506787330315</v>
      </c>
      <c r="DV13" s="263">
        <f t="shared" si="11"/>
        <v>228.19546165884194</v>
      </c>
    </row>
    <row r="14" spans="1:126" ht="16" customHeight="1">
      <c r="A14" s="26" t="s">
        <v>95</v>
      </c>
      <c r="B14" s="867">
        <f t="shared" si="12"/>
        <v>3029</v>
      </c>
      <c r="C14" s="264">
        <v>191</v>
      </c>
      <c r="D14" s="264">
        <v>237</v>
      </c>
      <c r="E14" s="264">
        <v>247</v>
      </c>
      <c r="F14" s="264">
        <v>271</v>
      </c>
      <c r="G14" s="264">
        <v>232</v>
      </c>
      <c r="H14" s="264">
        <v>328</v>
      </c>
      <c r="I14" s="264">
        <v>274</v>
      </c>
      <c r="J14" s="264">
        <v>296</v>
      </c>
      <c r="K14" s="264">
        <v>197</v>
      </c>
      <c r="L14" s="264">
        <v>244</v>
      </c>
      <c r="M14" s="264">
        <v>236</v>
      </c>
      <c r="N14" s="264">
        <v>276</v>
      </c>
      <c r="O14" s="950" t="s">
        <v>95</v>
      </c>
      <c r="P14" s="949">
        <f t="shared" si="13"/>
        <v>54.318999999999996</v>
      </c>
      <c r="Q14" s="948">
        <v>4.226</v>
      </c>
      <c r="R14" s="948">
        <v>5.5389999999999997</v>
      </c>
      <c r="S14" s="948">
        <v>6.141</v>
      </c>
      <c r="T14" s="948">
        <v>6.835</v>
      </c>
      <c r="U14" s="948">
        <v>3.8150000000000004</v>
      </c>
      <c r="V14" s="948">
        <v>4.5540000000000003</v>
      </c>
      <c r="W14" s="948">
        <v>4.0380000000000003</v>
      </c>
      <c r="X14" s="948">
        <v>4.2010000000000005</v>
      </c>
      <c r="Y14" s="948">
        <v>2.7170000000000001</v>
      </c>
      <c r="Z14" s="948">
        <v>4.5489999999999995</v>
      </c>
      <c r="AA14" s="948">
        <v>3.5709999999999997</v>
      </c>
      <c r="AB14" s="948">
        <v>4.133</v>
      </c>
      <c r="AC14" s="26" t="s">
        <v>95</v>
      </c>
      <c r="AD14" s="869">
        <f t="shared" si="9"/>
        <v>17.932981181908218</v>
      </c>
      <c r="AE14" s="265">
        <f t="shared" si="9"/>
        <v>22.125654450261781</v>
      </c>
      <c r="AF14" s="265">
        <f t="shared" si="9"/>
        <v>23.371308016877634</v>
      </c>
      <c r="AG14" s="265">
        <f t="shared" si="9"/>
        <v>24.862348178137655</v>
      </c>
      <c r="AH14" s="265">
        <f t="shared" si="9"/>
        <v>25.221402214022142</v>
      </c>
      <c r="AI14" s="265">
        <f t="shared" si="9"/>
        <v>16.443965517241381</v>
      </c>
      <c r="AJ14" s="265">
        <f t="shared" si="9"/>
        <v>13.884146341463415</v>
      </c>
      <c r="AK14" s="265">
        <f t="shared" si="9"/>
        <v>14.737226277372264</v>
      </c>
      <c r="AL14" s="265">
        <f t="shared" si="9"/>
        <v>14.192567567567568</v>
      </c>
      <c r="AM14" s="265">
        <f t="shared" si="9"/>
        <v>13.791878172588833</v>
      </c>
      <c r="AN14" s="265">
        <f t="shared" si="9"/>
        <v>18.643442622950818</v>
      </c>
      <c r="AO14" s="265">
        <f t="shared" si="9"/>
        <v>15.131355932203387</v>
      </c>
      <c r="AP14" s="265">
        <f t="shared" si="9"/>
        <v>14.97463768115942</v>
      </c>
      <c r="AQ14" s="26" t="s">
        <v>95</v>
      </c>
      <c r="AR14" s="871">
        <f t="shared" si="14"/>
        <v>33501</v>
      </c>
      <c r="AS14" s="162">
        <v>2716</v>
      </c>
      <c r="AT14" s="162">
        <v>2763</v>
      </c>
      <c r="AU14" s="162">
        <v>2786</v>
      </c>
      <c r="AV14" s="162">
        <v>2872</v>
      </c>
      <c r="AW14" s="162">
        <v>2865</v>
      </c>
      <c r="AX14" s="162">
        <v>3088</v>
      </c>
      <c r="AY14" s="162">
        <v>2850</v>
      </c>
      <c r="AZ14" s="162">
        <v>2777</v>
      </c>
      <c r="BA14" s="162">
        <v>2359</v>
      </c>
      <c r="BB14" s="162">
        <v>2722</v>
      </c>
      <c r="BC14" s="162">
        <v>2760</v>
      </c>
      <c r="BD14" s="162">
        <v>2943</v>
      </c>
      <c r="BE14" s="26" t="s">
        <v>95</v>
      </c>
      <c r="BF14" s="867">
        <f t="shared" si="15"/>
        <v>1617.5419999999999</v>
      </c>
      <c r="BG14" s="264">
        <v>136.47800000000001</v>
      </c>
      <c r="BH14" s="264">
        <v>141.09</v>
      </c>
      <c r="BI14" s="264">
        <v>142.55399999999997</v>
      </c>
      <c r="BJ14" s="264">
        <v>146.04399999999998</v>
      </c>
      <c r="BK14" s="264">
        <v>144.631</v>
      </c>
      <c r="BL14" s="264">
        <v>152.333</v>
      </c>
      <c r="BM14" s="264">
        <v>136.46700000000001</v>
      </c>
      <c r="BN14" s="264">
        <v>131.34199999999998</v>
      </c>
      <c r="BO14" s="264">
        <v>108.52800000000001</v>
      </c>
      <c r="BP14" s="264">
        <v>120.70099999999999</v>
      </c>
      <c r="BQ14" s="264">
        <v>120.342</v>
      </c>
      <c r="BR14" s="264">
        <v>137.03200000000001</v>
      </c>
      <c r="BS14" s="26" t="s">
        <v>95</v>
      </c>
      <c r="BT14" s="873">
        <f t="shared" si="10"/>
        <v>48.283394525536551</v>
      </c>
      <c r="BU14" s="263">
        <f t="shared" si="10"/>
        <v>50.249631811487482</v>
      </c>
      <c r="BV14" s="263">
        <f t="shared" si="10"/>
        <v>51.064060803474483</v>
      </c>
      <c r="BW14" s="263">
        <f t="shared" si="10"/>
        <v>51.167982770997838</v>
      </c>
      <c r="BX14" s="263">
        <f t="shared" si="10"/>
        <v>50.850974930362113</v>
      </c>
      <c r="BY14" s="263">
        <f t="shared" si="10"/>
        <v>50.482024432809773</v>
      </c>
      <c r="BZ14" s="263">
        <f t="shared" si="10"/>
        <v>49.330634715025901</v>
      </c>
      <c r="CA14" s="263">
        <f t="shared" si="10"/>
        <v>47.883157894736847</v>
      </c>
      <c r="CB14" s="263">
        <f t="shared" si="10"/>
        <v>47.29636298163485</v>
      </c>
      <c r="CC14" s="263">
        <f t="shared" si="10"/>
        <v>46.005934718100889</v>
      </c>
      <c r="CD14" s="263">
        <f t="shared" si="10"/>
        <v>44.342762674504037</v>
      </c>
      <c r="CE14" s="263">
        <f t="shared" si="10"/>
        <v>43.602173913043472</v>
      </c>
      <c r="CF14" s="263">
        <f t="shared" si="10"/>
        <v>46.562011552837241</v>
      </c>
      <c r="CG14" s="26" t="s">
        <v>95</v>
      </c>
      <c r="CH14" s="867">
        <f t="shared" si="16"/>
        <v>12996</v>
      </c>
      <c r="CI14" s="264">
        <v>976</v>
      </c>
      <c r="CJ14" s="264">
        <v>883</v>
      </c>
      <c r="CK14" s="264">
        <v>1062</v>
      </c>
      <c r="CL14" s="264">
        <v>1343</v>
      </c>
      <c r="CM14" s="264">
        <v>1353</v>
      </c>
      <c r="CN14" s="264">
        <v>1017</v>
      </c>
      <c r="CO14" s="264">
        <v>1053</v>
      </c>
      <c r="CP14" s="264">
        <v>1106</v>
      </c>
      <c r="CQ14" s="264">
        <v>898</v>
      </c>
      <c r="CR14" s="264">
        <v>1084</v>
      </c>
      <c r="CS14" s="264">
        <v>1062</v>
      </c>
      <c r="CT14" s="264">
        <v>1159</v>
      </c>
      <c r="CU14" s="26" t="s">
        <v>95</v>
      </c>
      <c r="CV14" s="867">
        <f t="shared" si="17"/>
        <v>1743.4679999999998</v>
      </c>
      <c r="CW14" s="264">
        <v>148.46</v>
      </c>
      <c r="CX14" s="264">
        <v>139.053</v>
      </c>
      <c r="CY14" s="264">
        <v>179.4</v>
      </c>
      <c r="CZ14" s="264">
        <v>213.554</v>
      </c>
      <c r="DA14" s="264">
        <v>163.32299999999998</v>
      </c>
      <c r="DB14" s="264">
        <v>127.83699999999999</v>
      </c>
      <c r="DC14" s="264">
        <v>128.92099999999999</v>
      </c>
      <c r="DD14" s="264">
        <v>130.75200000000001</v>
      </c>
      <c r="DE14" s="264">
        <v>110.667</v>
      </c>
      <c r="DF14" s="264">
        <v>131.05699999999999</v>
      </c>
      <c r="DG14" s="264">
        <v>128.626</v>
      </c>
      <c r="DH14" s="264">
        <v>141.81800000000001</v>
      </c>
      <c r="DI14" s="26" t="s">
        <v>95</v>
      </c>
      <c r="DJ14" s="873">
        <f t="shared" si="11"/>
        <v>134.15420129270544</v>
      </c>
      <c r="DK14" s="263">
        <f t="shared" si="11"/>
        <v>152.11065573770495</v>
      </c>
      <c r="DL14" s="263">
        <f t="shared" si="11"/>
        <v>157.47791619479048</v>
      </c>
      <c r="DM14" s="263">
        <f t="shared" si="11"/>
        <v>168.92655367231637</v>
      </c>
      <c r="DN14" s="263">
        <f t="shared" si="11"/>
        <v>159.01265822784811</v>
      </c>
      <c r="DO14" s="263">
        <f t="shared" si="11"/>
        <v>120.71175166297115</v>
      </c>
      <c r="DP14" s="263">
        <f t="shared" si="11"/>
        <v>125.70009832841691</v>
      </c>
      <c r="DQ14" s="263">
        <f t="shared" si="11"/>
        <v>122.4320987654321</v>
      </c>
      <c r="DR14" s="263">
        <f t="shared" si="11"/>
        <v>118.22061482820978</v>
      </c>
      <c r="DS14" s="263">
        <f t="shared" si="11"/>
        <v>123.23719376391982</v>
      </c>
      <c r="DT14" s="263">
        <f t="shared" si="11"/>
        <v>120.90129151291512</v>
      </c>
      <c r="DU14" s="263">
        <f t="shared" si="11"/>
        <v>121.11676082862525</v>
      </c>
      <c r="DV14" s="263">
        <f t="shared" si="11"/>
        <v>122.3623813632442</v>
      </c>
    </row>
    <row r="15" spans="1:126" ht="16" customHeight="1">
      <c r="A15" s="26" t="s">
        <v>96</v>
      </c>
      <c r="B15" s="867">
        <f t="shared" si="12"/>
        <v>84</v>
      </c>
      <c r="C15" s="264">
        <v>6</v>
      </c>
      <c r="D15" s="264">
        <v>7</v>
      </c>
      <c r="E15" s="264">
        <v>7</v>
      </c>
      <c r="F15" s="264">
        <v>7</v>
      </c>
      <c r="G15" s="264">
        <v>6</v>
      </c>
      <c r="H15" s="264">
        <v>8</v>
      </c>
      <c r="I15" s="264">
        <v>7</v>
      </c>
      <c r="J15" s="264">
        <v>10</v>
      </c>
      <c r="K15" s="264">
        <v>5</v>
      </c>
      <c r="L15" s="264">
        <v>6</v>
      </c>
      <c r="M15" s="264">
        <v>7</v>
      </c>
      <c r="N15" s="264">
        <v>8</v>
      </c>
      <c r="O15" s="950" t="s">
        <v>96</v>
      </c>
      <c r="P15" s="949">
        <f t="shared" si="13"/>
        <v>2.1772</v>
      </c>
      <c r="Q15" s="948">
        <v>0.14940000000000001</v>
      </c>
      <c r="R15" s="948">
        <v>0.17499999999999999</v>
      </c>
      <c r="S15" s="948">
        <v>0.17799999999999999</v>
      </c>
      <c r="T15" s="948">
        <v>0.1608</v>
      </c>
      <c r="U15" s="948">
        <v>0.1474</v>
      </c>
      <c r="V15" s="948">
        <v>0.21179999999999999</v>
      </c>
      <c r="W15" s="948">
        <v>0.19934999999999997</v>
      </c>
      <c r="X15" s="948">
        <v>0.26150000000000001</v>
      </c>
      <c r="Y15" s="948">
        <v>0.12355000000000001</v>
      </c>
      <c r="Z15" s="948">
        <v>0.14900000000000002</v>
      </c>
      <c r="AA15" s="948">
        <v>0.19040000000000001</v>
      </c>
      <c r="AB15" s="948">
        <v>0.23099999999999998</v>
      </c>
      <c r="AC15" s="26" t="s">
        <v>96</v>
      </c>
      <c r="AD15" s="869">
        <f t="shared" si="9"/>
        <v>25.919047619047618</v>
      </c>
      <c r="AE15" s="265">
        <f t="shared" si="9"/>
        <v>24.900000000000002</v>
      </c>
      <c r="AF15" s="265">
        <f t="shared" si="9"/>
        <v>24.999999999999996</v>
      </c>
      <c r="AG15" s="265">
        <f t="shared" si="9"/>
        <v>25.428571428571431</v>
      </c>
      <c r="AH15" s="265">
        <f t="shared" si="9"/>
        <v>22.971428571428568</v>
      </c>
      <c r="AI15" s="265">
        <f t="shared" si="9"/>
        <v>24.566666666666666</v>
      </c>
      <c r="AJ15" s="265">
        <f t="shared" si="9"/>
        <v>26.474999999999998</v>
      </c>
      <c r="AK15" s="265">
        <f t="shared" si="9"/>
        <v>28.478571428571428</v>
      </c>
      <c r="AL15" s="265">
        <f t="shared" si="9"/>
        <v>26.15</v>
      </c>
      <c r="AM15" s="265">
        <f t="shared" si="9"/>
        <v>24.710000000000004</v>
      </c>
      <c r="AN15" s="265">
        <f t="shared" si="9"/>
        <v>24.833333333333336</v>
      </c>
      <c r="AO15" s="265">
        <f t="shared" si="9"/>
        <v>27.200000000000003</v>
      </c>
      <c r="AP15" s="265">
        <f t="shared" si="9"/>
        <v>28.874999999999996</v>
      </c>
      <c r="AQ15" s="26" t="s">
        <v>96</v>
      </c>
      <c r="AR15" s="871">
        <f t="shared" si="14"/>
        <v>15730</v>
      </c>
      <c r="AS15" s="162">
        <v>1400</v>
      </c>
      <c r="AT15" s="162">
        <v>1095</v>
      </c>
      <c r="AU15" s="162">
        <v>1135</v>
      </c>
      <c r="AV15" s="162">
        <v>1190</v>
      </c>
      <c r="AW15" s="162">
        <v>1345</v>
      </c>
      <c r="AX15" s="162">
        <v>1240</v>
      </c>
      <c r="AY15" s="162">
        <v>1400</v>
      </c>
      <c r="AZ15" s="162">
        <v>1220</v>
      </c>
      <c r="BA15" s="162">
        <v>1340</v>
      </c>
      <c r="BB15" s="162">
        <v>1390</v>
      </c>
      <c r="BC15" s="162">
        <v>1430</v>
      </c>
      <c r="BD15" s="162">
        <v>1545</v>
      </c>
      <c r="BE15" s="26" t="s">
        <v>96</v>
      </c>
      <c r="BF15" s="867">
        <f t="shared" si="15"/>
        <v>925.31225000000006</v>
      </c>
      <c r="BG15" s="264">
        <v>81.849999999999994</v>
      </c>
      <c r="BH15" s="264">
        <v>64.049250000000001</v>
      </c>
      <c r="BI15" s="264">
        <v>67.030500000000004</v>
      </c>
      <c r="BJ15" s="264">
        <v>70.441000000000003</v>
      </c>
      <c r="BK15" s="264">
        <v>79.236999999999995</v>
      </c>
      <c r="BL15" s="264">
        <v>72.219500000000011</v>
      </c>
      <c r="BM15" s="264">
        <v>82.639749999999992</v>
      </c>
      <c r="BN15" s="264">
        <v>71.568000000000012</v>
      </c>
      <c r="BO15" s="264">
        <v>78.885999999999996</v>
      </c>
      <c r="BP15" s="264">
        <v>82.328000000000003</v>
      </c>
      <c r="BQ15" s="264">
        <v>84.050749999999994</v>
      </c>
      <c r="BR15" s="264">
        <v>91.012500000000003</v>
      </c>
      <c r="BS15" s="26" t="s">
        <v>96</v>
      </c>
      <c r="BT15" s="873">
        <f t="shared" si="10"/>
        <v>58.824682136045773</v>
      </c>
      <c r="BU15" s="263">
        <f t="shared" si="10"/>
        <v>58.464285714285708</v>
      </c>
      <c r="BV15" s="263">
        <f t="shared" si="10"/>
        <v>58.492465753424653</v>
      </c>
      <c r="BW15" s="263">
        <f t="shared" si="10"/>
        <v>59.057709251101329</v>
      </c>
      <c r="BX15" s="263">
        <f t="shared" si="10"/>
        <v>59.194117647058825</v>
      </c>
      <c r="BY15" s="263">
        <f t="shared" si="10"/>
        <v>58.912267657992558</v>
      </c>
      <c r="BZ15" s="263">
        <f t="shared" si="10"/>
        <v>58.241532258064524</v>
      </c>
      <c r="CA15" s="263">
        <f t="shared" si="10"/>
        <v>59.028392857142848</v>
      </c>
      <c r="CB15" s="263">
        <f t="shared" si="10"/>
        <v>58.662295081967223</v>
      </c>
      <c r="CC15" s="263">
        <f t="shared" si="10"/>
        <v>58.870149253731341</v>
      </c>
      <c r="CD15" s="263">
        <f t="shared" si="10"/>
        <v>59.228776978417265</v>
      </c>
      <c r="CE15" s="263">
        <f t="shared" si="10"/>
        <v>58.776748251748245</v>
      </c>
      <c r="CF15" s="263">
        <f t="shared" si="10"/>
        <v>58.907766990291265</v>
      </c>
      <c r="CG15" s="26" t="s">
        <v>96</v>
      </c>
      <c r="CH15" s="867">
        <f t="shared" si="16"/>
        <v>14639</v>
      </c>
      <c r="CI15" s="264">
        <v>1255</v>
      </c>
      <c r="CJ15" s="264">
        <v>1105</v>
      </c>
      <c r="CK15" s="264">
        <v>1108</v>
      </c>
      <c r="CL15" s="264">
        <v>1155</v>
      </c>
      <c r="CM15" s="264">
        <v>1272</v>
      </c>
      <c r="CN15" s="264">
        <v>1196</v>
      </c>
      <c r="CO15" s="264">
        <v>1325</v>
      </c>
      <c r="CP15" s="264">
        <v>1030</v>
      </c>
      <c r="CQ15" s="264">
        <v>1264</v>
      </c>
      <c r="CR15" s="264">
        <v>1258</v>
      </c>
      <c r="CS15" s="264">
        <v>1276</v>
      </c>
      <c r="CT15" s="264">
        <v>1395</v>
      </c>
      <c r="CU15" s="26" t="s">
        <v>96</v>
      </c>
      <c r="CV15" s="867">
        <f t="shared" si="17"/>
        <v>2293.6994300000001</v>
      </c>
      <c r="CW15" s="264">
        <v>195.488</v>
      </c>
      <c r="CX15" s="264">
        <v>172.256</v>
      </c>
      <c r="CY15" s="264">
        <v>173.2824</v>
      </c>
      <c r="CZ15" s="264">
        <v>180.10874999999999</v>
      </c>
      <c r="DA15" s="264">
        <v>198.15120000000002</v>
      </c>
      <c r="DB15" s="264">
        <v>187.47548</v>
      </c>
      <c r="DC15" s="264">
        <v>207.8125</v>
      </c>
      <c r="DD15" s="264">
        <v>162.27600000000001</v>
      </c>
      <c r="DE15" s="264">
        <v>198.4992</v>
      </c>
      <c r="DF15" s="264">
        <v>197.98540000000003</v>
      </c>
      <c r="DG15" s="264">
        <v>200.4342</v>
      </c>
      <c r="DH15" s="264">
        <v>219.93029999999999</v>
      </c>
      <c r="DI15" s="26" t="s">
        <v>96</v>
      </c>
      <c r="DJ15" s="873">
        <f t="shared" si="11"/>
        <v>156.68416080333358</v>
      </c>
      <c r="DK15" s="263">
        <f t="shared" si="11"/>
        <v>155.76733067729086</v>
      </c>
      <c r="DL15" s="263">
        <f t="shared" si="11"/>
        <v>155.88778280542985</v>
      </c>
      <c r="DM15" s="263">
        <f t="shared" si="11"/>
        <v>156.39205776173284</v>
      </c>
      <c r="DN15" s="263">
        <f t="shared" si="11"/>
        <v>155.93831168831167</v>
      </c>
      <c r="DO15" s="263">
        <f t="shared" si="11"/>
        <v>155.77924528301887</v>
      </c>
      <c r="DP15" s="263">
        <f t="shared" si="11"/>
        <v>156.75207357859534</v>
      </c>
      <c r="DQ15" s="263">
        <f t="shared" si="11"/>
        <v>156.83962264150944</v>
      </c>
      <c r="DR15" s="263">
        <f t="shared" si="11"/>
        <v>157.54951456310681</v>
      </c>
      <c r="DS15" s="263">
        <f t="shared" si="11"/>
        <v>157.04050632911392</v>
      </c>
      <c r="DT15" s="263">
        <f t="shared" si="11"/>
        <v>157.38108108108111</v>
      </c>
      <c r="DU15" s="263">
        <f t="shared" si="11"/>
        <v>157.08009404388716</v>
      </c>
      <c r="DV15" s="263">
        <f t="shared" si="11"/>
        <v>157.65612903225806</v>
      </c>
    </row>
    <row r="16" spans="1:126" ht="16" customHeight="1">
      <c r="A16" s="26" t="s">
        <v>223</v>
      </c>
      <c r="B16" s="867">
        <f t="shared" si="12"/>
        <v>2011</v>
      </c>
      <c r="C16" s="264">
        <v>195</v>
      </c>
      <c r="D16" s="264">
        <v>169</v>
      </c>
      <c r="E16" s="264">
        <v>159</v>
      </c>
      <c r="F16" s="264">
        <v>153</v>
      </c>
      <c r="G16" s="264">
        <v>150</v>
      </c>
      <c r="H16" s="264">
        <v>134</v>
      </c>
      <c r="I16" s="264">
        <v>189</v>
      </c>
      <c r="J16" s="264">
        <v>129</v>
      </c>
      <c r="K16" s="264">
        <v>154</v>
      </c>
      <c r="L16" s="264">
        <v>166</v>
      </c>
      <c r="M16" s="264">
        <v>164</v>
      </c>
      <c r="N16" s="264">
        <v>249</v>
      </c>
      <c r="O16" s="950" t="s">
        <v>223</v>
      </c>
      <c r="P16" s="949">
        <f t="shared" si="13"/>
        <v>34.521999999999998</v>
      </c>
      <c r="Q16" s="948">
        <v>3.3980000000000001</v>
      </c>
      <c r="R16" s="948">
        <v>2.7170000000000001</v>
      </c>
      <c r="S16" s="948">
        <v>2.524</v>
      </c>
      <c r="T16" s="948">
        <v>2.7080000000000002</v>
      </c>
      <c r="U16" s="948">
        <v>2.5839999999999996</v>
      </c>
      <c r="V16" s="948">
        <v>2.2949999999999999</v>
      </c>
      <c r="W16" s="948">
        <v>3.8460000000000001</v>
      </c>
      <c r="X16" s="948">
        <v>2.1970000000000001</v>
      </c>
      <c r="Y16" s="948">
        <v>2.5549999999999997</v>
      </c>
      <c r="Z16" s="948">
        <v>2.7489999999999997</v>
      </c>
      <c r="AA16" s="948">
        <v>2.782</v>
      </c>
      <c r="AB16" s="948">
        <v>4.1669999999999998</v>
      </c>
      <c r="AC16" s="26" t="s">
        <v>223</v>
      </c>
      <c r="AD16" s="869">
        <f t="shared" si="9"/>
        <v>17.16658378915962</v>
      </c>
      <c r="AE16" s="265">
        <f t="shared" si="9"/>
        <v>17.425641025641028</v>
      </c>
      <c r="AF16" s="265">
        <f t="shared" si="9"/>
        <v>16.07692307692308</v>
      </c>
      <c r="AG16" s="265">
        <f t="shared" si="9"/>
        <v>15.874213836477988</v>
      </c>
      <c r="AH16" s="265">
        <f t="shared" si="9"/>
        <v>17.699346405228759</v>
      </c>
      <c r="AI16" s="265">
        <f t="shared" si="9"/>
        <v>17.226666666666663</v>
      </c>
      <c r="AJ16" s="265">
        <f t="shared" si="9"/>
        <v>17.126865671641788</v>
      </c>
      <c r="AK16" s="265">
        <f t="shared" si="9"/>
        <v>20.349206349206348</v>
      </c>
      <c r="AL16" s="265">
        <f t="shared" si="9"/>
        <v>17.031007751937985</v>
      </c>
      <c r="AM16" s="265">
        <f t="shared" si="9"/>
        <v>16.59090909090909</v>
      </c>
      <c r="AN16" s="265">
        <f t="shared" si="9"/>
        <v>16.560240963855421</v>
      </c>
      <c r="AO16" s="265">
        <f t="shared" si="9"/>
        <v>16.963414634146343</v>
      </c>
      <c r="AP16" s="265">
        <f t="shared" si="9"/>
        <v>16.734939759036145</v>
      </c>
      <c r="AQ16" s="26" t="s">
        <v>223</v>
      </c>
      <c r="AR16" s="871">
        <f t="shared" si="14"/>
        <v>17691</v>
      </c>
      <c r="AS16" s="162">
        <v>1132</v>
      </c>
      <c r="AT16" s="162">
        <v>1168</v>
      </c>
      <c r="AU16" s="162">
        <v>1149</v>
      </c>
      <c r="AV16" s="162">
        <v>851</v>
      </c>
      <c r="AW16" s="162">
        <v>1371</v>
      </c>
      <c r="AX16" s="162">
        <v>1508</v>
      </c>
      <c r="AY16" s="162">
        <v>1684</v>
      </c>
      <c r="AZ16" s="162">
        <v>1858</v>
      </c>
      <c r="BA16" s="162">
        <v>1525</v>
      </c>
      <c r="BB16" s="162">
        <v>1716</v>
      </c>
      <c r="BC16" s="162">
        <v>1714</v>
      </c>
      <c r="BD16" s="162">
        <v>2015</v>
      </c>
      <c r="BE16" s="26" t="s">
        <v>223</v>
      </c>
      <c r="BF16" s="867">
        <f t="shared" si="15"/>
        <v>913.22900000000004</v>
      </c>
      <c r="BG16" s="264">
        <v>57.772999999999996</v>
      </c>
      <c r="BH16" s="264">
        <v>61.03</v>
      </c>
      <c r="BI16" s="264">
        <v>58.394000000000005</v>
      </c>
      <c r="BJ16" s="264">
        <v>44.064999999999998</v>
      </c>
      <c r="BK16" s="264">
        <v>70.158000000000001</v>
      </c>
      <c r="BL16" s="264">
        <v>77.287000000000006</v>
      </c>
      <c r="BM16" s="264">
        <v>87.316000000000003</v>
      </c>
      <c r="BN16" s="264">
        <v>96.570999999999998</v>
      </c>
      <c r="BO16" s="264">
        <v>77.706999999999994</v>
      </c>
      <c r="BP16" s="264">
        <v>88.876000000000005</v>
      </c>
      <c r="BQ16" s="264">
        <v>89.326999999999998</v>
      </c>
      <c r="BR16" s="264">
        <v>104.72499999999999</v>
      </c>
      <c r="BS16" s="26" t="s">
        <v>223</v>
      </c>
      <c r="BT16" s="873">
        <f t="shared" si="10"/>
        <v>51.621106777457463</v>
      </c>
      <c r="BU16" s="263">
        <f t="shared" si="10"/>
        <v>51.03621908127208</v>
      </c>
      <c r="BV16" s="263">
        <f t="shared" si="10"/>
        <v>52.251712328767127</v>
      </c>
      <c r="BW16" s="263">
        <f t="shared" si="10"/>
        <v>50.821583986074849</v>
      </c>
      <c r="BX16" s="263">
        <f t="shared" si="10"/>
        <v>51.780258519388951</v>
      </c>
      <c r="BY16" s="263">
        <f t="shared" si="10"/>
        <v>51.172866520787743</v>
      </c>
      <c r="BZ16" s="263">
        <f t="shared" si="10"/>
        <v>51.25132625994695</v>
      </c>
      <c r="CA16" s="263">
        <f t="shared" si="10"/>
        <v>51.850356294536816</v>
      </c>
      <c r="CB16" s="263">
        <f t="shared" si="10"/>
        <v>51.975780409041981</v>
      </c>
      <c r="CC16" s="263">
        <f t="shared" si="10"/>
        <v>50.95540983606557</v>
      </c>
      <c r="CD16" s="263">
        <f t="shared" si="10"/>
        <v>51.792540792540798</v>
      </c>
      <c r="CE16" s="263">
        <f t="shared" si="10"/>
        <v>52.116102683780625</v>
      </c>
      <c r="CF16" s="263">
        <f t="shared" si="10"/>
        <v>51.972704714640194</v>
      </c>
      <c r="CG16" s="26" t="s">
        <v>223</v>
      </c>
      <c r="CH16" s="867">
        <f t="shared" si="16"/>
        <v>13037</v>
      </c>
      <c r="CI16" s="264">
        <v>909</v>
      </c>
      <c r="CJ16" s="264">
        <v>1031</v>
      </c>
      <c r="CK16" s="264">
        <v>998</v>
      </c>
      <c r="CL16" s="264">
        <v>856</v>
      </c>
      <c r="CM16" s="264">
        <v>1066</v>
      </c>
      <c r="CN16" s="264">
        <v>1131</v>
      </c>
      <c r="CO16" s="264">
        <v>1151</v>
      </c>
      <c r="CP16" s="264">
        <v>1184</v>
      </c>
      <c r="CQ16" s="264">
        <v>1047</v>
      </c>
      <c r="CR16" s="264">
        <v>1088</v>
      </c>
      <c r="CS16" s="264">
        <v>1183</v>
      </c>
      <c r="CT16" s="264">
        <v>1393</v>
      </c>
      <c r="CU16" s="26" t="s">
        <v>223</v>
      </c>
      <c r="CV16" s="867">
        <f t="shared" si="17"/>
        <v>1799.3330000000001</v>
      </c>
      <c r="CW16" s="264">
        <v>126.23500000000001</v>
      </c>
      <c r="CX16" s="264">
        <v>142.32</v>
      </c>
      <c r="CY16" s="264">
        <v>137.16300000000001</v>
      </c>
      <c r="CZ16" s="264">
        <v>119.45399999999999</v>
      </c>
      <c r="DA16" s="264">
        <v>146.51499999999999</v>
      </c>
      <c r="DB16" s="264">
        <v>154.97</v>
      </c>
      <c r="DC16" s="264">
        <v>159.798</v>
      </c>
      <c r="DD16" s="264">
        <v>163.87799999999999</v>
      </c>
      <c r="DE16" s="264">
        <v>145.203</v>
      </c>
      <c r="DF16" s="264">
        <v>151.19200000000001</v>
      </c>
      <c r="DG16" s="264">
        <v>163.488</v>
      </c>
      <c r="DH16" s="264">
        <v>189.11700000000002</v>
      </c>
      <c r="DI16" s="26" t="s">
        <v>223</v>
      </c>
      <c r="DJ16" s="873">
        <f t="shared" si="11"/>
        <v>138.01741198128403</v>
      </c>
      <c r="DK16" s="263">
        <f t="shared" si="11"/>
        <v>138.87238723872389</v>
      </c>
      <c r="DL16" s="263">
        <f t="shared" si="11"/>
        <v>138.04073714839959</v>
      </c>
      <c r="DM16" s="263">
        <f t="shared" si="11"/>
        <v>137.43787575150301</v>
      </c>
      <c r="DN16" s="263">
        <f t="shared" si="11"/>
        <v>139.54906542056077</v>
      </c>
      <c r="DO16" s="263">
        <f t="shared" si="11"/>
        <v>137.44371482176359</v>
      </c>
      <c r="DP16" s="263">
        <f t="shared" si="11"/>
        <v>137.02033598585322</v>
      </c>
      <c r="DQ16" s="263">
        <f t="shared" si="11"/>
        <v>138.83405734144222</v>
      </c>
      <c r="DR16" s="263">
        <f t="shared" si="11"/>
        <v>138.41047297297297</v>
      </c>
      <c r="DS16" s="263">
        <f t="shared" si="11"/>
        <v>138.68481375358166</v>
      </c>
      <c r="DT16" s="263">
        <f t="shared" si="11"/>
        <v>138.96323529411765</v>
      </c>
      <c r="DU16" s="263">
        <f t="shared" si="11"/>
        <v>138.19780219780219</v>
      </c>
      <c r="DV16" s="263">
        <f t="shared" si="11"/>
        <v>135.76238334529793</v>
      </c>
    </row>
    <row r="17" spans="1:126" ht="16" customHeight="1">
      <c r="A17" s="26" t="s">
        <v>224</v>
      </c>
      <c r="B17" s="867">
        <f t="shared" si="12"/>
        <v>61237</v>
      </c>
      <c r="C17" s="264">
        <v>4703</v>
      </c>
      <c r="D17" s="264">
        <v>4336</v>
      </c>
      <c r="E17" s="264">
        <v>4409</v>
      </c>
      <c r="F17" s="264">
        <v>4563</v>
      </c>
      <c r="G17" s="264">
        <v>4770</v>
      </c>
      <c r="H17" s="264">
        <v>4705</v>
      </c>
      <c r="I17" s="264">
        <v>4872</v>
      </c>
      <c r="J17" s="264">
        <v>5276</v>
      </c>
      <c r="K17" s="264">
        <v>5196</v>
      </c>
      <c r="L17" s="264">
        <v>6188</v>
      </c>
      <c r="M17" s="264">
        <v>6044</v>
      </c>
      <c r="N17" s="264">
        <v>6175</v>
      </c>
      <c r="O17" s="950" t="s">
        <v>224</v>
      </c>
      <c r="P17" s="949">
        <f t="shared" si="13"/>
        <v>678.68328439896436</v>
      </c>
      <c r="Q17" s="948">
        <v>53.381946917999997</v>
      </c>
      <c r="R17" s="948">
        <v>47.141148303515266</v>
      </c>
      <c r="S17" s="948">
        <v>46.01199782431771</v>
      </c>
      <c r="T17" s="948">
        <v>50.307582790680001</v>
      </c>
      <c r="U17" s="948">
        <v>50.702194532</v>
      </c>
      <c r="V17" s="948">
        <v>51.672582746959996</v>
      </c>
      <c r="W17" s="948">
        <v>53.489032137319995</v>
      </c>
      <c r="X17" s="948">
        <v>60.823192196553379</v>
      </c>
      <c r="Y17" s="948">
        <v>62.053985837991625</v>
      </c>
      <c r="Z17" s="948">
        <v>66.985639999999989</v>
      </c>
      <c r="AA17" s="948">
        <v>67.023672339277084</v>
      </c>
      <c r="AB17" s="948">
        <v>69.090308772349374</v>
      </c>
      <c r="AC17" s="26" t="s">
        <v>224</v>
      </c>
      <c r="AD17" s="869">
        <f t="shared" si="9"/>
        <v>11.08289570682699</v>
      </c>
      <c r="AE17" s="265">
        <f t="shared" si="9"/>
        <v>11.350615972358069</v>
      </c>
      <c r="AF17" s="265">
        <f t="shared" si="9"/>
        <v>10.872036047858687</v>
      </c>
      <c r="AG17" s="265">
        <f t="shared" si="9"/>
        <v>10.435926020484851</v>
      </c>
      <c r="AH17" s="265">
        <f t="shared" si="9"/>
        <v>11.025111284391848</v>
      </c>
      <c r="AI17" s="265">
        <f t="shared" si="9"/>
        <v>10.629390887211741</v>
      </c>
      <c r="AJ17" s="265">
        <f t="shared" si="9"/>
        <v>10.982483049300743</v>
      </c>
      <c r="AK17" s="265">
        <f t="shared" si="9"/>
        <v>10.978865381223317</v>
      </c>
      <c r="AL17" s="265">
        <f t="shared" si="9"/>
        <v>11.528277520195864</v>
      </c>
      <c r="AM17" s="265">
        <f t="shared" si="9"/>
        <v>11.942645465356357</v>
      </c>
      <c r="AN17" s="265">
        <f t="shared" si="9"/>
        <v>10.825087265675499</v>
      </c>
      <c r="AO17" s="265">
        <f t="shared" si="9"/>
        <v>11.089290592203355</v>
      </c>
      <c r="AP17" s="265">
        <f t="shared" si="9"/>
        <v>11.188713971230669</v>
      </c>
      <c r="AQ17" s="26" t="s">
        <v>224</v>
      </c>
      <c r="AR17" s="871">
        <f t="shared" si="14"/>
        <v>26630</v>
      </c>
      <c r="AS17" s="162">
        <v>2234</v>
      </c>
      <c r="AT17" s="162">
        <v>2101</v>
      </c>
      <c r="AU17" s="162">
        <v>1810</v>
      </c>
      <c r="AV17" s="162">
        <v>1845</v>
      </c>
      <c r="AW17" s="162">
        <v>2197</v>
      </c>
      <c r="AX17" s="162">
        <v>2226</v>
      </c>
      <c r="AY17" s="162">
        <v>2440</v>
      </c>
      <c r="AZ17" s="162">
        <v>2336</v>
      </c>
      <c r="BA17" s="162">
        <v>2264</v>
      </c>
      <c r="BB17" s="162">
        <v>2211</v>
      </c>
      <c r="BC17" s="162">
        <v>2298</v>
      </c>
      <c r="BD17" s="162">
        <v>2668</v>
      </c>
      <c r="BE17" s="26" t="s">
        <v>224</v>
      </c>
      <c r="BF17" s="867">
        <f t="shared" si="15"/>
        <v>951.51124666962619</v>
      </c>
      <c r="BG17" s="264">
        <v>83.925824675000001</v>
      </c>
      <c r="BH17" s="264">
        <v>75.089439099999993</v>
      </c>
      <c r="BI17" s="264">
        <v>59.253666666960953</v>
      </c>
      <c r="BJ17" s="264">
        <v>65.335661410103583</v>
      </c>
      <c r="BK17" s="264">
        <v>80.998766534746181</v>
      </c>
      <c r="BL17" s="264">
        <v>83.653148869999995</v>
      </c>
      <c r="BM17" s="264">
        <v>91.779260739999998</v>
      </c>
      <c r="BN17" s="264">
        <v>84.455852116000003</v>
      </c>
      <c r="BO17" s="264">
        <v>73.81695546310354</v>
      </c>
      <c r="BP17" s="264">
        <v>79.710241331000006</v>
      </c>
      <c r="BQ17" s="264">
        <v>80.238393328813572</v>
      </c>
      <c r="BR17" s="264">
        <v>93.254036433898321</v>
      </c>
      <c r="BS17" s="26" t="s">
        <v>224</v>
      </c>
      <c r="BT17" s="873">
        <f t="shared" si="10"/>
        <v>35.730801602314166</v>
      </c>
      <c r="BU17" s="263">
        <f t="shared" si="10"/>
        <v>37.567513283348248</v>
      </c>
      <c r="BV17" s="263">
        <f t="shared" si="10"/>
        <v>35.73985678248453</v>
      </c>
      <c r="BW17" s="263">
        <f t="shared" si="10"/>
        <v>32.736832412685608</v>
      </c>
      <c r="BX17" s="263">
        <f t="shared" si="10"/>
        <v>35.412282607102213</v>
      </c>
      <c r="BY17" s="263">
        <f t="shared" si="10"/>
        <v>36.867895555187161</v>
      </c>
      <c r="BZ17" s="263">
        <f t="shared" si="10"/>
        <v>37.580030938903867</v>
      </c>
      <c r="CA17" s="263">
        <f t="shared" si="10"/>
        <v>37.614451122950818</v>
      </c>
      <c r="CB17" s="263">
        <f t="shared" si="10"/>
        <v>36.154046282534246</v>
      </c>
      <c r="CC17" s="263">
        <f t="shared" si="10"/>
        <v>32.604662307024533</v>
      </c>
      <c r="CD17" s="263">
        <f t="shared" si="10"/>
        <v>36.051669530076893</v>
      </c>
      <c r="CE17" s="263">
        <f t="shared" si="10"/>
        <v>34.916620247525486</v>
      </c>
      <c r="CF17" s="263">
        <f t="shared" si="10"/>
        <v>34.952787269077326</v>
      </c>
      <c r="CG17" s="26" t="s">
        <v>224</v>
      </c>
      <c r="CH17" s="867">
        <f t="shared" si="16"/>
        <v>39108</v>
      </c>
      <c r="CI17" s="264">
        <v>3090</v>
      </c>
      <c r="CJ17" s="264">
        <v>2924</v>
      </c>
      <c r="CK17" s="264">
        <v>2981</v>
      </c>
      <c r="CL17" s="264">
        <v>3024</v>
      </c>
      <c r="CM17" s="264">
        <v>3103</v>
      </c>
      <c r="CN17" s="264">
        <v>3094</v>
      </c>
      <c r="CO17" s="264">
        <v>3102</v>
      </c>
      <c r="CP17" s="264">
        <v>3782</v>
      </c>
      <c r="CQ17" s="264">
        <v>3506</v>
      </c>
      <c r="CR17" s="264">
        <v>3488</v>
      </c>
      <c r="CS17" s="264">
        <v>3476</v>
      </c>
      <c r="CT17" s="264">
        <v>3538</v>
      </c>
      <c r="CU17" s="26" t="s">
        <v>224</v>
      </c>
      <c r="CV17" s="867">
        <f t="shared" si="17"/>
        <v>5141.4446365728418</v>
      </c>
      <c r="CW17" s="264">
        <v>409.25583310667997</v>
      </c>
      <c r="CX17" s="264">
        <v>394.52432008464848</v>
      </c>
      <c r="CY17" s="264">
        <v>390.11727561833868</v>
      </c>
      <c r="CZ17" s="264">
        <v>394.88188091200004</v>
      </c>
      <c r="DA17" s="264">
        <v>403.33231172000001</v>
      </c>
      <c r="DB17" s="264">
        <v>401.26185851039406</v>
      </c>
      <c r="DC17" s="264">
        <v>401.65130147039406</v>
      </c>
      <c r="DD17" s="264">
        <v>511.99093303422666</v>
      </c>
      <c r="DE17" s="264">
        <v>467.84798083615999</v>
      </c>
      <c r="DF17" s="264">
        <v>457.02280000000002</v>
      </c>
      <c r="DG17" s="264">
        <v>450.352844</v>
      </c>
      <c r="DH17" s="264">
        <v>459.20529728000008</v>
      </c>
      <c r="DI17" s="26" t="s">
        <v>224</v>
      </c>
      <c r="DJ17" s="873">
        <f t="shared" si="11"/>
        <v>131.46784894581268</v>
      </c>
      <c r="DK17" s="263">
        <f t="shared" si="11"/>
        <v>132.44525343258252</v>
      </c>
      <c r="DL17" s="263">
        <f t="shared" si="11"/>
        <v>134.92623805904529</v>
      </c>
      <c r="DM17" s="263">
        <f t="shared" si="11"/>
        <v>130.8679220457359</v>
      </c>
      <c r="DN17" s="263">
        <f t="shared" si="11"/>
        <v>130.58263257671959</v>
      </c>
      <c r="DO17" s="263">
        <f t="shared" si="11"/>
        <v>129.98140886883661</v>
      </c>
      <c r="DP17" s="263">
        <f t="shared" si="11"/>
        <v>129.69032272475567</v>
      </c>
      <c r="DQ17" s="263">
        <f t="shared" si="11"/>
        <v>129.48139957137138</v>
      </c>
      <c r="DR17" s="263">
        <f t="shared" si="11"/>
        <v>135.37570942205886</v>
      </c>
      <c r="DS17" s="263">
        <f t="shared" si="11"/>
        <v>133.44209379240161</v>
      </c>
      <c r="DT17" s="263">
        <f t="shared" si="11"/>
        <v>131.02717889908257</v>
      </c>
      <c r="DU17" s="263">
        <f t="shared" si="11"/>
        <v>129.56065707710013</v>
      </c>
      <c r="DV17" s="263">
        <f t="shared" si="11"/>
        <v>129.7923395364613</v>
      </c>
    </row>
    <row r="18" spans="1:126" ht="16" customHeight="1">
      <c r="A18" s="26" t="s">
        <v>225</v>
      </c>
      <c r="B18" s="867">
        <f t="shared" si="12"/>
        <v>72886</v>
      </c>
      <c r="C18" s="264">
        <v>5832</v>
      </c>
      <c r="D18" s="264">
        <v>4942</v>
      </c>
      <c r="E18" s="264">
        <v>4832</v>
      </c>
      <c r="F18" s="264">
        <v>5485</v>
      </c>
      <c r="G18" s="264">
        <v>6504</v>
      </c>
      <c r="H18" s="264">
        <v>6769</v>
      </c>
      <c r="I18" s="264">
        <v>6874</v>
      </c>
      <c r="J18" s="264">
        <v>5820</v>
      </c>
      <c r="K18" s="264">
        <v>6235</v>
      </c>
      <c r="L18" s="264">
        <v>6647</v>
      </c>
      <c r="M18" s="264">
        <v>6309</v>
      </c>
      <c r="N18" s="264">
        <v>6637</v>
      </c>
      <c r="O18" s="950" t="s">
        <v>225</v>
      </c>
      <c r="P18" s="949">
        <f t="shared" si="13"/>
        <v>1058.6184996953805</v>
      </c>
      <c r="Q18" s="948">
        <v>81.662500000000009</v>
      </c>
      <c r="R18" s="948">
        <v>68.978999999999999</v>
      </c>
      <c r="S18" s="948">
        <v>65.300349999999995</v>
      </c>
      <c r="T18" s="948">
        <v>77.990000000000009</v>
      </c>
      <c r="U18" s="948">
        <v>92.505539999999996</v>
      </c>
      <c r="V18" s="948">
        <v>96.626469695380308</v>
      </c>
      <c r="W18" s="948">
        <v>101.53559999999999</v>
      </c>
      <c r="X18" s="948">
        <v>88.485399999999998</v>
      </c>
      <c r="Y18" s="948">
        <v>95.089500000000001</v>
      </c>
      <c r="Z18" s="948">
        <v>99.59429999999999</v>
      </c>
      <c r="AA18" s="948">
        <v>93.142719999999997</v>
      </c>
      <c r="AB18" s="948">
        <v>97.707120000000003</v>
      </c>
      <c r="AC18" s="26" t="s">
        <v>225</v>
      </c>
      <c r="AD18" s="869">
        <f t="shared" si="9"/>
        <v>14.524305074985326</v>
      </c>
      <c r="AE18" s="265">
        <f t="shared" si="9"/>
        <v>14.002486282578877</v>
      </c>
      <c r="AF18" s="265">
        <f t="shared" si="9"/>
        <v>13.957709429380818</v>
      </c>
      <c r="AG18" s="265">
        <f t="shared" si="9"/>
        <v>13.514145281456953</v>
      </c>
      <c r="AH18" s="265">
        <f t="shared" si="9"/>
        <v>14.218778486782135</v>
      </c>
      <c r="AI18" s="265">
        <f t="shared" si="9"/>
        <v>14.222869003690038</v>
      </c>
      <c r="AJ18" s="265">
        <f t="shared" si="9"/>
        <v>14.274851484027227</v>
      </c>
      <c r="AK18" s="265">
        <f t="shared" si="9"/>
        <v>14.770963049170787</v>
      </c>
      <c r="AL18" s="265">
        <f t="shared" si="9"/>
        <v>15.203676975945017</v>
      </c>
      <c r="AM18" s="265">
        <f t="shared" si="9"/>
        <v>15.250922213311949</v>
      </c>
      <c r="AN18" s="265">
        <f t="shared" si="9"/>
        <v>14.983345870317434</v>
      </c>
      <c r="AO18" s="265">
        <f t="shared" si="9"/>
        <v>14.763468061499445</v>
      </c>
      <c r="AP18" s="265">
        <f t="shared" si="9"/>
        <v>14.721579026668676</v>
      </c>
      <c r="AQ18" s="26" t="s">
        <v>225</v>
      </c>
      <c r="AR18" s="871">
        <f t="shared" si="14"/>
        <v>1254489</v>
      </c>
      <c r="AS18" s="162">
        <v>87378</v>
      </c>
      <c r="AT18" s="162">
        <v>86472</v>
      </c>
      <c r="AU18" s="162">
        <v>89036</v>
      </c>
      <c r="AV18" s="162">
        <v>101150</v>
      </c>
      <c r="AW18" s="162">
        <v>107181</v>
      </c>
      <c r="AX18" s="162">
        <v>105428</v>
      </c>
      <c r="AY18" s="162">
        <v>113523</v>
      </c>
      <c r="AZ18" s="162">
        <v>108337</v>
      </c>
      <c r="BA18" s="162">
        <v>99078</v>
      </c>
      <c r="BB18" s="162">
        <v>117236</v>
      </c>
      <c r="BC18" s="162">
        <v>106024</v>
      </c>
      <c r="BD18" s="162">
        <v>133646</v>
      </c>
      <c r="BE18" s="26" t="s">
        <v>225</v>
      </c>
      <c r="BF18" s="867">
        <f t="shared" si="15"/>
        <v>100031.34471937577</v>
      </c>
      <c r="BG18" s="264">
        <v>6615.0033273286617</v>
      </c>
      <c r="BH18" s="264">
        <v>6489.6520768986575</v>
      </c>
      <c r="BI18" s="264">
        <v>6739.1417999999994</v>
      </c>
      <c r="BJ18" s="264">
        <v>7918.3520304201975</v>
      </c>
      <c r="BK18" s="264">
        <v>8701.2235000000001</v>
      </c>
      <c r="BL18" s="264">
        <v>8722.4539999999997</v>
      </c>
      <c r="BM18" s="264">
        <v>8899.7517373312257</v>
      </c>
      <c r="BN18" s="264">
        <v>9442.3165718530327</v>
      </c>
      <c r="BO18" s="264">
        <v>8000.8423373712267</v>
      </c>
      <c r="BP18" s="264">
        <v>9478.8393563040172</v>
      </c>
      <c r="BQ18" s="264">
        <v>8554.6450999999997</v>
      </c>
      <c r="BR18" s="264">
        <v>10469.122881868763</v>
      </c>
      <c r="BS18" s="26" t="s">
        <v>225</v>
      </c>
      <c r="BT18" s="873">
        <f t="shared" si="10"/>
        <v>79.738718091091883</v>
      </c>
      <c r="BU18" s="263">
        <f t="shared" si="10"/>
        <v>75.705593253778545</v>
      </c>
      <c r="BV18" s="263">
        <f t="shared" si="10"/>
        <v>75.049172875597378</v>
      </c>
      <c r="BW18" s="263">
        <f t="shared" si="10"/>
        <v>75.690078170627601</v>
      </c>
      <c r="BX18" s="263">
        <f t="shared" si="10"/>
        <v>78.283262782206592</v>
      </c>
      <c r="BY18" s="263">
        <f t="shared" si="10"/>
        <v>81.182518356798312</v>
      </c>
      <c r="BZ18" s="263">
        <f t="shared" si="10"/>
        <v>82.73375194445498</v>
      </c>
      <c r="CA18" s="263">
        <f t="shared" si="10"/>
        <v>78.396023161220427</v>
      </c>
      <c r="CB18" s="263">
        <f t="shared" si="10"/>
        <v>87.156895352954507</v>
      </c>
      <c r="CC18" s="263">
        <f t="shared" si="10"/>
        <v>80.752965717628797</v>
      </c>
      <c r="CD18" s="263">
        <f t="shared" si="10"/>
        <v>80.852633630489066</v>
      </c>
      <c r="CE18" s="263">
        <f t="shared" si="10"/>
        <v>80.685930544027769</v>
      </c>
      <c r="CF18" s="263">
        <f t="shared" si="10"/>
        <v>78.334726679951245</v>
      </c>
      <c r="CG18" s="26" t="s">
        <v>225</v>
      </c>
      <c r="CH18" s="867">
        <f t="shared" si="16"/>
        <v>352782</v>
      </c>
      <c r="CI18" s="264">
        <v>29697</v>
      </c>
      <c r="CJ18" s="264">
        <v>27725</v>
      </c>
      <c r="CK18" s="264">
        <v>28163</v>
      </c>
      <c r="CL18" s="264">
        <v>31190</v>
      </c>
      <c r="CM18" s="264">
        <v>32775</v>
      </c>
      <c r="CN18" s="264">
        <v>25434</v>
      </c>
      <c r="CO18" s="264">
        <v>30631</v>
      </c>
      <c r="CP18" s="264">
        <v>30937</v>
      </c>
      <c r="CQ18" s="264">
        <v>29290</v>
      </c>
      <c r="CR18" s="264">
        <v>29699</v>
      </c>
      <c r="CS18" s="264">
        <v>28896</v>
      </c>
      <c r="CT18" s="264">
        <v>28345</v>
      </c>
      <c r="CU18" s="26" t="s">
        <v>225</v>
      </c>
      <c r="CV18" s="867">
        <f t="shared" si="17"/>
        <v>87453.031407052884</v>
      </c>
      <c r="CW18" s="264">
        <v>7149.4714999999997</v>
      </c>
      <c r="CX18" s="264">
        <v>6719.9430000000002</v>
      </c>
      <c r="CY18" s="264">
        <v>6923.529199999999</v>
      </c>
      <c r="CZ18" s="264">
        <v>7672.4135000000006</v>
      </c>
      <c r="DA18" s="264">
        <v>7781.5325000000003</v>
      </c>
      <c r="DB18" s="264">
        <v>6531.0427070528831</v>
      </c>
      <c r="DC18" s="264">
        <v>7689.5245000000004</v>
      </c>
      <c r="DD18" s="264">
        <v>7676.6441999999997</v>
      </c>
      <c r="DE18" s="264">
        <v>7341.4015999999992</v>
      </c>
      <c r="DF18" s="264">
        <v>7509.4119999999994</v>
      </c>
      <c r="DG18" s="264">
        <v>7229.9007000000001</v>
      </c>
      <c r="DH18" s="264">
        <v>7228.2159999999994</v>
      </c>
      <c r="DI18" s="26" t="s">
        <v>225</v>
      </c>
      <c r="DJ18" s="873">
        <f t="shared" si="11"/>
        <v>247.895389807453</v>
      </c>
      <c r="DK18" s="263">
        <f t="shared" si="11"/>
        <v>240.74726403340404</v>
      </c>
      <c r="DL18" s="263">
        <f t="shared" si="11"/>
        <v>242.37846708746619</v>
      </c>
      <c r="DM18" s="263">
        <f t="shared" si="11"/>
        <v>245.83777296452789</v>
      </c>
      <c r="DN18" s="263">
        <f t="shared" si="11"/>
        <v>245.98953190125042</v>
      </c>
      <c r="DO18" s="263">
        <f t="shared" si="11"/>
        <v>237.42280701754387</v>
      </c>
      <c r="DP18" s="263">
        <f t="shared" si="11"/>
        <v>256.78393909935062</v>
      </c>
      <c r="DQ18" s="263">
        <f t="shared" si="11"/>
        <v>251.03733146159124</v>
      </c>
      <c r="DR18" s="263">
        <f t="shared" si="11"/>
        <v>248.13796424992725</v>
      </c>
      <c r="DS18" s="263">
        <f t="shared" si="11"/>
        <v>250.64532604984635</v>
      </c>
      <c r="DT18" s="263">
        <f t="shared" si="11"/>
        <v>252.85066837267246</v>
      </c>
      <c r="DU18" s="263">
        <f t="shared" si="11"/>
        <v>250.20420473421927</v>
      </c>
      <c r="DV18" s="263">
        <f t="shared" si="11"/>
        <v>255.00850238137235</v>
      </c>
    </row>
    <row r="19" spans="1:126" ht="16" customHeight="1">
      <c r="A19" s="26" t="s">
        <v>226</v>
      </c>
      <c r="B19" s="867">
        <f t="shared" si="12"/>
        <v>1551.8446601941748</v>
      </c>
      <c r="C19" s="264">
        <v>156</v>
      </c>
      <c r="D19" s="264">
        <v>145</v>
      </c>
      <c r="E19" s="264">
        <v>134</v>
      </c>
      <c r="F19" s="264">
        <v>92</v>
      </c>
      <c r="G19" s="264">
        <v>114</v>
      </c>
      <c r="H19" s="264">
        <v>119</v>
      </c>
      <c r="I19" s="264">
        <v>138</v>
      </c>
      <c r="J19" s="264">
        <v>192</v>
      </c>
      <c r="K19" s="264">
        <v>130</v>
      </c>
      <c r="L19" s="264">
        <v>111</v>
      </c>
      <c r="M19" s="264">
        <v>109</v>
      </c>
      <c r="N19" s="264">
        <v>111.84466019417476</v>
      </c>
      <c r="O19" s="950" t="s">
        <v>226</v>
      </c>
      <c r="P19" s="949">
        <f t="shared" si="13"/>
        <v>20.093373332272453</v>
      </c>
      <c r="Q19" s="948">
        <v>1.1200000000000001</v>
      </c>
      <c r="R19" s="948">
        <v>1.2320000000000002</v>
      </c>
      <c r="S19" s="948">
        <v>1.1439999999999999</v>
      </c>
      <c r="T19" s="948">
        <v>0.9</v>
      </c>
      <c r="U19" s="948">
        <v>1.403</v>
      </c>
      <c r="V19" s="948">
        <v>1.5299999999999998</v>
      </c>
      <c r="W19" s="948">
        <v>1.9690000000000001</v>
      </c>
      <c r="X19" s="948">
        <v>2.81</v>
      </c>
      <c r="Y19" s="948">
        <v>2.077</v>
      </c>
      <c r="Z19" s="948">
        <v>1.9159999999999999</v>
      </c>
      <c r="AA19" s="948">
        <v>2.0560708696858989</v>
      </c>
      <c r="AB19" s="948">
        <v>1.9363024625865535</v>
      </c>
      <c r="AC19" s="26" t="s">
        <v>226</v>
      </c>
      <c r="AD19" s="869">
        <f t="shared" si="9"/>
        <v>12.948057139790182</v>
      </c>
      <c r="AE19" s="265">
        <f t="shared" si="9"/>
        <v>7.1794871794871806</v>
      </c>
      <c r="AF19" s="265">
        <f t="shared" si="9"/>
        <v>8.496551724137932</v>
      </c>
      <c r="AG19" s="265">
        <f t="shared" si="9"/>
        <v>8.5373134328358198</v>
      </c>
      <c r="AH19" s="265">
        <f t="shared" si="9"/>
        <v>9.7826086956521738</v>
      </c>
      <c r="AI19" s="265">
        <f t="shared" si="9"/>
        <v>12.307017543859651</v>
      </c>
      <c r="AJ19" s="265">
        <f t="shared" si="9"/>
        <v>12.857142857142856</v>
      </c>
      <c r="AK19" s="265">
        <f t="shared" si="9"/>
        <v>14.268115942028986</v>
      </c>
      <c r="AL19" s="265">
        <f t="shared" si="9"/>
        <v>14.635416666666666</v>
      </c>
      <c r="AM19" s="265">
        <f t="shared" si="9"/>
        <v>15.976923076923075</v>
      </c>
      <c r="AN19" s="265">
        <f t="shared" si="9"/>
        <v>17.261261261261261</v>
      </c>
      <c r="AO19" s="265">
        <f t="shared" si="9"/>
        <v>18.863035501705493</v>
      </c>
      <c r="AP19" s="265">
        <f t="shared" si="9"/>
        <v>17.312426531806857</v>
      </c>
      <c r="AQ19" s="26" t="s">
        <v>226</v>
      </c>
      <c r="AR19" s="871">
        <f t="shared" si="14"/>
        <v>19331.64993804213</v>
      </c>
      <c r="AS19" s="162">
        <v>1540</v>
      </c>
      <c r="AT19" s="162">
        <v>1636</v>
      </c>
      <c r="AU19" s="162">
        <v>1765</v>
      </c>
      <c r="AV19" s="162">
        <v>1652</v>
      </c>
      <c r="AW19" s="162">
        <v>1684</v>
      </c>
      <c r="AX19" s="162">
        <v>1579</v>
      </c>
      <c r="AY19" s="162">
        <v>1430</v>
      </c>
      <c r="AZ19" s="162">
        <v>1472.5</v>
      </c>
      <c r="BA19" s="162">
        <v>1366</v>
      </c>
      <c r="BB19" s="162">
        <v>1416</v>
      </c>
      <c r="BC19" s="162">
        <v>1347</v>
      </c>
      <c r="BD19" s="162">
        <v>2444.149938042131</v>
      </c>
      <c r="BE19" s="26" t="s">
        <v>226</v>
      </c>
      <c r="BF19" s="867">
        <f t="shared" si="15"/>
        <v>1434.7571013109691</v>
      </c>
      <c r="BG19" s="264">
        <v>109.58840000000001</v>
      </c>
      <c r="BH19" s="264">
        <v>118.27600000000001</v>
      </c>
      <c r="BI19" s="264">
        <v>126.3944</v>
      </c>
      <c r="BJ19" s="264">
        <v>123.60239999999999</v>
      </c>
      <c r="BK19" s="264">
        <v>124.0094</v>
      </c>
      <c r="BL19" s="264">
        <v>119.21299999999999</v>
      </c>
      <c r="BM19" s="264">
        <v>111.2436</v>
      </c>
      <c r="BN19" s="264">
        <v>115.982</v>
      </c>
      <c r="BO19" s="264">
        <v>107.57339999999999</v>
      </c>
      <c r="BP19" s="264">
        <v>103.024</v>
      </c>
      <c r="BQ19" s="264">
        <v>108.38476445419283</v>
      </c>
      <c r="BR19" s="264">
        <v>167.46573685677652</v>
      </c>
      <c r="BS19" s="26" t="s">
        <v>226</v>
      </c>
      <c r="BT19" s="873">
        <f t="shared" si="10"/>
        <v>74.218036531251116</v>
      </c>
      <c r="BU19" s="263">
        <f t="shared" si="10"/>
        <v>71.161298701298705</v>
      </c>
      <c r="BV19" s="263">
        <f t="shared" si="10"/>
        <v>72.295843520782398</v>
      </c>
      <c r="BW19" s="263">
        <f t="shared" si="10"/>
        <v>71.611558073654393</v>
      </c>
      <c r="BX19" s="263">
        <f t="shared" si="10"/>
        <v>74.819854721549632</v>
      </c>
      <c r="BY19" s="263">
        <f t="shared" si="10"/>
        <v>73.639786223277909</v>
      </c>
      <c r="BZ19" s="263">
        <f t="shared" si="10"/>
        <v>75.499050031665618</v>
      </c>
      <c r="CA19" s="263">
        <f t="shared" si="10"/>
        <v>77.792727272727276</v>
      </c>
      <c r="CB19" s="263">
        <f t="shared" si="10"/>
        <v>78.765365025466892</v>
      </c>
      <c r="CC19" s="263">
        <f t="shared" si="10"/>
        <v>78.750658857979488</v>
      </c>
      <c r="CD19" s="263">
        <f t="shared" si="10"/>
        <v>72.757062146892665</v>
      </c>
      <c r="CE19" s="263">
        <f t="shared" si="10"/>
        <v>80.463819193907071</v>
      </c>
      <c r="CF19" s="263">
        <f t="shared" si="10"/>
        <v>68.516965448905211</v>
      </c>
      <c r="CG19" s="26" t="s">
        <v>226</v>
      </c>
      <c r="CH19" s="867">
        <f t="shared" si="16"/>
        <v>24233.51959966639</v>
      </c>
      <c r="CI19" s="264">
        <v>2333</v>
      </c>
      <c r="CJ19" s="264">
        <v>2100</v>
      </c>
      <c r="CK19" s="264">
        <v>2130</v>
      </c>
      <c r="CL19" s="264">
        <v>2356</v>
      </c>
      <c r="CM19" s="264">
        <v>2314</v>
      </c>
      <c r="CN19" s="264">
        <v>2117</v>
      </c>
      <c r="CO19" s="264">
        <v>1950</v>
      </c>
      <c r="CP19" s="264">
        <v>2059</v>
      </c>
      <c r="CQ19" s="264">
        <v>1969</v>
      </c>
      <c r="CR19" s="264">
        <v>1564</v>
      </c>
      <c r="CS19" s="264">
        <v>1911</v>
      </c>
      <c r="CT19" s="264">
        <v>1430.5195996663888</v>
      </c>
      <c r="CU19" s="26" t="s">
        <v>226</v>
      </c>
      <c r="CV19" s="867">
        <f t="shared" si="17"/>
        <v>3952.9296442305899</v>
      </c>
      <c r="CW19" s="264">
        <v>374.041</v>
      </c>
      <c r="CX19" s="264">
        <v>336.435</v>
      </c>
      <c r="CY19" s="264">
        <v>341.16700000000003</v>
      </c>
      <c r="CZ19" s="264">
        <v>382.767</v>
      </c>
      <c r="DA19" s="264">
        <v>353.79500000000002</v>
      </c>
      <c r="DB19" s="264">
        <v>334.03</v>
      </c>
      <c r="DC19" s="264">
        <v>319.21799999999996</v>
      </c>
      <c r="DD19" s="264">
        <v>306.23399999999998</v>
      </c>
      <c r="DE19" s="264">
        <v>306.39449999999999</v>
      </c>
      <c r="DF19" s="264">
        <v>303.40449999999998</v>
      </c>
      <c r="DG19" s="264">
        <v>303.45724130322355</v>
      </c>
      <c r="DH19" s="264">
        <v>291.98640292736627</v>
      </c>
      <c r="DI19" s="26" t="s">
        <v>226</v>
      </c>
      <c r="DJ19" s="873">
        <f t="shared" si="11"/>
        <v>163.11826385652242</v>
      </c>
      <c r="DK19" s="263">
        <f t="shared" si="11"/>
        <v>160.3261894556365</v>
      </c>
      <c r="DL19" s="263">
        <f t="shared" si="11"/>
        <v>160.20714285714286</v>
      </c>
      <c r="DM19" s="263">
        <f t="shared" si="11"/>
        <v>160.17230046948359</v>
      </c>
      <c r="DN19" s="263">
        <f t="shared" si="11"/>
        <v>162.46477079796264</v>
      </c>
      <c r="DO19" s="263">
        <f t="shared" si="11"/>
        <v>152.8932584269663</v>
      </c>
      <c r="DP19" s="263">
        <f t="shared" si="11"/>
        <v>157.78460085025978</v>
      </c>
      <c r="DQ19" s="263">
        <f t="shared" si="11"/>
        <v>163.70153846153846</v>
      </c>
      <c r="DR19" s="263">
        <f t="shared" si="11"/>
        <v>148.72948033025739</v>
      </c>
      <c r="DS19" s="263">
        <f t="shared" si="11"/>
        <v>155.60919248349416</v>
      </c>
      <c r="DT19" s="263">
        <f t="shared" si="11"/>
        <v>193.99264705882351</v>
      </c>
      <c r="DU19" s="263">
        <f t="shared" si="11"/>
        <v>158.79499806552778</v>
      </c>
      <c r="DV19" s="263">
        <f t="shared" si="11"/>
        <v>204.11213030248615</v>
      </c>
    </row>
    <row r="20" spans="1:126" ht="16" customHeight="1">
      <c r="A20" s="26" t="s">
        <v>227</v>
      </c>
      <c r="B20" s="867">
        <f t="shared" si="12"/>
        <v>34446</v>
      </c>
      <c r="C20" s="264">
        <v>3689</v>
      </c>
      <c r="D20" s="264">
        <v>3031</v>
      </c>
      <c r="E20" s="264">
        <v>3228</v>
      </c>
      <c r="F20" s="264">
        <v>2833</v>
      </c>
      <c r="G20" s="264">
        <v>3713</v>
      </c>
      <c r="H20" s="264">
        <v>3414</v>
      </c>
      <c r="I20" s="264">
        <v>4389</v>
      </c>
      <c r="J20" s="264">
        <v>3542</v>
      </c>
      <c r="K20" s="264">
        <v>2516</v>
      </c>
      <c r="L20" s="264">
        <v>1092</v>
      </c>
      <c r="M20" s="264">
        <v>1229</v>
      </c>
      <c r="N20" s="264">
        <v>1770</v>
      </c>
      <c r="O20" s="950" t="s">
        <v>227</v>
      </c>
      <c r="P20" s="949">
        <f t="shared" si="13"/>
        <v>540.58207999999991</v>
      </c>
      <c r="Q20" s="948">
        <v>48.565309999999997</v>
      </c>
      <c r="R20" s="948">
        <v>41.311970000000002</v>
      </c>
      <c r="S20" s="948">
        <v>43.722200000000001</v>
      </c>
      <c r="T20" s="948">
        <v>40.222499999999997</v>
      </c>
      <c r="U20" s="948">
        <v>67.071100000000001</v>
      </c>
      <c r="V20" s="948">
        <v>49.333600000000004</v>
      </c>
      <c r="W20" s="948">
        <v>77.201300000000003</v>
      </c>
      <c r="X20" s="948">
        <v>63.824800000000003</v>
      </c>
      <c r="Y20" s="948">
        <v>43.440100000000001</v>
      </c>
      <c r="Z20" s="948">
        <v>18.849299999999999</v>
      </c>
      <c r="AA20" s="948">
        <v>19.736799999999999</v>
      </c>
      <c r="AB20" s="948">
        <v>27.303100000000001</v>
      </c>
      <c r="AC20" s="26" t="s">
        <v>227</v>
      </c>
      <c r="AD20" s="869">
        <f t="shared" si="9"/>
        <v>15.693609707948669</v>
      </c>
      <c r="AE20" s="265">
        <f t="shared" si="9"/>
        <v>13.164898346435347</v>
      </c>
      <c r="AF20" s="265">
        <f t="shared" si="9"/>
        <v>13.629815242494228</v>
      </c>
      <c r="AG20" s="265">
        <f t="shared" si="9"/>
        <v>13.544671623296159</v>
      </c>
      <c r="AH20" s="265">
        <f t="shared" si="9"/>
        <v>14.197846805506529</v>
      </c>
      <c r="AI20" s="265">
        <f t="shared" si="9"/>
        <v>18.063856719633719</v>
      </c>
      <c r="AJ20" s="265">
        <f t="shared" si="9"/>
        <v>14.450380785002929</v>
      </c>
      <c r="AK20" s="265">
        <f t="shared" si="9"/>
        <v>17.589724310776944</v>
      </c>
      <c r="AL20" s="265">
        <f t="shared" si="9"/>
        <v>18.019424054206663</v>
      </c>
      <c r="AM20" s="265">
        <f t="shared" si="9"/>
        <v>17.265540540540542</v>
      </c>
      <c r="AN20" s="265">
        <f t="shared" si="9"/>
        <v>17.261263736263736</v>
      </c>
      <c r="AO20" s="265">
        <f t="shared" si="9"/>
        <v>16.059235150528881</v>
      </c>
      <c r="AP20" s="265">
        <f t="shared" si="9"/>
        <v>15.4254802259887</v>
      </c>
      <c r="AQ20" s="26" t="s">
        <v>227</v>
      </c>
      <c r="AR20" s="871">
        <f t="shared" si="14"/>
        <v>85817</v>
      </c>
      <c r="AS20" s="162">
        <v>3691</v>
      </c>
      <c r="AT20" s="162">
        <v>2903</v>
      </c>
      <c r="AU20" s="162">
        <v>8884</v>
      </c>
      <c r="AV20" s="162">
        <v>8744</v>
      </c>
      <c r="AW20" s="162">
        <v>10169</v>
      </c>
      <c r="AX20" s="162">
        <v>10867</v>
      </c>
      <c r="AY20" s="162">
        <v>10543</v>
      </c>
      <c r="AZ20" s="162">
        <v>10083</v>
      </c>
      <c r="BA20" s="162">
        <v>6865</v>
      </c>
      <c r="BB20" s="162">
        <v>3841</v>
      </c>
      <c r="BC20" s="162">
        <v>3889</v>
      </c>
      <c r="BD20" s="162">
        <v>5338</v>
      </c>
      <c r="BE20" s="26" t="s">
        <v>227</v>
      </c>
      <c r="BF20" s="867">
        <f t="shared" si="15"/>
        <v>3250.0728999999997</v>
      </c>
      <c r="BG20" s="264">
        <v>139.56494000000001</v>
      </c>
      <c r="BH20" s="264">
        <v>111.71346</v>
      </c>
      <c r="BI20" s="264">
        <v>334.81949999999995</v>
      </c>
      <c r="BJ20" s="264">
        <v>333.48699999999997</v>
      </c>
      <c r="BK20" s="264">
        <v>385.84399999999999</v>
      </c>
      <c r="BL20" s="264">
        <v>411.41300000000001</v>
      </c>
      <c r="BM20" s="264">
        <v>394.51800000000003</v>
      </c>
      <c r="BN20" s="264">
        <v>376.846</v>
      </c>
      <c r="BO20" s="264">
        <v>261.99699999999996</v>
      </c>
      <c r="BP20" s="264">
        <v>149.285</v>
      </c>
      <c r="BQ20" s="264">
        <v>147.49200000000002</v>
      </c>
      <c r="BR20" s="264">
        <v>203.09299999999999</v>
      </c>
      <c r="BS20" s="26" t="s">
        <v>227</v>
      </c>
      <c r="BT20" s="873">
        <f t="shared" si="10"/>
        <v>37.872133726417836</v>
      </c>
      <c r="BU20" s="263">
        <f t="shared" si="10"/>
        <v>37.812229748035769</v>
      </c>
      <c r="BV20" s="263">
        <f t="shared" si="10"/>
        <v>38.482073716844646</v>
      </c>
      <c r="BW20" s="263">
        <f t="shared" si="10"/>
        <v>37.687922107158933</v>
      </c>
      <c r="BX20" s="263">
        <f t="shared" si="10"/>
        <v>38.138952424519665</v>
      </c>
      <c r="BY20" s="263">
        <f t="shared" si="10"/>
        <v>37.943160586094997</v>
      </c>
      <c r="BZ20" s="263">
        <f t="shared" si="10"/>
        <v>37.858930707647005</v>
      </c>
      <c r="CA20" s="263">
        <f t="shared" si="10"/>
        <v>37.41989945935692</v>
      </c>
      <c r="CB20" s="263">
        <f t="shared" si="10"/>
        <v>37.37439254190221</v>
      </c>
      <c r="CC20" s="263">
        <f t="shared" si="10"/>
        <v>38.164166059723229</v>
      </c>
      <c r="CD20" s="263">
        <f t="shared" si="10"/>
        <v>38.866180682114035</v>
      </c>
      <c r="CE20" s="263">
        <f t="shared" si="10"/>
        <v>37.925430701979948</v>
      </c>
      <c r="CF20" s="263">
        <f t="shared" si="10"/>
        <v>38.046646684151362</v>
      </c>
      <c r="CG20" s="26" t="s">
        <v>227</v>
      </c>
      <c r="CH20" s="867">
        <f>SUM(CI20:CT20)</f>
        <v>28509</v>
      </c>
      <c r="CI20" s="264">
        <v>2962</v>
      </c>
      <c r="CJ20" s="264">
        <v>2788</v>
      </c>
      <c r="CK20" s="264">
        <v>2633</v>
      </c>
      <c r="CL20" s="264">
        <v>2477</v>
      </c>
      <c r="CM20" s="264">
        <v>2510</v>
      </c>
      <c r="CN20" s="264">
        <v>2701</v>
      </c>
      <c r="CO20" s="264">
        <v>2906</v>
      </c>
      <c r="CP20" s="264">
        <v>2781</v>
      </c>
      <c r="CQ20" s="264">
        <v>2288</v>
      </c>
      <c r="CR20" s="264">
        <v>1426</v>
      </c>
      <c r="CS20" s="264">
        <v>1442</v>
      </c>
      <c r="CT20" s="264">
        <v>1595</v>
      </c>
      <c r="CU20" s="26" t="s">
        <v>227</v>
      </c>
      <c r="CV20" s="867">
        <f t="shared" si="17"/>
        <v>3801.0503400000002</v>
      </c>
      <c r="CW20" s="264">
        <v>381.74644999999998</v>
      </c>
      <c r="CX20" s="264">
        <v>371.05789000000004</v>
      </c>
      <c r="CY20" s="264">
        <v>354.30899999999997</v>
      </c>
      <c r="CZ20" s="264">
        <v>331.78199999999998</v>
      </c>
      <c r="DA20" s="264">
        <v>332.71199999999999</v>
      </c>
      <c r="DB20" s="264">
        <v>357.15699999999998</v>
      </c>
      <c r="DC20" s="264">
        <v>382.14</v>
      </c>
      <c r="DD20" s="264">
        <v>366.90899999999999</v>
      </c>
      <c r="DE20" s="264">
        <v>307.48500000000001</v>
      </c>
      <c r="DF20" s="264">
        <v>201.06800000000001</v>
      </c>
      <c r="DG20" s="264">
        <v>197.244</v>
      </c>
      <c r="DH20" s="264">
        <v>217.44</v>
      </c>
      <c r="DI20" s="26" t="s">
        <v>227</v>
      </c>
      <c r="DJ20" s="873">
        <f t="shared" si="11"/>
        <v>133.32808376302222</v>
      </c>
      <c r="DK20" s="263">
        <f t="shared" si="11"/>
        <v>128.8813133018231</v>
      </c>
      <c r="DL20" s="263">
        <f t="shared" si="11"/>
        <v>133.09106527977048</v>
      </c>
      <c r="DM20" s="263">
        <f t="shared" si="11"/>
        <v>134.56475503228253</v>
      </c>
      <c r="DN20" s="263">
        <f t="shared" si="11"/>
        <v>133.94509487283003</v>
      </c>
      <c r="DO20" s="263">
        <f t="shared" si="11"/>
        <v>132.55458167330679</v>
      </c>
      <c r="DP20" s="263">
        <f t="shared" si="11"/>
        <v>132.23139577934097</v>
      </c>
      <c r="DQ20" s="263">
        <f t="shared" si="11"/>
        <v>131.50034411562282</v>
      </c>
      <c r="DR20" s="263">
        <f t="shared" si="11"/>
        <v>131.9341963322546</v>
      </c>
      <c r="DS20" s="263">
        <f t="shared" si="11"/>
        <v>134.39029720279723</v>
      </c>
      <c r="DT20" s="263">
        <f t="shared" si="11"/>
        <v>141.00140252454418</v>
      </c>
      <c r="DU20" s="263">
        <f t="shared" si="11"/>
        <v>136.78502080443826</v>
      </c>
      <c r="DV20" s="263">
        <f t="shared" si="11"/>
        <v>136.32601880877743</v>
      </c>
    </row>
    <row r="21" spans="1:126" ht="16" customHeight="1">
      <c r="A21" s="26" t="s">
        <v>228</v>
      </c>
      <c r="B21" s="867">
        <f t="shared" si="12"/>
        <v>73556</v>
      </c>
      <c r="C21" s="264">
        <v>8433</v>
      </c>
      <c r="D21" s="264">
        <v>7435</v>
      </c>
      <c r="E21" s="264">
        <v>223</v>
      </c>
      <c r="F21" s="264">
        <v>7604</v>
      </c>
      <c r="G21" s="264">
        <v>8558</v>
      </c>
      <c r="H21" s="264">
        <v>7844</v>
      </c>
      <c r="I21" s="264">
        <v>7445</v>
      </c>
      <c r="J21" s="264">
        <v>6038</v>
      </c>
      <c r="K21" s="264">
        <v>4255</v>
      </c>
      <c r="L21" s="264">
        <v>4505</v>
      </c>
      <c r="M21" s="264">
        <v>4228</v>
      </c>
      <c r="N21" s="264">
        <v>6988</v>
      </c>
      <c r="O21" s="950" t="s">
        <v>228</v>
      </c>
      <c r="P21" s="949">
        <f t="shared" si="13"/>
        <v>798.16499999999996</v>
      </c>
      <c r="Q21" s="948">
        <v>76.411000000000001</v>
      </c>
      <c r="R21" s="948">
        <v>67.921999999999997</v>
      </c>
      <c r="S21" s="948">
        <v>3.3839999999999999</v>
      </c>
      <c r="T21" s="948">
        <v>70.893000000000001</v>
      </c>
      <c r="U21" s="948">
        <v>79.138000000000005</v>
      </c>
      <c r="V21" s="948">
        <v>73.192999999999998</v>
      </c>
      <c r="W21" s="948">
        <v>84.15</v>
      </c>
      <c r="X21" s="948">
        <v>86.605999999999995</v>
      </c>
      <c r="Y21" s="948">
        <v>54.347999999999999</v>
      </c>
      <c r="Z21" s="948">
        <v>58.038499999999999</v>
      </c>
      <c r="AA21" s="948">
        <v>54.091499999999996</v>
      </c>
      <c r="AB21" s="948">
        <v>89.99</v>
      </c>
      <c r="AC21" s="26" t="s">
        <v>228</v>
      </c>
      <c r="AD21" s="869">
        <f t="shared" si="9"/>
        <v>10.851120234923052</v>
      </c>
      <c r="AE21" s="265">
        <f t="shared" si="9"/>
        <v>9.0609510257322423</v>
      </c>
      <c r="AF21" s="265">
        <f t="shared" si="9"/>
        <v>9.1354404841963692</v>
      </c>
      <c r="AG21" s="265">
        <f t="shared" si="9"/>
        <v>15.174887892376681</v>
      </c>
      <c r="AH21" s="265">
        <f t="shared" si="9"/>
        <v>9.3231194108364033</v>
      </c>
      <c r="AI21" s="265">
        <f t="shared" si="9"/>
        <v>9.2472540313157285</v>
      </c>
      <c r="AJ21" s="265">
        <f t="shared" si="9"/>
        <v>9.3310810810810807</v>
      </c>
      <c r="AK21" s="265">
        <f t="shared" si="9"/>
        <v>11.302887844190732</v>
      </c>
      <c r="AL21" s="265">
        <f t="shared" si="9"/>
        <v>14.343491222259026</v>
      </c>
      <c r="AM21" s="265">
        <f t="shared" si="9"/>
        <v>12.772737955346651</v>
      </c>
      <c r="AN21" s="265">
        <f t="shared" si="9"/>
        <v>12.883129855715872</v>
      </c>
      <c r="AO21" s="265">
        <f t="shared" si="9"/>
        <v>12.79363765373699</v>
      </c>
      <c r="AP21" s="265">
        <f t="shared" si="9"/>
        <v>12.877790497996564</v>
      </c>
      <c r="AQ21" s="26" t="s">
        <v>228</v>
      </c>
      <c r="AR21" s="871">
        <f t="shared" si="14"/>
        <v>6853</v>
      </c>
      <c r="AS21" s="162">
        <v>892</v>
      </c>
      <c r="AT21" s="162">
        <v>934</v>
      </c>
      <c r="AU21" s="162">
        <v>208</v>
      </c>
      <c r="AV21" s="162">
        <v>715</v>
      </c>
      <c r="AW21" s="162">
        <v>178</v>
      </c>
      <c r="AX21" s="162">
        <v>167</v>
      </c>
      <c r="AY21" s="162">
        <v>866</v>
      </c>
      <c r="AZ21" s="162">
        <v>836</v>
      </c>
      <c r="BA21" s="162">
        <v>430</v>
      </c>
      <c r="BB21" s="162">
        <v>702</v>
      </c>
      <c r="BC21" s="162">
        <v>486</v>
      </c>
      <c r="BD21" s="162">
        <v>439</v>
      </c>
      <c r="BE21" s="26" t="s">
        <v>228</v>
      </c>
      <c r="BF21" s="867">
        <f t="shared" si="15"/>
        <v>288.87450000000001</v>
      </c>
      <c r="BG21" s="264">
        <v>37.415999999999997</v>
      </c>
      <c r="BH21" s="264">
        <v>36.850999999999999</v>
      </c>
      <c r="BI21" s="264">
        <v>13.256</v>
      </c>
      <c r="BJ21" s="264">
        <v>28.744999999999997</v>
      </c>
      <c r="BK21" s="264">
        <v>9.4600000000000009</v>
      </c>
      <c r="BL21" s="264">
        <v>8.9749999999999996</v>
      </c>
      <c r="BM21" s="264">
        <v>35.122</v>
      </c>
      <c r="BN21" s="264">
        <v>35.090000000000003</v>
      </c>
      <c r="BO21" s="264">
        <v>19.4815</v>
      </c>
      <c r="BP21" s="264">
        <v>30.204999999999998</v>
      </c>
      <c r="BQ21" s="264">
        <v>18.060000000000002</v>
      </c>
      <c r="BR21" s="264">
        <v>16.213000000000001</v>
      </c>
      <c r="BS21" s="26" t="s">
        <v>228</v>
      </c>
      <c r="BT21" s="873">
        <f t="shared" si="10"/>
        <v>42.15299868670656</v>
      </c>
      <c r="BU21" s="263">
        <f t="shared" si="10"/>
        <v>41.946188340807169</v>
      </c>
      <c r="BV21" s="263">
        <f t="shared" si="10"/>
        <v>39.455032119914343</v>
      </c>
      <c r="BW21" s="263">
        <f t="shared" si="10"/>
        <v>63.730769230769226</v>
      </c>
      <c r="BX21" s="263">
        <f t="shared" si="10"/>
        <v>40.2027972027972</v>
      </c>
      <c r="BY21" s="263">
        <f t="shared" si="10"/>
        <v>53.146067415730343</v>
      </c>
      <c r="BZ21" s="263">
        <f t="shared" si="10"/>
        <v>53.742514970059879</v>
      </c>
      <c r="CA21" s="263">
        <f t="shared" si="10"/>
        <v>40.556581986143186</v>
      </c>
      <c r="CB21" s="263">
        <f t="shared" si="10"/>
        <v>41.973684210526322</v>
      </c>
      <c r="CC21" s="263">
        <f t="shared" si="10"/>
        <v>45.305813953488375</v>
      </c>
      <c r="CD21" s="263">
        <f t="shared" si="10"/>
        <v>43.027065527065524</v>
      </c>
      <c r="CE21" s="263">
        <f t="shared" si="10"/>
        <v>37.160493827160494</v>
      </c>
      <c r="CF21" s="263">
        <f t="shared" si="10"/>
        <v>36.931662870159457</v>
      </c>
      <c r="CG21" s="26" t="s">
        <v>228</v>
      </c>
      <c r="CH21" s="867">
        <f t="shared" si="16"/>
        <v>4137</v>
      </c>
      <c r="CI21" s="264">
        <v>518</v>
      </c>
      <c r="CJ21" s="264">
        <v>504</v>
      </c>
      <c r="CK21" s="264">
        <v>436</v>
      </c>
      <c r="CL21" s="264">
        <v>412</v>
      </c>
      <c r="CM21" s="264">
        <v>372</v>
      </c>
      <c r="CN21" s="264">
        <v>425</v>
      </c>
      <c r="CO21" s="264">
        <v>348</v>
      </c>
      <c r="CP21" s="264">
        <v>307</v>
      </c>
      <c r="CQ21" s="264">
        <v>201</v>
      </c>
      <c r="CR21" s="264">
        <v>313</v>
      </c>
      <c r="CS21" s="264">
        <v>216</v>
      </c>
      <c r="CT21" s="264">
        <v>85</v>
      </c>
      <c r="CU21" s="26" t="s">
        <v>228</v>
      </c>
      <c r="CV21" s="867">
        <f t="shared" si="17"/>
        <v>858.96280000000002</v>
      </c>
      <c r="CW21" s="264">
        <v>104.61799999999999</v>
      </c>
      <c r="CX21" s="264">
        <v>103.319</v>
      </c>
      <c r="CY21" s="264">
        <v>94.447000000000003</v>
      </c>
      <c r="CZ21" s="264">
        <v>88.088999999999999</v>
      </c>
      <c r="DA21" s="264">
        <v>79.908000000000001</v>
      </c>
      <c r="DB21" s="264">
        <v>88.873799999999989</v>
      </c>
      <c r="DC21" s="264">
        <v>74.350999999999999</v>
      </c>
      <c r="DD21" s="264">
        <v>63.402000000000001</v>
      </c>
      <c r="DE21" s="264">
        <v>40.027000000000001</v>
      </c>
      <c r="DF21" s="264">
        <v>63.655999999999999</v>
      </c>
      <c r="DG21" s="264">
        <v>45.93</v>
      </c>
      <c r="DH21" s="264">
        <v>12.341999999999999</v>
      </c>
      <c r="DI21" s="26" t="s">
        <v>228</v>
      </c>
      <c r="DJ21" s="873">
        <f t="shared" si="11"/>
        <v>207.62939328015469</v>
      </c>
      <c r="DK21" s="263">
        <f t="shared" si="11"/>
        <v>201.96525096525096</v>
      </c>
      <c r="DL21" s="263">
        <f t="shared" si="11"/>
        <v>204.99801587301587</v>
      </c>
      <c r="DM21" s="263">
        <f t="shared" si="11"/>
        <v>216.62155963302754</v>
      </c>
      <c r="DN21" s="263">
        <f t="shared" si="11"/>
        <v>213.80825242718447</v>
      </c>
      <c r="DO21" s="263">
        <f t="shared" si="11"/>
        <v>214.80645161290323</v>
      </c>
      <c r="DP21" s="263">
        <f t="shared" si="11"/>
        <v>209.11482352941175</v>
      </c>
      <c r="DQ21" s="263">
        <f t="shared" si="11"/>
        <v>213.65229885057471</v>
      </c>
      <c r="DR21" s="263">
        <f t="shared" si="11"/>
        <v>206.52117263843647</v>
      </c>
      <c r="DS21" s="263">
        <f t="shared" si="11"/>
        <v>199.13930348258708</v>
      </c>
      <c r="DT21" s="263">
        <f t="shared" si="11"/>
        <v>203.3738019169329</v>
      </c>
      <c r="DU21" s="263">
        <f t="shared" si="11"/>
        <v>212.63888888888889</v>
      </c>
      <c r="DV21" s="263">
        <f t="shared" si="11"/>
        <v>145.19999999999999</v>
      </c>
    </row>
    <row r="22" spans="1:126" ht="16" customHeight="1">
      <c r="A22" s="26" t="s">
        <v>229</v>
      </c>
      <c r="B22" s="867">
        <f t="shared" si="12"/>
        <v>1962</v>
      </c>
      <c r="C22" s="264">
        <v>145</v>
      </c>
      <c r="D22" s="264">
        <v>170</v>
      </c>
      <c r="E22" s="264">
        <v>180</v>
      </c>
      <c r="F22" s="264">
        <v>168</v>
      </c>
      <c r="G22" s="264">
        <v>175</v>
      </c>
      <c r="H22" s="264">
        <v>160</v>
      </c>
      <c r="I22" s="264">
        <v>164</v>
      </c>
      <c r="J22" s="264">
        <v>150</v>
      </c>
      <c r="K22" s="264">
        <v>155</v>
      </c>
      <c r="L22" s="264">
        <v>140</v>
      </c>
      <c r="M22" s="264">
        <v>165</v>
      </c>
      <c r="N22" s="264">
        <v>190</v>
      </c>
      <c r="O22" s="950" t="s">
        <v>229</v>
      </c>
      <c r="P22" s="949">
        <f t="shared" si="13"/>
        <v>34.876000000000005</v>
      </c>
      <c r="Q22" s="948">
        <v>2.5649999999999999</v>
      </c>
      <c r="R22" s="948">
        <v>3.01</v>
      </c>
      <c r="S22" s="948">
        <v>3.1900000000000004</v>
      </c>
      <c r="T22" s="948">
        <v>2.976</v>
      </c>
      <c r="U22" s="948">
        <v>3.1050000000000004</v>
      </c>
      <c r="V22" s="948">
        <v>2.84</v>
      </c>
      <c r="W22" s="948">
        <v>2.92</v>
      </c>
      <c r="X22" s="948">
        <v>2.67</v>
      </c>
      <c r="Y22" s="948">
        <v>2.7450000000000001</v>
      </c>
      <c r="Z22" s="948">
        <v>2.5</v>
      </c>
      <c r="AA22" s="948">
        <v>2.9450000000000003</v>
      </c>
      <c r="AB22" s="948">
        <v>3.41</v>
      </c>
      <c r="AC22" s="26" t="s">
        <v>229</v>
      </c>
      <c r="AD22" s="869">
        <f t="shared" si="9"/>
        <v>17.77573904179409</v>
      </c>
      <c r="AE22" s="265">
        <f t="shared" si="9"/>
        <v>17.689655172413794</v>
      </c>
      <c r="AF22" s="265">
        <f t="shared" si="9"/>
        <v>17.705882352941174</v>
      </c>
      <c r="AG22" s="265">
        <f t="shared" si="9"/>
        <v>17.722222222222225</v>
      </c>
      <c r="AH22" s="265">
        <f t="shared" si="9"/>
        <v>17.714285714285715</v>
      </c>
      <c r="AI22" s="265">
        <f t="shared" si="9"/>
        <v>17.742857142857147</v>
      </c>
      <c r="AJ22" s="265">
        <f t="shared" si="9"/>
        <v>17.75</v>
      </c>
      <c r="AK22" s="265">
        <f t="shared" si="9"/>
        <v>17.804878048780488</v>
      </c>
      <c r="AL22" s="265">
        <f t="shared" si="9"/>
        <v>17.8</v>
      </c>
      <c r="AM22" s="265">
        <f t="shared" si="9"/>
        <v>17.70967741935484</v>
      </c>
      <c r="AN22" s="265">
        <f t="shared" si="9"/>
        <v>17.857142857142858</v>
      </c>
      <c r="AO22" s="265">
        <f t="shared" si="9"/>
        <v>17.848484848484851</v>
      </c>
      <c r="AP22" s="265">
        <f t="shared" si="9"/>
        <v>17.947368421052634</v>
      </c>
      <c r="AQ22" s="26" t="s">
        <v>229</v>
      </c>
      <c r="AR22" s="871">
        <f t="shared" si="14"/>
        <v>12199</v>
      </c>
      <c r="AS22" s="162">
        <v>1014</v>
      </c>
      <c r="AT22" s="162">
        <v>1537</v>
      </c>
      <c r="AU22" s="162">
        <v>1473</v>
      </c>
      <c r="AV22" s="162">
        <v>1473</v>
      </c>
      <c r="AW22" s="162">
        <v>1030</v>
      </c>
      <c r="AX22" s="162">
        <v>781</v>
      </c>
      <c r="AY22" s="162">
        <v>719</v>
      </c>
      <c r="AZ22" s="162">
        <v>860</v>
      </c>
      <c r="BA22" s="162">
        <v>527</v>
      </c>
      <c r="BB22" s="162">
        <v>962</v>
      </c>
      <c r="BC22" s="162">
        <v>841</v>
      </c>
      <c r="BD22" s="162">
        <v>982</v>
      </c>
      <c r="BE22" s="26" t="s">
        <v>229</v>
      </c>
      <c r="BF22" s="867">
        <f t="shared" si="15"/>
        <v>762.78</v>
      </c>
      <c r="BG22" s="264">
        <v>63.119</v>
      </c>
      <c r="BH22" s="264">
        <v>96.221000000000004</v>
      </c>
      <c r="BI22" s="264">
        <v>91.259</v>
      </c>
      <c r="BJ22" s="264">
        <v>95.626999999999995</v>
      </c>
      <c r="BK22" s="264">
        <v>60.525999999999996</v>
      </c>
      <c r="BL22" s="264">
        <v>46.777999999999999</v>
      </c>
      <c r="BM22" s="264">
        <v>43.03</v>
      </c>
      <c r="BN22" s="264">
        <v>51.444000000000003</v>
      </c>
      <c r="BO22" s="264">
        <v>32.113</v>
      </c>
      <c r="BP22" s="264">
        <v>63.454999999999998</v>
      </c>
      <c r="BQ22" s="264">
        <v>54.617000000000004</v>
      </c>
      <c r="BR22" s="264">
        <v>64.590999999999994</v>
      </c>
      <c r="BS22" s="26" t="s">
        <v>229</v>
      </c>
      <c r="BT22" s="873">
        <f t="shared" si="10"/>
        <v>62.52807607180916</v>
      </c>
      <c r="BU22" s="263">
        <f t="shared" si="10"/>
        <v>62.247534516765285</v>
      </c>
      <c r="BV22" s="263">
        <f t="shared" si="10"/>
        <v>62.603122966818482</v>
      </c>
      <c r="BW22" s="263">
        <f t="shared" si="10"/>
        <v>61.954514596062459</v>
      </c>
      <c r="BX22" s="263">
        <f t="shared" si="10"/>
        <v>64.919891378139852</v>
      </c>
      <c r="BY22" s="263">
        <f t="shared" si="10"/>
        <v>58.763106796116503</v>
      </c>
      <c r="BZ22" s="263">
        <f t="shared" si="10"/>
        <v>59.895006402048651</v>
      </c>
      <c r="CA22" s="263">
        <f t="shared" si="10"/>
        <v>59.847009735744088</v>
      </c>
      <c r="CB22" s="263">
        <f t="shared" si="10"/>
        <v>59.818604651162794</v>
      </c>
      <c r="CC22" s="263">
        <f t="shared" si="10"/>
        <v>60.935483870967744</v>
      </c>
      <c r="CD22" s="263">
        <f t="shared" si="10"/>
        <v>65.961538461538467</v>
      </c>
      <c r="CE22" s="263">
        <f t="shared" si="10"/>
        <v>64.942925089179553</v>
      </c>
      <c r="CF22" s="263">
        <f t="shared" si="10"/>
        <v>65.774949083503046</v>
      </c>
      <c r="CG22" s="26" t="s">
        <v>229</v>
      </c>
      <c r="CH22" s="867">
        <f t="shared" si="16"/>
        <v>14415</v>
      </c>
      <c r="CI22" s="264">
        <v>856</v>
      </c>
      <c r="CJ22" s="264">
        <v>1275</v>
      </c>
      <c r="CK22" s="264">
        <v>1247</v>
      </c>
      <c r="CL22" s="264">
        <v>1347</v>
      </c>
      <c r="CM22" s="264">
        <v>1022</v>
      </c>
      <c r="CN22" s="264">
        <v>1053</v>
      </c>
      <c r="CO22" s="264">
        <v>1120</v>
      </c>
      <c r="CP22" s="264">
        <v>1316</v>
      </c>
      <c r="CQ22" s="264">
        <v>1025</v>
      </c>
      <c r="CR22" s="264">
        <v>1594</v>
      </c>
      <c r="CS22" s="264">
        <v>1562</v>
      </c>
      <c r="CT22" s="264">
        <v>998</v>
      </c>
      <c r="CU22" s="26" t="s">
        <v>229</v>
      </c>
      <c r="CV22" s="867">
        <f t="shared" si="17"/>
        <v>2418.0800000000004</v>
      </c>
      <c r="CW22" s="264">
        <v>154.476</v>
      </c>
      <c r="CX22" s="264">
        <v>211.29400000000001</v>
      </c>
      <c r="CY22" s="264">
        <v>209.57499999999999</v>
      </c>
      <c r="CZ22" s="264">
        <v>227.90100000000001</v>
      </c>
      <c r="DA22" s="264">
        <v>172.53300000000002</v>
      </c>
      <c r="DB22" s="264">
        <v>178.42399999999998</v>
      </c>
      <c r="DC22" s="264">
        <v>190.08199999999999</v>
      </c>
      <c r="DD22" s="264">
        <v>212.01599999999999</v>
      </c>
      <c r="DE22" s="264">
        <v>160.98099999999999</v>
      </c>
      <c r="DF22" s="264">
        <v>270.87900000000002</v>
      </c>
      <c r="DG22" s="264">
        <v>266.137</v>
      </c>
      <c r="DH22" s="264">
        <v>163.78200000000001</v>
      </c>
      <c r="DI22" s="26" t="s">
        <v>229</v>
      </c>
      <c r="DJ22" s="873">
        <f t="shared" si="11"/>
        <v>167.74748525841142</v>
      </c>
      <c r="DK22" s="263">
        <f t="shared" si="11"/>
        <v>180.46261682242991</v>
      </c>
      <c r="DL22" s="263">
        <f t="shared" si="11"/>
        <v>165.72078431372549</v>
      </c>
      <c r="DM22" s="263">
        <f t="shared" si="11"/>
        <v>168.06335204490776</v>
      </c>
      <c r="DN22" s="263">
        <f t="shared" si="11"/>
        <v>169.19153674832961</v>
      </c>
      <c r="DO22" s="263">
        <f t="shared" si="11"/>
        <v>168.81898238747556</v>
      </c>
      <c r="DP22" s="263">
        <f t="shared" si="11"/>
        <v>169.44349477682809</v>
      </c>
      <c r="DQ22" s="263">
        <f t="shared" si="11"/>
        <v>169.71607142857141</v>
      </c>
      <c r="DR22" s="263">
        <f t="shared" si="11"/>
        <v>161.10638297872339</v>
      </c>
      <c r="DS22" s="263">
        <f t="shared" si="11"/>
        <v>157.05463414634147</v>
      </c>
      <c r="DT22" s="263">
        <f t="shared" si="11"/>
        <v>169.93663739021332</v>
      </c>
      <c r="DU22" s="263">
        <f t="shared" si="11"/>
        <v>170.38220230473752</v>
      </c>
      <c r="DV22" s="263">
        <f t="shared" si="11"/>
        <v>164.11022044088179</v>
      </c>
    </row>
    <row r="23" spans="1:126" ht="16" customHeight="1">
      <c r="A23" s="26" t="s">
        <v>230</v>
      </c>
      <c r="B23" s="867">
        <f t="shared" si="12"/>
        <v>14235</v>
      </c>
      <c r="C23" s="264">
        <v>780</v>
      </c>
      <c r="D23" s="264">
        <v>580</v>
      </c>
      <c r="E23" s="264">
        <v>994</v>
      </c>
      <c r="F23" s="264">
        <v>2354</v>
      </c>
      <c r="G23" s="264">
        <v>721</v>
      </c>
      <c r="H23" s="264">
        <v>582</v>
      </c>
      <c r="I23" s="264">
        <v>1475</v>
      </c>
      <c r="J23" s="264">
        <v>1352</v>
      </c>
      <c r="K23" s="264">
        <v>1393</v>
      </c>
      <c r="L23" s="264">
        <v>1150</v>
      </c>
      <c r="M23" s="264">
        <v>1411</v>
      </c>
      <c r="N23" s="264">
        <v>1443</v>
      </c>
      <c r="O23" s="950" t="s">
        <v>230</v>
      </c>
      <c r="P23" s="949">
        <f t="shared" si="13"/>
        <v>191.55872000000002</v>
      </c>
      <c r="Q23" s="948">
        <v>10.562529999999999</v>
      </c>
      <c r="R23" s="948">
        <v>7.87059</v>
      </c>
      <c r="S23" s="948">
        <v>13.526350000000001</v>
      </c>
      <c r="T23" s="948">
        <v>31.959469999999996</v>
      </c>
      <c r="U23" s="948">
        <v>9.7838700000000003</v>
      </c>
      <c r="V23" s="948">
        <v>8.0546199999999999</v>
      </c>
      <c r="W23" s="948">
        <v>19.690539999999999</v>
      </c>
      <c r="X23" s="948">
        <v>18.212039999999998</v>
      </c>
      <c r="Y23" s="948">
        <v>18.73508</v>
      </c>
      <c r="Z23" s="948">
        <v>15.30466</v>
      </c>
      <c r="AA23" s="948">
        <v>18.720350000000003</v>
      </c>
      <c r="AB23" s="948">
        <v>19.138620000000003</v>
      </c>
      <c r="AC23" s="26" t="s">
        <v>230</v>
      </c>
      <c r="AD23" s="869">
        <f t="shared" si="9"/>
        <v>13.456882332279594</v>
      </c>
      <c r="AE23" s="265">
        <f t="shared" si="9"/>
        <v>13.541705128205127</v>
      </c>
      <c r="AF23" s="265">
        <f t="shared" si="9"/>
        <v>13.569982758620689</v>
      </c>
      <c r="AG23" s="265">
        <f t="shared" si="9"/>
        <v>13.607997987927567</v>
      </c>
      <c r="AH23" s="265">
        <f t="shared" si="9"/>
        <v>13.576665250637213</v>
      </c>
      <c r="AI23" s="265">
        <f t="shared" si="9"/>
        <v>13.569861303744799</v>
      </c>
      <c r="AJ23" s="265">
        <f t="shared" si="9"/>
        <v>13.839553264604811</v>
      </c>
      <c r="AK23" s="265">
        <f t="shared" si="9"/>
        <v>13.349518644067794</v>
      </c>
      <c r="AL23" s="265">
        <f t="shared" si="9"/>
        <v>13.470443786982248</v>
      </c>
      <c r="AM23" s="265">
        <f t="shared" si="9"/>
        <v>13.449447236180905</v>
      </c>
      <c r="AN23" s="265">
        <f t="shared" si="9"/>
        <v>13.308399999999999</v>
      </c>
      <c r="AO23" s="265">
        <f t="shared" si="9"/>
        <v>13.267434443656983</v>
      </c>
      <c r="AP23" s="265">
        <f t="shared" si="9"/>
        <v>13.263076923076927</v>
      </c>
      <c r="AQ23" s="26" t="s">
        <v>230</v>
      </c>
      <c r="AR23" s="871">
        <f t="shared" si="14"/>
        <v>4141</v>
      </c>
      <c r="AS23" s="162">
        <v>290</v>
      </c>
      <c r="AT23" s="162">
        <v>155</v>
      </c>
      <c r="AU23" s="162">
        <v>449</v>
      </c>
      <c r="AV23" s="162">
        <v>102</v>
      </c>
      <c r="AW23" s="162">
        <v>146</v>
      </c>
      <c r="AX23" s="162">
        <v>318</v>
      </c>
      <c r="AY23" s="162">
        <v>459</v>
      </c>
      <c r="AZ23" s="162">
        <v>356</v>
      </c>
      <c r="BA23" s="162">
        <v>595</v>
      </c>
      <c r="BB23" s="162">
        <v>316</v>
      </c>
      <c r="BC23" s="162">
        <v>327</v>
      </c>
      <c r="BD23" s="162">
        <v>628</v>
      </c>
      <c r="BE23" s="26" t="s">
        <v>230</v>
      </c>
      <c r="BF23" s="867">
        <f t="shared" si="15"/>
        <v>221.700568</v>
      </c>
      <c r="BG23" s="264">
        <v>15.421432999999999</v>
      </c>
      <c r="BH23" s="264">
        <v>8.3206399999999991</v>
      </c>
      <c r="BI23" s="264">
        <v>24.306175000000003</v>
      </c>
      <c r="BJ23" s="264">
        <v>5.4725199999999994</v>
      </c>
      <c r="BK23" s="264">
        <v>7.7953200000000002</v>
      </c>
      <c r="BL23" s="264">
        <v>17.273200000000003</v>
      </c>
      <c r="BM23" s="264">
        <v>24.567834999999999</v>
      </c>
      <c r="BN23" s="264">
        <v>19.027740000000001</v>
      </c>
      <c r="BO23" s="264">
        <v>31.942025000000001</v>
      </c>
      <c r="BP23" s="264">
        <v>16.602005000000002</v>
      </c>
      <c r="BQ23" s="264">
        <v>17.353054999999998</v>
      </c>
      <c r="BR23" s="264">
        <v>33.61862</v>
      </c>
      <c r="BS23" s="26" t="s">
        <v>230</v>
      </c>
      <c r="BT23" s="873">
        <f t="shared" si="10"/>
        <v>53.537929968606619</v>
      </c>
      <c r="BU23" s="263">
        <f t="shared" si="10"/>
        <v>53.17735517241379</v>
      </c>
      <c r="BV23" s="263">
        <f t="shared" si="10"/>
        <v>53.681548387096768</v>
      </c>
      <c r="BW23" s="263">
        <f t="shared" si="10"/>
        <v>54.134020044543433</v>
      </c>
      <c r="BX23" s="263">
        <f t="shared" si="10"/>
        <v>53.652156862745088</v>
      </c>
      <c r="BY23" s="263">
        <f t="shared" si="10"/>
        <v>53.39260273972603</v>
      </c>
      <c r="BZ23" s="263">
        <f t="shared" si="10"/>
        <v>54.3182389937107</v>
      </c>
      <c r="CA23" s="263">
        <f t="shared" si="10"/>
        <v>53.524694989106756</v>
      </c>
      <c r="CB23" s="263">
        <f t="shared" si="10"/>
        <v>53.448707865168544</v>
      </c>
      <c r="CC23" s="263">
        <f t="shared" si="10"/>
        <v>53.684075630252103</v>
      </c>
      <c r="CD23" s="263">
        <f t="shared" si="10"/>
        <v>52.537990506329116</v>
      </c>
      <c r="CE23" s="263">
        <f t="shared" si="10"/>
        <v>53.067446483180426</v>
      </c>
      <c r="CF23" s="263">
        <f t="shared" si="10"/>
        <v>53.532834394904455</v>
      </c>
      <c r="CG23" s="26" t="s">
        <v>230</v>
      </c>
      <c r="CH23" s="867">
        <f t="shared" si="16"/>
        <v>1096</v>
      </c>
      <c r="CI23" s="264">
        <v>42</v>
      </c>
      <c r="CJ23" s="264">
        <v>90</v>
      </c>
      <c r="CK23" s="264">
        <v>149</v>
      </c>
      <c r="CL23" s="264">
        <v>36</v>
      </c>
      <c r="CM23" s="264">
        <v>68</v>
      </c>
      <c r="CN23" s="264">
        <v>47</v>
      </c>
      <c r="CO23" s="264">
        <v>116</v>
      </c>
      <c r="CP23" s="264">
        <v>112</v>
      </c>
      <c r="CQ23" s="264">
        <v>102</v>
      </c>
      <c r="CR23" s="264">
        <v>44</v>
      </c>
      <c r="CS23" s="264">
        <v>136</v>
      </c>
      <c r="CT23" s="264">
        <v>154</v>
      </c>
      <c r="CU23" s="26" t="s">
        <v>230</v>
      </c>
      <c r="CV23" s="867">
        <f t="shared" si="17"/>
        <v>144.28865200000001</v>
      </c>
      <c r="CW23" s="264">
        <v>5.3878019999999998</v>
      </c>
      <c r="CX23" s="264">
        <v>11.914769999999999</v>
      </c>
      <c r="CY23" s="264">
        <v>19.692209999999999</v>
      </c>
      <c r="CZ23" s="264">
        <v>4.7402600000000001</v>
      </c>
      <c r="DA23" s="264">
        <v>8.9513800000000003</v>
      </c>
      <c r="DB23" s="264">
        <v>6.1856200000000001</v>
      </c>
      <c r="DC23" s="264">
        <v>15.22428</v>
      </c>
      <c r="DD23" s="264">
        <v>14.80622</v>
      </c>
      <c r="DE23" s="264">
        <v>13.340349999999999</v>
      </c>
      <c r="DF23" s="264">
        <v>5.8267899999999999</v>
      </c>
      <c r="DG23" s="264">
        <v>17.93383</v>
      </c>
      <c r="DH23" s="264">
        <v>20.285139999999998</v>
      </c>
      <c r="DI23" s="26" t="s">
        <v>230</v>
      </c>
      <c r="DJ23" s="873">
        <f t="shared" si="11"/>
        <v>131.6502299270073</v>
      </c>
      <c r="DK23" s="263">
        <f t="shared" si="11"/>
        <v>128.28100000000001</v>
      </c>
      <c r="DL23" s="263">
        <f t="shared" si="11"/>
        <v>132.38633333333334</v>
      </c>
      <c r="DM23" s="263">
        <f t="shared" si="11"/>
        <v>132.16248322147649</v>
      </c>
      <c r="DN23" s="263">
        <f t="shared" si="11"/>
        <v>131.67388888888888</v>
      </c>
      <c r="DO23" s="263">
        <f t="shared" si="11"/>
        <v>131.6379411764706</v>
      </c>
      <c r="DP23" s="263">
        <f t="shared" si="11"/>
        <v>131.60893617021276</v>
      </c>
      <c r="DQ23" s="263">
        <f t="shared" si="11"/>
        <v>131.24379310344827</v>
      </c>
      <c r="DR23" s="263">
        <f t="shared" si="11"/>
        <v>132.19839285714286</v>
      </c>
      <c r="DS23" s="263">
        <f t="shared" si="11"/>
        <v>130.78774509803921</v>
      </c>
      <c r="DT23" s="263">
        <f t="shared" si="11"/>
        <v>132.42704545454546</v>
      </c>
      <c r="DU23" s="263">
        <f t="shared" si="11"/>
        <v>131.86639705882354</v>
      </c>
      <c r="DV23" s="263">
        <f t="shared" si="11"/>
        <v>131.7216883116883</v>
      </c>
    </row>
    <row r="24" spans="1:126" ht="16" customHeight="1">
      <c r="A24" s="26" t="s">
        <v>231</v>
      </c>
      <c r="B24" s="867">
        <f t="shared" si="12"/>
        <v>67354</v>
      </c>
      <c r="C24" s="264">
        <v>6350</v>
      </c>
      <c r="D24" s="264">
        <v>5585</v>
      </c>
      <c r="E24" s="264">
        <v>5861</v>
      </c>
      <c r="F24" s="264">
        <v>5855</v>
      </c>
      <c r="G24" s="264">
        <v>5990</v>
      </c>
      <c r="H24" s="264">
        <v>5560</v>
      </c>
      <c r="I24" s="264">
        <v>5630</v>
      </c>
      <c r="J24" s="264">
        <v>5487</v>
      </c>
      <c r="K24" s="264">
        <v>5351</v>
      </c>
      <c r="L24" s="264">
        <v>5419</v>
      </c>
      <c r="M24" s="264">
        <v>5267</v>
      </c>
      <c r="N24" s="264">
        <v>4999</v>
      </c>
      <c r="O24" s="950" t="s">
        <v>231</v>
      </c>
      <c r="P24" s="949">
        <f t="shared" si="13"/>
        <v>1050.9477999999999</v>
      </c>
      <c r="Q24" s="948">
        <v>97.897599999999997</v>
      </c>
      <c r="R24" s="948">
        <v>84.487200000000001</v>
      </c>
      <c r="S24" s="948">
        <v>98.314900000000009</v>
      </c>
      <c r="T24" s="948">
        <v>91.499600000000001</v>
      </c>
      <c r="U24" s="948">
        <v>94.788900000000012</v>
      </c>
      <c r="V24" s="948">
        <v>86.481400000000008</v>
      </c>
      <c r="W24" s="948">
        <v>88.3125</v>
      </c>
      <c r="X24" s="948">
        <v>87.42519999999999</v>
      </c>
      <c r="Y24" s="948">
        <v>82.608900000000006</v>
      </c>
      <c r="Z24" s="948">
        <v>82.469200000000001</v>
      </c>
      <c r="AA24" s="948">
        <v>80.268900000000002</v>
      </c>
      <c r="AB24" s="948">
        <v>76.393500000000003</v>
      </c>
      <c r="AC24" s="26" t="s">
        <v>231</v>
      </c>
      <c r="AD24" s="869">
        <f t="shared" si="9"/>
        <v>15.603346497609643</v>
      </c>
      <c r="AE24" s="265">
        <f t="shared" si="9"/>
        <v>15.416944881889762</v>
      </c>
      <c r="AF24" s="265">
        <f t="shared" si="9"/>
        <v>15.127520143240824</v>
      </c>
      <c r="AG24" s="265">
        <f t="shared" si="9"/>
        <v>16.774424159699713</v>
      </c>
      <c r="AH24" s="265">
        <f t="shared" si="9"/>
        <v>15.627600341588385</v>
      </c>
      <c r="AI24" s="265">
        <f t="shared" si="9"/>
        <v>15.824524207011688</v>
      </c>
      <c r="AJ24" s="265">
        <f t="shared" si="9"/>
        <v>15.554208633093527</v>
      </c>
      <c r="AK24" s="265">
        <f t="shared" si="9"/>
        <v>15.686056838365898</v>
      </c>
      <c r="AL24" s="265">
        <f t="shared" si="9"/>
        <v>15.933151084381262</v>
      </c>
      <c r="AM24" s="265">
        <f t="shared" si="9"/>
        <v>15.438030274715008</v>
      </c>
      <c r="AN24" s="265">
        <f t="shared" si="9"/>
        <v>15.218527403579996</v>
      </c>
      <c r="AO24" s="265">
        <f t="shared" si="9"/>
        <v>15.239965824947788</v>
      </c>
      <c r="AP24" s="265">
        <f t="shared" si="9"/>
        <v>15.281756351270255</v>
      </c>
      <c r="AQ24" s="26" t="s">
        <v>231</v>
      </c>
      <c r="AR24" s="871">
        <f t="shared" si="14"/>
        <v>405557</v>
      </c>
      <c r="AS24" s="162">
        <v>28721</v>
      </c>
      <c r="AT24" s="162">
        <v>34201</v>
      </c>
      <c r="AU24" s="162">
        <v>30043</v>
      </c>
      <c r="AV24" s="162">
        <v>32945</v>
      </c>
      <c r="AW24" s="162">
        <v>34216</v>
      </c>
      <c r="AX24" s="162">
        <v>34285</v>
      </c>
      <c r="AY24" s="162">
        <v>35354</v>
      </c>
      <c r="AZ24" s="162">
        <v>35246</v>
      </c>
      <c r="BA24" s="162">
        <v>33113</v>
      </c>
      <c r="BB24" s="162">
        <v>33875</v>
      </c>
      <c r="BC24" s="162">
        <v>34846</v>
      </c>
      <c r="BD24" s="162">
        <v>38712</v>
      </c>
      <c r="BE24" s="26" t="s">
        <v>231</v>
      </c>
      <c r="BF24" s="867">
        <f t="shared" si="15"/>
        <v>26431.470700000005</v>
      </c>
      <c r="BG24" s="264">
        <v>1880.8649999999998</v>
      </c>
      <c r="BH24" s="264">
        <v>2226.7905000000001</v>
      </c>
      <c r="BI24" s="264">
        <v>1962.8735000000001</v>
      </c>
      <c r="BJ24" s="264">
        <v>2146.3325</v>
      </c>
      <c r="BK24" s="264">
        <v>2206.6134999999999</v>
      </c>
      <c r="BL24" s="264">
        <v>2243.3519999999999</v>
      </c>
      <c r="BM24" s="264">
        <v>2300.7984999999999</v>
      </c>
      <c r="BN24" s="264">
        <v>2299.8604999999998</v>
      </c>
      <c r="BO24" s="264">
        <v>2178.9764999999998</v>
      </c>
      <c r="BP24" s="264">
        <v>2176.7335000000003</v>
      </c>
      <c r="BQ24" s="264">
        <v>2270.1161999999999</v>
      </c>
      <c r="BR24" s="264">
        <v>2538.1585</v>
      </c>
      <c r="BS24" s="26" t="s">
        <v>231</v>
      </c>
      <c r="BT24" s="873">
        <f t="shared" si="10"/>
        <v>65.173257273330279</v>
      </c>
      <c r="BU24" s="263">
        <f t="shared" si="10"/>
        <v>65.487448208627825</v>
      </c>
      <c r="BV24" s="263">
        <f t="shared" si="10"/>
        <v>65.108929563463064</v>
      </c>
      <c r="BW24" s="263">
        <f t="shared" si="10"/>
        <v>65.335469160869422</v>
      </c>
      <c r="BX24" s="263">
        <f t="shared" si="10"/>
        <v>65.148960388526334</v>
      </c>
      <c r="BY24" s="263">
        <f t="shared" si="10"/>
        <v>64.490691489361708</v>
      </c>
      <c r="BZ24" s="263">
        <f t="shared" si="10"/>
        <v>65.432463176316162</v>
      </c>
      <c r="CA24" s="263">
        <f t="shared" si="10"/>
        <v>65.078873677660226</v>
      </c>
      <c r="CB24" s="263">
        <f t="shared" si="10"/>
        <v>65.251673948816887</v>
      </c>
      <c r="CC24" s="263">
        <f t="shared" si="10"/>
        <v>65.804261166309303</v>
      </c>
      <c r="CD24" s="263">
        <f t="shared" si="10"/>
        <v>64.257815498154983</v>
      </c>
      <c r="CE24" s="263">
        <f t="shared" si="10"/>
        <v>65.147110141766632</v>
      </c>
      <c r="CF24" s="263">
        <f t="shared" si="10"/>
        <v>65.565160673692915</v>
      </c>
      <c r="CG24" s="26" t="s">
        <v>231</v>
      </c>
      <c r="CH24" s="867">
        <f t="shared" si="16"/>
        <v>128300</v>
      </c>
      <c r="CI24" s="264">
        <v>10200</v>
      </c>
      <c r="CJ24" s="264">
        <v>9876</v>
      </c>
      <c r="CK24" s="264">
        <v>10572</v>
      </c>
      <c r="CL24" s="264">
        <v>10369</v>
      </c>
      <c r="CM24" s="264">
        <v>10862</v>
      </c>
      <c r="CN24" s="264">
        <v>10199</v>
      </c>
      <c r="CO24" s="264">
        <v>11373</v>
      </c>
      <c r="CP24" s="264">
        <v>11053</v>
      </c>
      <c r="CQ24" s="264">
        <v>11078</v>
      </c>
      <c r="CR24" s="264">
        <v>11140</v>
      </c>
      <c r="CS24" s="264">
        <v>10810</v>
      </c>
      <c r="CT24" s="264">
        <v>10768</v>
      </c>
      <c r="CU24" s="26" t="s">
        <v>231</v>
      </c>
      <c r="CV24" s="867">
        <f t="shared" si="17"/>
        <v>23536.043999999998</v>
      </c>
      <c r="CW24" s="264">
        <v>1862.181</v>
      </c>
      <c r="CX24" s="264">
        <v>1799.9180000000001</v>
      </c>
      <c r="CY24" s="264">
        <v>1942.8960000000002</v>
      </c>
      <c r="CZ24" s="264">
        <v>1894.2889999999998</v>
      </c>
      <c r="DA24" s="264">
        <v>1998.3110000000001</v>
      </c>
      <c r="DB24" s="264">
        <v>1874.424</v>
      </c>
      <c r="DC24" s="264">
        <v>2087.6770000000001</v>
      </c>
      <c r="DD24" s="264">
        <v>2027.6389999999999</v>
      </c>
      <c r="DE24" s="264">
        <v>2036.857</v>
      </c>
      <c r="DF24" s="264">
        <v>2045.0120000000002</v>
      </c>
      <c r="DG24" s="264">
        <v>1998.9719999999998</v>
      </c>
      <c r="DH24" s="264">
        <v>1967.8679999999999</v>
      </c>
      <c r="DI24" s="26" t="s">
        <v>231</v>
      </c>
      <c r="DJ24" s="873">
        <f t="shared" si="11"/>
        <v>183.44539360872952</v>
      </c>
      <c r="DK24" s="263">
        <f t="shared" si="11"/>
        <v>182.56676470588235</v>
      </c>
      <c r="DL24" s="263">
        <f t="shared" si="11"/>
        <v>182.25172134467397</v>
      </c>
      <c r="DM24" s="263">
        <f t="shared" si="11"/>
        <v>183.77752553916008</v>
      </c>
      <c r="DN24" s="263">
        <f t="shared" si="11"/>
        <v>182.68772302054199</v>
      </c>
      <c r="DO24" s="263">
        <f t="shared" si="11"/>
        <v>183.97265696925061</v>
      </c>
      <c r="DP24" s="263">
        <f t="shared" si="11"/>
        <v>183.7850769683302</v>
      </c>
      <c r="DQ24" s="263">
        <f t="shared" si="11"/>
        <v>183.56431900114305</v>
      </c>
      <c r="DR24" s="263">
        <f t="shared" si="11"/>
        <v>183.44693748303629</v>
      </c>
      <c r="DS24" s="263">
        <f t="shared" si="11"/>
        <v>183.86504784257085</v>
      </c>
      <c r="DT24" s="263">
        <f t="shared" si="11"/>
        <v>183.5737881508079</v>
      </c>
      <c r="DU24" s="263">
        <f t="shared" si="11"/>
        <v>184.91877890841809</v>
      </c>
      <c r="DV24" s="263">
        <f t="shared" si="11"/>
        <v>182.75148588410104</v>
      </c>
    </row>
    <row r="25" spans="1:126" ht="16" customHeight="1">
      <c r="A25" s="26" t="s">
        <v>232</v>
      </c>
      <c r="B25" s="867">
        <f t="shared" si="12"/>
        <v>1243</v>
      </c>
      <c r="C25" s="264">
        <v>84</v>
      </c>
      <c r="D25" s="264">
        <v>129</v>
      </c>
      <c r="E25" s="264">
        <v>109</v>
      </c>
      <c r="F25" s="264">
        <v>97</v>
      </c>
      <c r="G25" s="264">
        <v>105</v>
      </c>
      <c r="H25" s="264">
        <v>107</v>
      </c>
      <c r="I25" s="264">
        <v>95</v>
      </c>
      <c r="J25" s="264">
        <v>92</v>
      </c>
      <c r="K25" s="264">
        <v>72</v>
      </c>
      <c r="L25" s="264">
        <v>142</v>
      </c>
      <c r="M25" s="264">
        <v>67</v>
      </c>
      <c r="N25" s="264">
        <v>144</v>
      </c>
      <c r="O25" s="950" t="s">
        <v>232</v>
      </c>
      <c r="P25" s="949">
        <f t="shared" si="13"/>
        <v>27.420999999999999</v>
      </c>
      <c r="Q25" s="948">
        <v>1.857</v>
      </c>
      <c r="R25" s="948">
        <v>2.88</v>
      </c>
      <c r="S25" s="948">
        <v>2.464</v>
      </c>
      <c r="T25" s="948">
        <v>2.0790000000000002</v>
      </c>
      <c r="U25" s="948">
        <v>2.2889999999999997</v>
      </c>
      <c r="V25" s="948">
        <v>2.335</v>
      </c>
      <c r="W25" s="948">
        <v>2.0710000000000002</v>
      </c>
      <c r="X25" s="948">
        <v>2.085</v>
      </c>
      <c r="Y25" s="948">
        <v>1.6</v>
      </c>
      <c r="Z25" s="948">
        <v>3.1479999999999997</v>
      </c>
      <c r="AA25" s="948">
        <v>1.4630000000000001</v>
      </c>
      <c r="AB25" s="948">
        <v>3.15</v>
      </c>
      <c r="AC25" s="26" t="s">
        <v>232</v>
      </c>
      <c r="AD25" s="869">
        <f t="shared" si="9"/>
        <v>22.060337892196298</v>
      </c>
      <c r="AE25" s="265">
        <f t="shared" si="9"/>
        <v>22.107142857142858</v>
      </c>
      <c r="AF25" s="265">
        <f t="shared" si="9"/>
        <v>22.325581395348838</v>
      </c>
      <c r="AG25" s="265">
        <f t="shared" si="9"/>
        <v>22.605504587155966</v>
      </c>
      <c r="AH25" s="265">
        <f t="shared" si="9"/>
        <v>21.432989690721651</v>
      </c>
      <c r="AI25" s="265">
        <f t="shared" si="9"/>
        <v>21.799999999999997</v>
      </c>
      <c r="AJ25" s="265">
        <f t="shared" si="9"/>
        <v>21.822429906542055</v>
      </c>
      <c r="AK25" s="265">
        <f t="shared" si="9"/>
        <v>21.800000000000004</v>
      </c>
      <c r="AL25" s="265">
        <f t="shared" si="9"/>
        <v>22.663043478260867</v>
      </c>
      <c r="AM25" s="265">
        <f t="shared" si="9"/>
        <v>22.222222222222221</v>
      </c>
      <c r="AN25" s="265">
        <f t="shared" si="9"/>
        <v>22.16901408450704</v>
      </c>
      <c r="AO25" s="265">
        <f t="shared" si="9"/>
        <v>21.835820895522389</v>
      </c>
      <c r="AP25" s="265">
        <f t="shared" si="9"/>
        <v>21.875</v>
      </c>
      <c r="AQ25" s="26" t="s">
        <v>232</v>
      </c>
      <c r="AR25" s="871">
        <f t="shared" si="14"/>
        <v>12663</v>
      </c>
      <c r="AS25" s="162">
        <v>987</v>
      </c>
      <c r="AT25" s="162">
        <v>821</v>
      </c>
      <c r="AU25" s="162">
        <v>821</v>
      </c>
      <c r="AV25" s="162">
        <v>881</v>
      </c>
      <c r="AW25" s="162">
        <v>1115</v>
      </c>
      <c r="AX25" s="162">
        <v>1114</v>
      </c>
      <c r="AY25" s="162">
        <v>1236</v>
      </c>
      <c r="AZ25" s="162">
        <v>1131</v>
      </c>
      <c r="BA25" s="162">
        <v>972</v>
      </c>
      <c r="BB25" s="162">
        <v>1240</v>
      </c>
      <c r="BC25" s="162">
        <v>828</v>
      </c>
      <c r="BD25" s="162">
        <v>1517</v>
      </c>
      <c r="BE25" s="26" t="s">
        <v>232</v>
      </c>
      <c r="BF25" s="867">
        <f t="shared" si="15"/>
        <v>609.92399999999998</v>
      </c>
      <c r="BG25" s="264">
        <v>41.392000000000003</v>
      </c>
      <c r="BH25" s="264">
        <v>41.704000000000001</v>
      </c>
      <c r="BI25" s="264">
        <v>38.411000000000001</v>
      </c>
      <c r="BJ25" s="264">
        <v>42.13</v>
      </c>
      <c r="BK25" s="264">
        <v>55.397000000000006</v>
      </c>
      <c r="BL25" s="264">
        <v>52.599000000000004</v>
      </c>
      <c r="BM25" s="264">
        <v>61.602000000000004</v>
      </c>
      <c r="BN25" s="264">
        <v>57.088000000000001</v>
      </c>
      <c r="BO25" s="264">
        <v>45.941000000000003</v>
      </c>
      <c r="BP25" s="264">
        <v>61.853000000000002</v>
      </c>
      <c r="BQ25" s="264">
        <v>39.530999999999999</v>
      </c>
      <c r="BR25" s="264">
        <v>72.275999999999996</v>
      </c>
      <c r="BS25" s="26" t="s">
        <v>232</v>
      </c>
      <c r="BT25" s="873">
        <f t="shared" si="10"/>
        <v>48.165837479270316</v>
      </c>
      <c r="BU25" s="263">
        <f t="shared" si="10"/>
        <v>41.937183383991893</v>
      </c>
      <c r="BV25" s="263">
        <f t="shared" si="10"/>
        <v>50.796589524969548</v>
      </c>
      <c r="BW25" s="263">
        <f t="shared" si="10"/>
        <v>46.785627283800245</v>
      </c>
      <c r="BX25" s="263">
        <f t="shared" si="10"/>
        <v>47.820658342792285</v>
      </c>
      <c r="BY25" s="263">
        <f t="shared" si="10"/>
        <v>49.683408071748886</v>
      </c>
      <c r="BZ25" s="263">
        <f t="shared" si="10"/>
        <v>47.216337522441655</v>
      </c>
      <c r="CA25" s="263">
        <f t="shared" si="10"/>
        <v>49.839805825242721</v>
      </c>
      <c r="CB25" s="263">
        <f t="shared" si="10"/>
        <v>50.475685234305928</v>
      </c>
      <c r="CC25" s="263">
        <f t="shared" si="10"/>
        <v>47.264403292181072</v>
      </c>
      <c r="CD25" s="263">
        <f t="shared" si="10"/>
        <v>49.881451612903227</v>
      </c>
      <c r="CE25" s="263">
        <f t="shared" si="10"/>
        <v>47.742753623188399</v>
      </c>
      <c r="CF25" s="263">
        <f t="shared" si="10"/>
        <v>47.644034278180619</v>
      </c>
      <c r="CG25" s="26" t="s">
        <v>232</v>
      </c>
      <c r="CH25" s="867">
        <f t="shared" si="16"/>
        <v>8937</v>
      </c>
      <c r="CI25" s="264">
        <v>723</v>
      </c>
      <c r="CJ25" s="264">
        <v>669</v>
      </c>
      <c r="CK25" s="264">
        <v>740</v>
      </c>
      <c r="CL25" s="264">
        <v>674</v>
      </c>
      <c r="CM25" s="264">
        <v>741</v>
      </c>
      <c r="CN25" s="264">
        <v>771</v>
      </c>
      <c r="CO25" s="264">
        <v>776</v>
      </c>
      <c r="CP25" s="264">
        <v>788</v>
      </c>
      <c r="CQ25" s="264">
        <v>773</v>
      </c>
      <c r="CR25" s="264">
        <v>858</v>
      </c>
      <c r="CS25" s="264">
        <v>701</v>
      </c>
      <c r="CT25" s="264">
        <v>723</v>
      </c>
      <c r="CU25" s="26" t="s">
        <v>232</v>
      </c>
      <c r="CV25" s="867">
        <f t="shared" si="17"/>
        <v>1972.6891499999999</v>
      </c>
      <c r="CW25" s="264">
        <v>166.03415000000001</v>
      </c>
      <c r="CX25" s="264">
        <v>158.38899999999998</v>
      </c>
      <c r="CY25" s="264">
        <v>152.67500000000001</v>
      </c>
      <c r="CZ25" s="264">
        <v>141.69499999999999</v>
      </c>
      <c r="DA25" s="264">
        <v>175.899</v>
      </c>
      <c r="DB25" s="264">
        <v>181.57900000000001</v>
      </c>
      <c r="DC25" s="264">
        <v>183.31200000000001</v>
      </c>
      <c r="DD25" s="264">
        <v>167.19800000000001</v>
      </c>
      <c r="DE25" s="264">
        <v>167.607</v>
      </c>
      <c r="DF25" s="264">
        <v>186.654</v>
      </c>
      <c r="DG25" s="264">
        <v>153.05399999999997</v>
      </c>
      <c r="DH25" s="264">
        <v>138.59300000000002</v>
      </c>
      <c r="DI25" s="26" t="s">
        <v>232</v>
      </c>
      <c r="DJ25" s="873">
        <f t="shared" si="11"/>
        <v>220.73281302450488</v>
      </c>
      <c r="DK25" s="263">
        <f t="shared" si="11"/>
        <v>229.64612724757956</v>
      </c>
      <c r="DL25" s="263">
        <f t="shared" si="11"/>
        <v>236.75485799701042</v>
      </c>
      <c r="DM25" s="263">
        <f t="shared" si="11"/>
        <v>206.31756756756758</v>
      </c>
      <c r="DN25" s="263">
        <f t="shared" si="11"/>
        <v>210.2299703264095</v>
      </c>
      <c r="DO25" s="263">
        <f t="shared" si="11"/>
        <v>237.38056680161944</v>
      </c>
      <c r="DP25" s="263">
        <f t="shared" si="11"/>
        <v>235.51102464332038</v>
      </c>
      <c r="DQ25" s="263">
        <f t="shared" si="11"/>
        <v>236.22680412371136</v>
      </c>
      <c r="DR25" s="263">
        <f t="shared" si="11"/>
        <v>212.18020304568529</v>
      </c>
      <c r="DS25" s="263">
        <f t="shared" si="11"/>
        <v>216.82664941785251</v>
      </c>
      <c r="DT25" s="263">
        <f t="shared" si="11"/>
        <v>217.54545454545453</v>
      </c>
      <c r="DU25" s="263">
        <f t="shared" si="11"/>
        <v>218.33666191155487</v>
      </c>
      <c r="DV25" s="263">
        <f t="shared" si="11"/>
        <v>191.69156293222687</v>
      </c>
    </row>
    <row r="26" spans="1:126" ht="16" customHeight="1">
      <c r="A26" s="26" t="s">
        <v>233</v>
      </c>
      <c r="B26" s="867">
        <f t="shared" si="12"/>
        <v>210</v>
      </c>
      <c r="C26" s="264">
        <v>21</v>
      </c>
      <c r="D26" s="264">
        <v>23</v>
      </c>
      <c r="E26" s="264">
        <v>16</v>
      </c>
      <c r="F26" s="264">
        <v>11</v>
      </c>
      <c r="G26" s="264">
        <v>14</v>
      </c>
      <c r="H26" s="264">
        <v>21</v>
      </c>
      <c r="I26" s="264">
        <v>28</v>
      </c>
      <c r="J26" s="264">
        <v>27</v>
      </c>
      <c r="K26" s="264">
        <v>10</v>
      </c>
      <c r="L26" s="264">
        <v>10</v>
      </c>
      <c r="M26" s="264">
        <v>14</v>
      </c>
      <c r="N26" s="264">
        <v>15</v>
      </c>
      <c r="O26" s="950" t="s">
        <v>233</v>
      </c>
      <c r="P26" s="949">
        <f t="shared" si="13"/>
        <v>4.5289999999999999</v>
      </c>
      <c r="Q26" s="948">
        <v>0.42599999999999999</v>
      </c>
      <c r="R26" s="948">
        <v>0.44400000000000001</v>
      </c>
      <c r="S26" s="948">
        <v>0.34299999999999997</v>
      </c>
      <c r="T26" s="948">
        <v>0.23799999999999999</v>
      </c>
      <c r="U26" s="948">
        <v>0.34499999999999997</v>
      </c>
      <c r="V26" s="948">
        <v>0.443</v>
      </c>
      <c r="W26" s="948">
        <v>0.54400000000000004</v>
      </c>
      <c r="X26" s="948">
        <v>0.57600000000000007</v>
      </c>
      <c r="Y26" s="948">
        <v>0.25600000000000001</v>
      </c>
      <c r="Z26" s="948">
        <v>0.24399999999999999</v>
      </c>
      <c r="AA26" s="948">
        <v>0.33</v>
      </c>
      <c r="AB26" s="948">
        <v>0.33999999999999997</v>
      </c>
      <c r="AC26" s="26" t="s">
        <v>233</v>
      </c>
      <c r="AD26" s="869">
        <f t="shared" si="9"/>
        <v>21.566666666666663</v>
      </c>
      <c r="AE26" s="265">
        <f t="shared" si="9"/>
        <v>20.285714285714285</v>
      </c>
      <c r="AF26" s="265">
        <f t="shared" si="9"/>
        <v>19.304347826086957</v>
      </c>
      <c r="AG26" s="265">
        <f t="shared" si="9"/>
        <v>21.4375</v>
      </c>
      <c r="AH26" s="265">
        <f t="shared" si="9"/>
        <v>21.636363636363633</v>
      </c>
      <c r="AI26" s="265">
        <f t="shared" si="9"/>
        <v>24.642857142857139</v>
      </c>
      <c r="AJ26" s="265">
        <f t="shared" si="9"/>
        <v>21.095238095238095</v>
      </c>
      <c r="AK26" s="265">
        <f t="shared" si="9"/>
        <v>19.428571428571431</v>
      </c>
      <c r="AL26" s="265">
        <f t="shared" si="9"/>
        <v>21.333333333333336</v>
      </c>
      <c r="AM26" s="265">
        <f t="shared" si="9"/>
        <v>25.6</v>
      </c>
      <c r="AN26" s="265">
        <f t="shared" si="9"/>
        <v>24.4</v>
      </c>
      <c r="AO26" s="265">
        <f t="shared" si="9"/>
        <v>23.571428571428573</v>
      </c>
      <c r="AP26" s="265">
        <f t="shared" si="9"/>
        <v>22.666666666666664</v>
      </c>
      <c r="AQ26" s="26" t="s">
        <v>233</v>
      </c>
      <c r="AR26" s="871">
        <f t="shared" si="14"/>
        <v>233</v>
      </c>
      <c r="AS26" s="162">
        <v>16</v>
      </c>
      <c r="AT26" s="162">
        <v>18</v>
      </c>
      <c r="AU26" s="162">
        <v>19</v>
      </c>
      <c r="AV26" s="162">
        <v>16</v>
      </c>
      <c r="AW26" s="162">
        <v>19</v>
      </c>
      <c r="AX26" s="162">
        <v>20</v>
      </c>
      <c r="AY26" s="162">
        <v>21</v>
      </c>
      <c r="AZ26" s="162">
        <v>20</v>
      </c>
      <c r="BA26" s="162">
        <v>19</v>
      </c>
      <c r="BB26" s="162">
        <v>23</v>
      </c>
      <c r="BC26" s="162">
        <v>24</v>
      </c>
      <c r="BD26" s="162">
        <v>18</v>
      </c>
      <c r="BE26" s="26" t="s">
        <v>233</v>
      </c>
      <c r="BF26" s="867">
        <f t="shared" si="15"/>
        <v>10.244999999999997</v>
      </c>
      <c r="BG26" s="264">
        <v>0.74</v>
      </c>
      <c r="BH26" s="264">
        <v>0.82499999999999996</v>
      </c>
      <c r="BI26" s="264">
        <v>0.77500000000000002</v>
      </c>
      <c r="BJ26" s="264">
        <v>0.68300000000000005</v>
      </c>
      <c r="BK26" s="264">
        <v>0.77400000000000002</v>
      </c>
      <c r="BL26" s="264">
        <v>1.004</v>
      </c>
      <c r="BM26" s="264">
        <v>1.081</v>
      </c>
      <c r="BN26" s="264">
        <v>1.0649999999999999</v>
      </c>
      <c r="BO26" s="264">
        <v>0.80600000000000005</v>
      </c>
      <c r="BP26" s="264">
        <v>0.89400000000000013</v>
      </c>
      <c r="BQ26" s="264">
        <v>0.84400000000000008</v>
      </c>
      <c r="BR26" s="264">
        <v>0.754</v>
      </c>
      <c r="BS26" s="26" t="s">
        <v>233</v>
      </c>
      <c r="BT26" s="873">
        <f t="shared" si="10"/>
        <v>43.969957081545054</v>
      </c>
      <c r="BU26" s="263">
        <f t="shared" si="10"/>
        <v>46.25</v>
      </c>
      <c r="BV26" s="263">
        <f t="shared" si="10"/>
        <v>45.833333333333329</v>
      </c>
      <c r="BW26" s="263">
        <f t="shared" si="10"/>
        <v>40.789473684210527</v>
      </c>
      <c r="BX26" s="263">
        <f t="shared" si="10"/>
        <v>42.6875</v>
      </c>
      <c r="BY26" s="263">
        <f t="shared" si="10"/>
        <v>40.736842105263165</v>
      </c>
      <c r="BZ26" s="263">
        <f t="shared" si="10"/>
        <v>50.2</v>
      </c>
      <c r="CA26" s="263">
        <f t="shared" si="10"/>
        <v>51.476190476190474</v>
      </c>
      <c r="CB26" s="263">
        <f t="shared" si="10"/>
        <v>53.25</v>
      </c>
      <c r="CC26" s="263">
        <f t="shared" si="10"/>
        <v>42.421052631578952</v>
      </c>
      <c r="CD26" s="263">
        <f t="shared" si="10"/>
        <v>38.869565217391305</v>
      </c>
      <c r="CE26" s="263">
        <f t="shared" si="10"/>
        <v>35.166666666666671</v>
      </c>
      <c r="CF26" s="263">
        <f t="shared" si="10"/>
        <v>41.888888888888893</v>
      </c>
      <c r="CG26" s="26" t="s">
        <v>233</v>
      </c>
      <c r="CH26" s="867">
        <f t="shared" si="16"/>
        <v>1316</v>
      </c>
      <c r="CI26" s="264">
        <v>55</v>
      </c>
      <c r="CJ26" s="264">
        <v>63</v>
      </c>
      <c r="CK26" s="264">
        <v>129</v>
      </c>
      <c r="CL26" s="264">
        <v>147</v>
      </c>
      <c r="CM26" s="264">
        <v>112</v>
      </c>
      <c r="CN26" s="264">
        <v>76</v>
      </c>
      <c r="CO26" s="264">
        <v>79</v>
      </c>
      <c r="CP26" s="264">
        <v>76</v>
      </c>
      <c r="CQ26" s="264">
        <v>166</v>
      </c>
      <c r="CR26" s="264">
        <v>154</v>
      </c>
      <c r="CS26" s="264">
        <v>111</v>
      </c>
      <c r="CT26" s="264">
        <v>148</v>
      </c>
      <c r="CU26" s="26" t="s">
        <v>233</v>
      </c>
      <c r="CV26" s="867">
        <f t="shared" si="17"/>
        <v>207.70500000000001</v>
      </c>
      <c r="CW26" s="264">
        <v>9.484</v>
      </c>
      <c r="CX26" s="264">
        <v>10.599</v>
      </c>
      <c r="CY26" s="264">
        <v>22.134999999999998</v>
      </c>
      <c r="CZ26" s="264">
        <v>21.901</v>
      </c>
      <c r="DA26" s="264">
        <v>17.263999999999999</v>
      </c>
      <c r="DB26" s="264">
        <v>12.443999999999999</v>
      </c>
      <c r="DC26" s="264">
        <v>12.718</v>
      </c>
      <c r="DD26" s="264">
        <v>12.556999999999999</v>
      </c>
      <c r="DE26" s="264">
        <v>24.483000000000001</v>
      </c>
      <c r="DF26" s="264">
        <v>23.243000000000002</v>
      </c>
      <c r="DG26" s="264">
        <v>17.721</v>
      </c>
      <c r="DH26" s="264">
        <v>23.155999999999999</v>
      </c>
      <c r="DI26" s="26" t="s">
        <v>233</v>
      </c>
      <c r="DJ26" s="873">
        <f t="shared" si="11"/>
        <v>157.83054711246203</v>
      </c>
      <c r="DK26" s="263">
        <f t="shared" si="11"/>
        <v>172.43636363636364</v>
      </c>
      <c r="DL26" s="263">
        <f t="shared" si="11"/>
        <v>168.23809523809524</v>
      </c>
      <c r="DM26" s="263">
        <f t="shared" si="11"/>
        <v>171.58914728682171</v>
      </c>
      <c r="DN26" s="263">
        <f t="shared" si="11"/>
        <v>148.9863945578231</v>
      </c>
      <c r="DO26" s="263">
        <f t="shared" si="11"/>
        <v>154.14285714285714</v>
      </c>
      <c r="DP26" s="263">
        <f t="shared" si="11"/>
        <v>163.73684210526315</v>
      </c>
      <c r="DQ26" s="263">
        <f t="shared" si="11"/>
        <v>160.98734177215189</v>
      </c>
      <c r="DR26" s="263">
        <f t="shared" si="11"/>
        <v>165.2236842105263</v>
      </c>
      <c r="DS26" s="263">
        <f t="shared" si="11"/>
        <v>147.48795180722894</v>
      </c>
      <c r="DT26" s="263">
        <f t="shared" si="11"/>
        <v>150.92857142857144</v>
      </c>
      <c r="DU26" s="263">
        <f t="shared" si="11"/>
        <v>159.64864864864865</v>
      </c>
      <c r="DV26" s="263">
        <f t="shared" si="11"/>
        <v>156.45945945945942</v>
      </c>
    </row>
    <row r="27" spans="1:126" ht="16" customHeight="1">
      <c r="A27" s="26" t="s">
        <v>234</v>
      </c>
      <c r="B27" s="867">
        <f t="shared" si="12"/>
        <v>27737</v>
      </c>
      <c r="C27" s="264">
        <v>1961</v>
      </c>
      <c r="D27" s="264">
        <v>2920</v>
      </c>
      <c r="E27" s="264">
        <v>2848</v>
      </c>
      <c r="F27" s="264">
        <v>2775</v>
      </c>
      <c r="G27" s="264">
        <v>2126</v>
      </c>
      <c r="H27" s="264">
        <v>2007</v>
      </c>
      <c r="I27" s="264">
        <v>2709</v>
      </c>
      <c r="J27" s="264">
        <v>1677</v>
      </c>
      <c r="K27" s="264">
        <v>2464</v>
      </c>
      <c r="L27" s="264">
        <v>1681</v>
      </c>
      <c r="M27" s="264">
        <v>2912</v>
      </c>
      <c r="N27" s="264">
        <v>1657</v>
      </c>
      <c r="O27" s="950" t="s">
        <v>234</v>
      </c>
      <c r="P27" s="949">
        <f t="shared" si="13"/>
        <v>389.56900000000002</v>
      </c>
      <c r="Q27" s="948">
        <v>26.643000000000001</v>
      </c>
      <c r="R27" s="948">
        <v>39.805</v>
      </c>
      <c r="S27" s="948">
        <v>38.024999999999999</v>
      </c>
      <c r="T27" s="948">
        <v>39.167999999999999</v>
      </c>
      <c r="U27" s="948">
        <v>29.762999999999998</v>
      </c>
      <c r="V27" s="948">
        <v>24.173000000000002</v>
      </c>
      <c r="W27" s="948">
        <v>32.427999999999997</v>
      </c>
      <c r="X27" s="948">
        <v>30.61</v>
      </c>
      <c r="Y27" s="948">
        <v>41.378999999999998</v>
      </c>
      <c r="Z27" s="948">
        <v>21.408999999999999</v>
      </c>
      <c r="AA27" s="948">
        <v>39.166000000000004</v>
      </c>
      <c r="AB27" s="948">
        <v>27</v>
      </c>
      <c r="AC27" s="26" t="s">
        <v>234</v>
      </c>
      <c r="AD27" s="869">
        <f t="shared" si="9"/>
        <v>14.045102210044345</v>
      </c>
      <c r="AE27" s="265">
        <f t="shared" si="9"/>
        <v>13.58643549209587</v>
      </c>
      <c r="AF27" s="265">
        <f t="shared" si="9"/>
        <v>13.631849315068493</v>
      </c>
      <c r="AG27" s="265">
        <f t="shared" si="9"/>
        <v>13.351474719101123</v>
      </c>
      <c r="AH27" s="265">
        <f t="shared" si="9"/>
        <v>14.114594594594594</v>
      </c>
      <c r="AI27" s="265">
        <f t="shared" si="9"/>
        <v>13.999529633113827</v>
      </c>
      <c r="AJ27" s="265">
        <f t="shared" si="9"/>
        <v>12.044344793223718</v>
      </c>
      <c r="AK27" s="265">
        <f t="shared" si="9"/>
        <v>11.970468807678108</v>
      </c>
      <c r="AL27" s="265">
        <f t="shared" si="9"/>
        <v>18.252832438878951</v>
      </c>
      <c r="AM27" s="265">
        <f t="shared" ref="AM27:AM34" si="18">(Y27/K27)*1000</f>
        <v>16.793425324675322</v>
      </c>
      <c r="AN27" s="265">
        <f t="shared" ref="AN27:AN34" si="19">(Z27/L27)*1000</f>
        <v>12.735871505056513</v>
      </c>
      <c r="AO27" s="265">
        <f t="shared" ref="AO27:AO34" si="20">(AA27/M27)*1000</f>
        <v>13.449862637362639</v>
      </c>
      <c r="AP27" s="265">
        <f t="shared" ref="AP27:AP34" si="21">(AB27/N27)*1000</f>
        <v>16.294508147254074</v>
      </c>
      <c r="AQ27" s="26" t="s">
        <v>234</v>
      </c>
      <c r="AR27" s="871">
        <f t="shared" si="14"/>
        <v>30695</v>
      </c>
      <c r="AS27" s="162">
        <v>2417</v>
      </c>
      <c r="AT27" s="162">
        <v>2956</v>
      </c>
      <c r="AU27" s="162">
        <v>3144</v>
      </c>
      <c r="AV27" s="162">
        <v>2664</v>
      </c>
      <c r="AW27" s="162">
        <v>2666</v>
      </c>
      <c r="AX27" s="162">
        <v>2139</v>
      </c>
      <c r="AY27" s="162">
        <v>2858</v>
      </c>
      <c r="AZ27" s="162">
        <v>2362</v>
      </c>
      <c r="BA27" s="162">
        <v>2376</v>
      </c>
      <c r="BB27" s="162">
        <v>2041</v>
      </c>
      <c r="BC27" s="162">
        <v>2762</v>
      </c>
      <c r="BD27" s="162">
        <v>2310</v>
      </c>
      <c r="BE27" s="26" t="s">
        <v>234</v>
      </c>
      <c r="BF27" s="867">
        <f t="shared" si="15"/>
        <v>1602.576</v>
      </c>
      <c r="BG27" s="264">
        <v>130.886</v>
      </c>
      <c r="BH27" s="264">
        <v>160.03699999999998</v>
      </c>
      <c r="BI27" s="264">
        <v>168.084</v>
      </c>
      <c r="BJ27" s="264">
        <v>141.15899999999999</v>
      </c>
      <c r="BK27" s="264">
        <v>140.71299999999999</v>
      </c>
      <c r="BL27" s="264">
        <v>93.25</v>
      </c>
      <c r="BM27" s="264">
        <v>153.19499999999999</v>
      </c>
      <c r="BN27" s="264">
        <v>111.006</v>
      </c>
      <c r="BO27" s="264">
        <v>117.121</v>
      </c>
      <c r="BP27" s="264">
        <v>108.68600000000001</v>
      </c>
      <c r="BQ27" s="264">
        <v>153.43900000000002</v>
      </c>
      <c r="BR27" s="264">
        <v>125</v>
      </c>
      <c r="BS27" s="26" t="s">
        <v>234</v>
      </c>
      <c r="BT27" s="873">
        <f t="shared" ref="BT27:CF35" si="22">(BF27/AR27)*1000</f>
        <v>52.209675842971166</v>
      </c>
      <c r="BU27" s="263">
        <f t="shared" si="22"/>
        <v>54.152254861398426</v>
      </c>
      <c r="BV27" s="263">
        <f t="shared" si="22"/>
        <v>54.139715832205674</v>
      </c>
      <c r="BW27" s="263">
        <f t="shared" si="22"/>
        <v>53.461832061068705</v>
      </c>
      <c r="BX27" s="263">
        <f t="shared" si="22"/>
        <v>52.987612612612608</v>
      </c>
      <c r="BY27" s="263">
        <f t="shared" si="22"/>
        <v>52.780570142535638</v>
      </c>
      <c r="BZ27" s="263">
        <f t="shared" si="22"/>
        <v>43.595137914913515</v>
      </c>
      <c r="CA27" s="263">
        <f t="shared" si="22"/>
        <v>53.602169349195243</v>
      </c>
      <c r="CB27" s="263">
        <f t="shared" si="22"/>
        <v>46.996613039796785</v>
      </c>
      <c r="CC27" s="263">
        <f>(BO27/BA27)*1000</f>
        <v>49.293350168350166</v>
      </c>
      <c r="CD27" s="263">
        <f>(BP27/BB27)*1000</f>
        <v>53.251347378735915</v>
      </c>
      <c r="CE27" s="263">
        <f>(BQ27/BC27)*1000</f>
        <v>55.553584359160041</v>
      </c>
      <c r="CF27" s="263">
        <f>(BR27/BD27)*1000</f>
        <v>54.112554112554115</v>
      </c>
      <c r="CG27" s="26" t="s">
        <v>234</v>
      </c>
      <c r="CH27" s="867">
        <f t="shared" si="16"/>
        <v>36993</v>
      </c>
      <c r="CI27" s="264">
        <v>3166</v>
      </c>
      <c r="CJ27" s="264">
        <v>2821</v>
      </c>
      <c r="CK27" s="264">
        <v>2848</v>
      </c>
      <c r="CL27" s="264">
        <v>2458</v>
      </c>
      <c r="CM27" s="264">
        <v>3329</v>
      </c>
      <c r="CN27" s="264">
        <v>2856</v>
      </c>
      <c r="CO27" s="264">
        <v>3379</v>
      </c>
      <c r="CP27" s="264">
        <v>3481</v>
      </c>
      <c r="CQ27" s="264">
        <v>2903</v>
      </c>
      <c r="CR27" s="264">
        <v>3105</v>
      </c>
      <c r="CS27" s="264">
        <v>3127</v>
      </c>
      <c r="CT27" s="264">
        <v>3520</v>
      </c>
      <c r="CU27" s="26" t="s">
        <v>234</v>
      </c>
      <c r="CV27" s="867">
        <f t="shared" si="17"/>
        <v>4779.1809999999996</v>
      </c>
      <c r="CW27" s="264">
        <v>372.411</v>
      </c>
      <c r="CX27" s="264">
        <v>342.23</v>
      </c>
      <c r="CY27" s="264">
        <v>342.50299999999999</v>
      </c>
      <c r="CZ27" s="264">
        <v>294.76900000000001</v>
      </c>
      <c r="DA27" s="264">
        <v>389.08699999999999</v>
      </c>
      <c r="DB27" s="264">
        <v>341.197</v>
      </c>
      <c r="DC27" s="264">
        <v>423.375</v>
      </c>
      <c r="DD27" s="264">
        <v>491.47699999999998</v>
      </c>
      <c r="DE27" s="264">
        <v>422.91899999999998</v>
      </c>
      <c r="DF27" s="264">
        <v>373.92899999999997</v>
      </c>
      <c r="DG27" s="264">
        <v>390.28399999999999</v>
      </c>
      <c r="DH27" s="264">
        <v>595</v>
      </c>
      <c r="DI27" s="26" t="s">
        <v>234</v>
      </c>
      <c r="DJ27" s="873">
        <f t="shared" si="11"/>
        <v>129.19149568837346</v>
      </c>
      <c r="DK27" s="263">
        <f t="shared" si="11"/>
        <v>117.62823752368919</v>
      </c>
      <c r="DL27" s="263">
        <f t="shared" si="11"/>
        <v>121.3151364764268</v>
      </c>
      <c r="DM27" s="263">
        <f t="shared" si="11"/>
        <v>120.26088483146066</v>
      </c>
      <c r="DN27" s="263">
        <f t="shared" si="11"/>
        <v>119.92229454841335</v>
      </c>
      <c r="DO27" s="263">
        <f t="shared" si="11"/>
        <v>116.87804145389005</v>
      </c>
      <c r="DP27" s="263">
        <f t="shared" si="11"/>
        <v>119.46673669467788</v>
      </c>
      <c r="DQ27" s="263">
        <f t="shared" si="11"/>
        <v>125.29594554601952</v>
      </c>
      <c r="DR27" s="263">
        <f t="shared" ref="DR27:DV36" si="23">(DD27/CP27)*1000</f>
        <v>141.18845159436944</v>
      </c>
      <c r="DS27" s="263">
        <f t="shared" si="23"/>
        <v>145.68343093351703</v>
      </c>
      <c r="DT27" s="263">
        <f t="shared" si="23"/>
        <v>120.42801932367149</v>
      </c>
      <c r="DU27" s="263">
        <f t="shared" si="23"/>
        <v>124.81100095938599</v>
      </c>
      <c r="DV27" s="263">
        <f t="shared" si="23"/>
        <v>169.03409090909091</v>
      </c>
    </row>
    <row r="28" spans="1:126" ht="16" customHeight="1">
      <c r="A28" s="26" t="s">
        <v>235</v>
      </c>
      <c r="B28" s="867">
        <f t="shared" si="12"/>
        <v>7703</v>
      </c>
      <c r="C28" s="264">
        <v>640</v>
      </c>
      <c r="D28" s="264">
        <v>670</v>
      </c>
      <c r="E28" s="264">
        <v>670</v>
      </c>
      <c r="F28" s="264">
        <v>615</v>
      </c>
      <c r="G28" s="264">
        <v>545</v>
      </c>
      <c r="H28" s="264">
        <v>610</v>
      </c>
      <c r="I28" s="264">
        <v>635</v>
      </c>
      <c r="J28" s="264">
        <v>637</v>
      </c>
      <c r="K28" s="264">
        <v>633</v>
      </c>
      <c r="L28" s="264">
        <v>655</v>
      </c>
      <c r="M28" s="264">
        <v>703</v>
      </c>
      <c r="N28" s="264">
        <v>690</v>
      </c>
      <c r="O28" s="950" t="s">
        <v>235</v>
      </c>
      <c r="P28" s="949">
        <f t="shared" si="13"/>
        <v>97.666900000000012</v>
      </c>
      <c r="Q28" s="948">
        <v>8.1404999999999994</v>
      </c>
      <c r="R28" s="948">
        <v>8.4757499999999997</v>
      </c>
      <c r="S28" s="948">
        <v>8.5374999999999996</v>
      </c>
      <c r="T28" s="948">
        <v>7.7902500000000003</v>
      </c>
      <c r="U28" s="948">
        <v>6.9467499999999998</v>
      </c>
      <c r="V28" s="948">
        <v>7.7092499999999999</v>
      </c>
      <c r="W28" s="948">
        <v>8.1462500000000002</v>
      </c>
      <c r="X28" s="948">
        <v>8.1891999999999996</v>
      </c>
      <c r="Y28" s="948">
        <v>7.9952500000000004</v>
      </c>
      <c r="Z28" s="948">
        <v>8.2067499999999995</v>
      </c>
      <c r="AA28" s="948">
        <v>8.8114500000000007</v>
      </c>
      <c r="AB28" s="948">
        <v>8.718</v>
      </c>
      <c r="AC28" s="26" t="s">
        <v>235</v>
      </c>
      <c r="AD28" s="869">
        <f t="shared" ref="AD28:AL34" si="24">(P28/B28)*1000</f>
        <v>12.679073088407115</v>
      </c>
      <c r="AE28" s="265">
        <f t="shared" si="24"/>
        <v>12.719531249999999</v>
      </c>
      <c r="AF28" s="265">
        <f t="shared" si="24"/>
        <v>12.650373134328357</v>
      </c>
      <c r="AG28" s="265">
        <f t="shared" si="24"/>
        <v>12.742537313432836</v>
      </c>
      <c r="AH28" s="265">
        <f t="shared" si="24"/>
        <v>12.667073170731708</v>
      </c>
      <c r="AI28" s="265">
        <f t="shared" si="24"/>
        <v>12.746330275229356</v>
      </c>
      <c r="AJ28" s="265">
        <f t="shared" si="24"/>
        <v>12.63811475409836</v>
      </c>
      <c r="AK28" s="265">
        <f t="shared" si="24"/>
        <v>12.828740157480315</v>
      </c>
      <c r="AL28" s="265">
        <f t="shared" si="24"/>
        <v>12.855886970172683</v>
      </c>
      <c r="AM28" s="265">
        <f t="shared" si="18"/>
        <v>12.630726698262244</v>
      </c>
      <c r="AN28" s="265">
        <f t="shared" si="19"/>
        <v>12.529389312977099</v>
      </c>
      <c r="AO28" s="265">
        <f t="shared" si="20"/>
        <v>12.534068278805123</v>
      </c>
      <c r="AP28" s="265">
        <f t="shared" si="21"/>
        <v>12.634782608695652</v>
      </c>
      <c r="AQ28" s="26" t="s">
        <v>235</v>
      </c>
      <c r="AR28" s="871">
        <f t="shared" si="14"/>
        <v>10754</v>
      </c>
      <c r="AS28" s="162">
        <v>951</v>
      </c>
      <c r="AT28" s="162">
        <v>998</v>
      </c>
      <c r="AU28" s="162">
        <v>926</v>
      </c>
      <c r="AV28" s="162">
        <v>847</v>
      </c>
      <c r="AW28" s="162">
        <v>745</v>
      </c>
      <c r="AX28" s="162">
        <v>782</v>
      </c>
      <c r="AY28" s="162">
        <v>805</v>
      </c>
      <c r="AZ28" s="162">
        <v>860</v>
      </c>
      <c r="BA28" s="162">
        <v>888</v>
      </c>
      <c r="BB28" s="162">
        <v>947</v>
      </c>
      <c r="BC28" s="162">
        <v>958</v>
      </c>
      <c r="BD28" s="162">
        <v>1047</v>
      </c>
      <c r="BE28" s="26" t="s">
        <v>235</v>
      </c>
      <c r="BF28" s="867">
        <f t="shared" si="15"/>
        <v>464.90325000000001</v>
      </c>
      <c r="BG28" s="264">
        <v>40.710899999999995</v>
      </c>
      <c r="BH28" s="264">
        <v>42.882249999999999</v>
      </c>
      <c r="BI28" s="264">
        <v>39.952249999999999</v>
      </c>
      <c r="BJ28" s="264">
        <v>36.573650000000001</v>
      </c>
      <c r="BK28" s="264">
        <v>32.372249999999994</v>
      </c>
      <c r="BL28" s="264">
        <v>33.936999999999998</v>
      </c>
      <c r="BM28" s="264">
        <v>34.611249999999998</v>
      </c>
      <c r="BN28" s="264">
        <v>37.075000000000003</v>
      </c>
      <c r="BO28" s="264">
        <v>38.486499999999999</v>
      </c>
      <c r="BP28" s="264">
        <v>41.070999999999998</v>
      </c>
      <c r="BQ28" s="264">
        <v>41.795500000000004</v>
      </c>
      <c r="BR28" s="264">
        <v>45.435700000000004</v>
      </c>
      <c r="BS28" s="26" t="s">
        <v>235</v>
      </c>
      <c r="BT28" s="873">
        <f t="shared" si="22"/>
        <v>43.230728101171657</v>
      </c>
      <c r="BU28" s="263">
        <f t="shared" si="22"/>
        <v>42.808517350157729</v>
      </c>
      <c r="BV28" s="263">
        <f t="shared" si="22"/>
        <v>42.968186372745492</v>
      </c>
      <c r="BW28" s="263">
        <f t="shared" si="22"/>
        <v>43.144978401727862</v>
      </c>
      <c r="BX28" s="263">
        <f t="shared" si="22"/>
        <v>43.180224321133416</v>
      </c>
      <c r="BY28" s="263">
        <f t="shared" si="22"/>
        <v>43.452684563758382</v>
      </c>
      <c r="BZ28" s="263">
        <f t="shared" si="22"/>
        <v>43.397698209718662</v>
      </c>
      <c r="CA28" s="263">
        <f t="shared" si="22"/>
        <v>42.995341614906835</v>
      </c>
      <c r="CB28" s="263">
        <f t="shared" si="22"/>
        <v>43.110465116279073</v>
      </c>
      <c r="CC28" s="263">
        <f t="shared" si="22"/>
        <v>43.340653153153148</v>
      </c>
      <c r="CD28" s="263">
        <f t="shared" si="22"/>
        <v>43.369588173178457</v>
      </c>
      <c r="CE28" s="263">
        <f t="shared" si="22"/>
        <v>43.627870563674328</v>
      </c>
      <c r="CF28" s="263">
        <f t="shared" si="22"/>
        <v>43.396084049665717</v>
      </c>
      <c r="CG28" s="26" t="s">
        <v>235</v>
      </c>
      <c r="CH28" s="867">
        <f t="shared" si="16"/>
        <v>14710</v>
      </c>
      <c r="CI28" s="264">
        <v>1192</v>
      </c>
      <c r="CJ28" s="264">
        <v>1195</v>
      </c>
      <c r="CK28" s="264">
        <v>1175</v>
      </c>
      <c r="CL28" s="264">
        <v>1050</v>
      </c>
      <c r="CM28" s="264">
        <v>1055</v>
      </c>
      <c r="CN28" s="264">
        <v>1110</v>
      </c>
      <c r="CO28" s="264">
        <v>1260</v>
      </c>
      <c r="CP28" s="264">
        <v>1181</v>
      </c>
      <c r="CQ28" s="264">
        <v>1290</v>
      </c>
      <c r="CR28" s="264">
        <v>1287</v>
      </c>
      <c r="CS28" s="264">
        <v>1330</v>
      </c>
      <c r="CT28" s="264">
        <v>1585</v>
      </c>
      <c r="CU28" s="26" t="s">
        <v>235</v>
      </c>
      <c r="CV28" s="867">
        <f t="shared" si="17"/>
        <v>1693.49845</v>
      </c>
      <c r="CW28" s="264">
        <v>136.554</v>
      </c>
      <c r="CX28" s="264">
        <v>137.11099999999999</v>
      </c>
      <c r="CY28" s="264">
        <v>134.98950000000002</v>
      </c>
      <c r="CZ28" s="264">
        <v>120.554</v>
      </c>
      <c r="DA28" s="264">
        <v>121.36775</v>
      </c>
      <c r="DB28" s="264">
        <v>128.26100000000002</v>
      </c>
      <c r="DC28" s="264">
        <v>145.84899999999999</v>
      </c>
      <c r="DD28" s="264">
        <v>136.47365000000002</v>
      </c>
      <c r="DE28" s="264">
        <v>148.59960000000001</v>
      </c>
      <c r="DF28" s="264">
        <v>147.91720000000001</v>
      </c>
      <c r="DG28" s="264">
        <v>153.11799999999999</v>
      </c>
      <c r="DH28" s="264">
        <v>182.70375000000001</v>
      </c>
      <c r="DI28" s="26" t="s">
        <v>235</v>
      </c>
      <c r="DJ28" s="873">
        <f t="shared" ref="DJ28:DQ36" si="25">(CV28/CH28)*1000</f>
        <v>115.12565941536371</v>
      </c>
      <c r="DK28" s="263">
        <f t="shared" si="25"/>
        <v>114.55872483221476</v>
      </c>
      <c r="DL28" s="263">
        <f t="shared" si="25"/>
        <v>114.73723849372385</v>
      </c>
      <c r="DM28" s="263">
        <f t="shared" si="25"/>
        <v>114.88468085106385</v>
      </c>
      <c r="DN28" s="263">
        <f t="shared" si="25"/>
        <v>114.81333333333333</v>
      </c>
      <c r="DO28" s="263">
        <f t="shared" si="25"/>
        <v>115.04052132701422</v>
      </c>
      <c r="DP28" s="263">
        <f t="shared" si="25"/>
        <v>115.55045045045047</v>
      </c>
      <c r="DQ28" s="263">
        <f t="shared" si="25"/>
        <v>115.7531746031746</v>
      </c>
      <c r="DR28" s="263">
        <f t="shared" si="23"/>
        <v>115.55770533446234</v>
      </c>
      <c r="DS28" s="263">
        <f t="shared" si="23"/>
        <v>115.19348837209303</v>
      </c>
      <c r="DT28" s="263">
        <f t="shared" si="23"/>
        <v>114.93177933177934</v>
      </c>
      <c r="DU28" s="263">
        <f t="shared" si="23"/>
        <v>115.12631578947368</v>
      </c>
      <c r="DV28" s="263">
        <f t="shared" si="23"/>
        <v>115.27050473186121</v>
      </c>
    </row>
    <row r="29" spans="1:126" ht="16" customHeight="1">
      <c r="A29" s="26" t="s">
        <v>236</v>
      </c>
      <c r="B29" s="867">
        <f t="shared" si="12"/>
        <v>3450</v>
      </c>
      <c r="C29" s="264">
        <v>290</v>
      </c>
      <c r="D29" s="264">
        <v>310</v>
      </c>
      <c r="E29" s="264">
        <v>305</v>
      </c>
      <c r="F29" s="264">
        <v>275</v>
      </c>
      <c r="G29" s="264">
        <v>255</v>
      </c>
      <c r="H29" s="264">
        <v>270</v>
      </c>
      <c r="I29" s="264">
        <v>275</v>
      </c>
      <c r="J29" s="264">
        <v>272</v>
      </c>
      <c r="K29" s="264">
        <v>265</v>
      </c>
      <c r="L29" s="264">
        <v>290</v>
      </c>
      <c r="M29" s="264">
        <v>313</v>
      </c>
      <c r="N29" s="264">
        <v>330</v>
      </c>
      <c r="O29" s="950" t="s">
        <v>236</v>
      </c>
      <c r="P29" s="949">
        <f t="shared" si="13"/>
        <v>41.708699999999993</v>
      </c>
      <c r="Q29" s="948">
        <v>3.5065</v>
      </c>
      <c r="R29" s="948">
        <v>3.8064999999999998</v>
      </c>
      <c r="S29" s="948">
        <v>3.74925</v>
      </c>
      <c r="T29" s="948">
        <v>3.3182499999999999</v>
      </c>
      <c r="U29" s="948">
        <v>3.0367500000000001</v>
      </c>
      <c r="V29" s="948">
        <v>3.1915</v>
      </c>
      <c r="W29" s="948">
        <v>3.2742499999999999</v>
      </c>
      <c r="X29" s="948">
        <v>3.2442000000000002</v>
      </c>
      <c r="Y29" s="948">
        <v>3.1537500000000001</v>
      </c>
      <c r="Z29" s="948">
        <v>3.5640000000000001</v>
      </c>
      <c r="AA29" s="948">
        <v>3.8182499999999999</v>
      </c>
      <c r="AB29" s="948">
        <v>4.0454999999999997</v>
      </c>
      <c r="AC29" s="26" t="s">
        <v>236</v>
      </c>
      <c r="AD29" s="869">
        <f t="shared" si="24"/>
        <v>12.089478260869562</v>
      </c>
      <c r="AE29" s="265">
        <f t="shared" si="24"/>
        <v>12.091379310344827</v>
      </c>
      <c r="AF29" s="265">
        <f t="shared" si="24"/>
        <v>12.279032258064515</v>
      </c>
      <c r="AG29" s="265">
        <f t="shared" si="24"/>
        <v>12.292622950819673</v>
      </c>
      <c r="AH29" s="265">
        <f t="shared" si="24"/>
        <v>12.066363636363635</v>
      </c>
      <c r="AI29" s="265">
        <f t="shared" si="24"/>
        <v>11.908823529411766</v>
      </c>
      <c r="AJ29" s="265">
        <f t="shared" si="24"/>
        <v>11.82037037037037</v>
      </c>
      <c r="AK29" s="265">
        <f t="shared" si="24"/>
        <v>11.906363636363636</v>
      </c>
      <c r="AL29" s="265">
        <f t="shared" si="24"/>
        <v>11.927205882352942</v>
      </c>
      <c r="AM29" s="265">
        <f t="shared" si="18"/>
        <v>11.900943396226415</v>
      </c>
      <c r="AN29" s="265">
        <f t="shared" si="19"/>
        <v>12.289655172413793</v>
      </c>
      <c r="AO29" s="265">
        <f t="shared" si="20"/>
        <v>12.19888178913738</v>
      </c>
      <c r="AP29" s="265">
        <f t="shared" si="21"/>
        <v>12.259090909090908</v>
      </c>
      <c r="AQ29" s="26" t="s">
        <v>236</v>
      </c>
      <c r="AR29" s="871">
        <f t="shared" si="14"/>
        <v>4602</v>
      </c>
      <c r="AS29" s="162">
        <v>446</v>
      </c>
      <c r="AT29" s="162">
        <v>467</v>
      </c>
      <c r="AU29" s="162">
        <v>440</v>
      </c>
      <c r="AV29" s="162">
        <v>377</v>
      </c>
      <c r="AW29" s="162">
        <v>320</v>
      </c>
      <c r="AX29" s="162">
        <v>334</v>
      </c>
      <c r="AY29" s="162">
        <v>340</v>
      </c>
      <c r="AZ29" s="162">
        <v>348</v>
      </c>
      <c r="BA29" s="162">
        <v>348</v>
      </c>
      <c r="BB29" s="162">
        <v>377</v>
      </c>
      <c r="BC29" s="162">
        <v>363</v>
      </c>
      <c r="BD29" s="162">
        <v>442</v>
      </c>
      <c r="BE29" s="26" t="s">
        <v>236</v>
      </c>
      <c r="BF29" s="867">
        <f t="shared" si="15"/>
        <v>190.98824999999999</v>
      </c>
      <c r="BG29" s="264">
        <v>18.450399999999998</v>
      </c>
      <c r="BH29" s="264">
        <v>19.376000000000001</v>
      </c>
      <c r="BI29" s="264">
        <v>18.376249999999999</v>
      </c>
      <c r="BJ29" s="264">
        <v>15.590150000000001</v>
      </c>
      <c r="BK29" s="264">
        <v>13.265000000000001</v>
      </c>
      <c r="BL29" s="264">
        <v>13.846</v>
      </c>
      <c r="BM29" s="264">
        <v>14.026250000000001</v>
      </c>
      <c r="BN29" s="264">
        <v>14.365</v>
      </c>
      <c r="BO29" s="264">
        <v>14.461500000000001</v>
      </c>
      <c r="BP29" s="264">
        <v>15.736000000000001</v>
      </c>
      <c r="BQ29" s="264">
        <v>15.183</v>
      </c>
      <c r="BR29" s="264">
        <v>18.3127</v>
      </c>
      <c r="BS29" s="26" t="s">
        <v>236</v>
      </c>
      <c r="BT29" s="873">
        <f t="shared" si="22"/>
        <v>41.501140808344196</v>
      </c>
      <c r="BU29" s="263">
        <f t="shared" si="22"/>
        <v>41.368609865470852</v>
      </c>
      <c r="BV29" s="263">
        <f t="shared" si="22"/>
        <v>41.490364025695932</v>
      </c>
      <c r="BW29" s="263">
        <f t="shared" si="22"/>
        <v>41.76420454545454</v>
      </c>
      <c r="BX29" s="263">
        <f t="shared" si="22"/>
        <v>41.353183023872681</v>
      </c>
      <c r="BY29" s="263">
        <f t="shared" si="22"/>
        <v>41.453125</v>
      </c>
      <c r="BZ29" s="263">
        <f t="shared" si="22"/>
        <v>41.455089820359284</v>
      </c>
      <c r="CA29" s="263">
        <f t="shared" si="22"/>
        <v>41.253676470588239</v>
      </c>
      <c r="CB29" s="263">
        <f t="shared" si="22"/>
        <v>41.27873563218391</v>
      </c>
      <c r="CC29" s="263">
        <f t="shared" si="22"/>
        <v>41.556034482758626</v>
      </c>
      <c r="CD29" s="263">
        <f t="shared" si="22"/>
        <v>41.740053050397883</v>
      </c>
      <c r="CE29" s="263">
        <f t="shared" si="22"/>
        <v>41.826446280991732</v>
      </c>
      <c r="CF29" s="263">
        <f t="shared" si="22"/>
        <v>41.431447963800906</v>
      </c>
      <c r="CG29" s="26" t="s">
        <v>236</v>
      </c>
      <c r="CH29" s="867">
        <f t="shared" si="16"/>
        <v>6830</v>
      </c>
      <c r="CI29" s="264">
        <v>570</v>
      </c>
      <c r="CJ29" s="264">
        <v>570</v>
      </c>
      <c r="CK29" s="264">
        <v>550</v>
      </c>
      <c r="CL29" s="264">
        <v>500</v>
      </c>
      <c r="CM29" s="264">
        <v>500</v>
      </c>
      <c r="CN29" s="264">
        <v>490</v>
      </c>
      <c r="CO29" s="264">
        <v>580</v>
      </c>
      <c r="CP29" s="264">
        <v>555</v>
      </c>
      <c r="CQ29" s="264">
        <v>615</v>
      </c>
      <c r="CR29" s="264">
        <v>595</v>
      </c>
      <c r="CS29" s="264">
        <v>570</v>
      </c>
      <c r="CT29" s="264">
        <v>735</v>
      </c>
      <c r="CU29" s="26" t="s">
        <v>236</v>
      </c>
      <c r="CV29" s="867">
        <f t="shared" si="17"/>
        <v>774.1957000000001</v>
      </c>
      <c r="CW29" s="264">
        <v>64.275000000000006</v>
      </c>
      <c r="CX29" s="264">
        <v>64.37</v>
      </c>
      <c r="CY29" s="264">
        <v>62.15</v>
      </c>
      <c r="CZ29" s="264">
        <v>56.55</v>
      </c>
      <c r="DA29" s="264">
        <v>56.778500000000001</v>
      </c>
      <c r="DB29" s="264">
        <v>55.870999999999995</v>
      </c>
      <c r="DC29" s="264">
        <v>66.289000000000001</v>
      </c>
      <c r="DD29" s="264">
        <v>63.011250000000004</v>
      </c>
      <c r="DE29" s="264">
        <v>69.728700000000003</v>
      </c>
      <c r="DF29" s="264">
        <v>67.3155</v>
      </c>
      <c r="DG29" s="264">
        <v>64.456999999999994</v>
      </c>
      <c r="DH29" s="264">
        <v>83.399749999999997</v>
      </c>
      <c r="DI29" s="26" t="s">
        <v>236</v>
      </c>
      <c r="DJ29" s="873">
        <f t="shared" si="25"/>
        <v>113.35222547584189</v>
      </c>
      <c r="DK29" s="263">
        <f t="shared" si="25"/>
        <v>112.76315789473686</v>
      </c>
      <c r="DL29" s="263">
        <f t="shared" si="25"/>
        <v>112.92982456140352</v>
      </c>
      <c r="DM29" s="263">
        <f t="shared" si="25"/>
        <v>113</v>
      </c>
      <c r="DN29" s="263">
        <f t="shared" si="25"/>
        <v>113.1</v>
      </c>
      <c r="DO29" s="263">
        <f t="shared" si="25"/>
        <v>113.557</v>
      </c>
      <c r="DP29" s="263">
        <f t="shared" si="25"/>
        <v>114.02244897959183</v>
      </c>
      <c r="DQ29" s="263">
        <f t="shared" si="25"/>
        <v>114.29137931034484</v>
      </c>
      <c r="DR29" s="263">
        <f t="shared" si="23"/>
        <v>113.53378378378379</v>
      </c>
      <c r="DS29" s="263">
        <f t="shared" si="23"/>
        <v>113.38000000000001</v>
      </c>
      <c r="DT29" s="263">
        <f t="shared" si="23"/>
        <v>113.13529411764705</v>
      </c>
      <c r="DU29" s="263">
        <f t="shared" si="23"/>
        <v>113.08245614035087</v>
      </c>
      <c r="DV29" s="263">
        <f t="shared" si="23"/>
        <v>113.46904761904763</v>
      </c>
    </row>
    <row r="30" spans="1:126" ht="16" customHeight="1">
      <c r="A30" s="26" t="s">
        <v>237</v>
      </c>
      <c r="B30" s="867">
        <f t="shared" si="12"/>
        <v>4253</v>
      </c>
      <c r="C30" s="264">
        <v>350</v>
      </c>
      <c r="D30" s="264">
        <v>360</v>
      </c>
      <c r="E30" s="264">
        <v>365</v>
      </c>
      <c r="F30" s="264">
        <v>340</v>
      </c>
      <c r="G30" s="264">
        <v>290</v>
      </c>
      <c r="H30" s="264">
        <v>340</v>
      </c>
      <c r="I30" s="264">
        <v>360</v>
      </c>
      <c r="J30" s="264">
        <v>365</v>
      </c>
      <c r="K30" s="264">
        <v>368</v>
      </c>
      <c r="L30" s="264">
        <v>365</v>
      </c>
      <c r="M30" s="264">
        <v>390</v>
      </c>
      <c r="N30" s="264">
        <v>360</v>
      </c>
      <c r="O30" s="950" t="s">
        <v>237</v>
      </c>
      <c r="P30" s="949">
        <f t="shared" si="13"/>
        <v>55.958199999999998</v>
      </c>
      <c r="Q30" s="948">
        <v>4.6340000000000003</v>
      </c>
      <c r="R30" s="948">
        <v>4.6692499999999999</v>
      </c>
      <c r="S30" s="948">
        <v>4.7882499999999997</v>
      </c>
      <c r="T30" s="948">
        <v>4.4719999999999995</v>
      </c>
      <c r="U30" s="948">
        <v>3.91</v>
      </c>
      <c r="V30" s="948">
        <v>4.5177499999999995</v>
      </c>
      <c r="W30" s="948">
        <v>4.8719999999999999</v>
      </c>
      <c r="X30" s="948">
        <v>4.9450000000000003</v>
      </c>
      <c r="Y30" s="948">
        <v>4.8414999999999999</v>
      </c>
      <c r="Z30" s="948">
        <v>4.6427499999999995</v>
      </c>
      <c r="AA30" s="948">
        <v>4.9931999999999999</v>
      </c>
      <c r="AB30" s="948">
        <v>4.6724999999999994</v>
      </c>
      <c r="AC30" s="26" t="s">
        <v>237</v>
      </c>
      <c r="AD30" s="869">
        <f t="shared" si="24"/>
        <v>13.157347754526215</v>
      </c>
      <c r="AE30" s="265">
        <f t="shared" si="24"/>
        <v>13.240000000000002</v>
      </c>
      <c r="AF30" s="265">
        <f t="shared" si="24"/>
        <v>12.970138888888888</v>
      </c>
      <c r="AG30" s="265">
        <f t="shared" si="24"/>
        <v>13.11849315068493</v>
      </c>
      <c r="AH30" s="265">
        <f t="shared" si="24"/>
        <v>13.152941176470586</v>
      </c>
      <c r="AI30" s="265">
        <f t="shared" si="24"/>
        <v>13.482758620689655</v>
      </c>
      <c r="AJ30" s="265">
        <f t="shared" si="24"/>
        <v>13.2875</v>
      </c>
      <c r="AK30" s="265">
        <f t="shared" si="24"/>
        <v>13.533333333333333</v>
      </c>
      <c r="AL30" s="265">
        <f t="shared" si="24"/>
        <v>13.547945205479454</v>
      </c>
      <c r="AM30" s="265">
        <f t="shared" si="18"/>
        <v>13.15625</v>
      </c>
      <c r="AN30" s="265">
        <f t="shared" si="19"/>
        <v>12.719863013698628</v>
      </c>
      <c r="AO30" s="265">
        <f t="shared" si="20"/>
        <v>12.803076923076922</v>
      </c>
      <c r="AP30" s="265">
        <f t="shared" si="21"/>
        <v>12.979166666666664</v>
      </c>
      <c r="AQ30" s="26" t="s">
        <v>237</v>
      </c>
      <c r="AR30" s="871">
        <f t="shared" si="14"/>
        <v>6152</v>
      </c>
      <c r="AS30" s="162">
        <v>505</v>
      </c>
      <c r="AT30" s="162">
        <v>531</v>
      </c>
      <c r="AU30" s="162">
        <v>486</v>
      </c>
      <c r="AV30" s="162">
        <v>470</v>
      </c>
      <c r="AW30" s="162">
        <v>425</v>
      </c>
      <c r="AX30" s="162">
        <v>448</v>
      </c>
      <c r="AY30" s="162">
        <v>465</v>
      </c>
      <c r="AZ30" s="162">
        <v>512</v>
      </c>
      <c r="BA30" s="162">
        <v>540</v>
      </c>
      <c r="BB30" s="162">
        <v>570</v>
      </c>
      <c r="BC30" s="162">
        <v>595</v>
      </c>
      <c r="BD30" s="162">
        <v>605</v>
      </c>
      <c r="BE30" s="26" t="s">
        <v>237</v>
      </c>
      <c r="BF30" s="867">
        <f t="shared" si="15"/>
        <v>273.91500000000002</v>
      </c>
      <c r="BG30" s="264">
        <v>22.2605</v>
      </c>
      <c r="BH30" s="264">
        <v>23.506250000000001</v>
      </c>
      <c r="BI30" s="264">
        <v>21.576000000000001</v>
      </c>
      <c r="BJ30" s="264">
        <v>20.983499999999999</v>
      </c>
      <c r="BK30" s="264">
        <v>19.107250000000001</v>
      </c>
      <c r="BL30" s="264">
        <v>20.091000000000001</v>
      </c>
      <c r="BM30" s="264">
        <v>20.585000000000001</v>
      </c>
      <c r="BN30" s="264">
        <v>22.71</v>
      </c>
      <c r="BO30" s="264">
        <v>24.024999999999999</v>
      </c>
      <c r="BP30" s="264">
        <v>25.335000000000001</v>
      </c>
      <c r="BQ30" s="264">
        <v>26.612500000000001</v>
      </c>
      <c r="BR30" s="264">
        <v>27.123000000000005</v>
      </c>
      <c r="BS30" s="26" t="s">
        <v>237</v>
      </c>
      <c r="BT30" s="873">
        <f t="shared" si="22"/>
        <v>44.524544863459042</v>
      </c>
      <c r="BU30" s="263">
        <f t="shared" si="22"/>
        <v>44.080198019801983</v>
      </c>
      <c r="BV30" s="263">
        <f t="shared" si="22"/>
        <v>44.267890772128062</v>
      </c>
      <c r="BW30" s="263">
        <f t="shared" si="22"/>
        <v>44.395061728395063</v>
      </c>
      <c r="BX30" s="263">
        <f t="shared" si="22"/>
        <v>44.645744680851067</v>
      </c>
      <c r="BY30" s="263">
        <f t="shared" si="22"/>
        <v>44.95823529411765</v>
      </c>
      <c r="BZ30" s="263">
        <f t="shared" si="22"/>
        <v>44.845982142857139</v>
      </c>
      <c r="CA30" s="263">
        <f t="shared" si="22"/>
        <v>44.268817204301079</v>
      </c>
      <c r="CB30" s="263">
        <f t="shared" si="22"/>
        <v>44.35546875</v>
      </c>
      <c r="CC30" s="263">
        <f t="shared" si="22"/>
        <v>44.49074074074074</v>
      </c>
      <c r="CD30" s="263">
        <f t="shared" si="22"/>
        <v>44.44736842105263</v>
      </c>
      <c r="CE30" s="263">
        <f t="shared" si="22"/>
        <v>44.726890756302517</v>
      </c>
      <c r="CF30" s="263">
        <f t="shared" si="22"/>
        <v>44.831404958677695</v>
      </c>
      <c r="CG30" s="26" t="s">
        <v>237</v>
      </c>
      <c r="CH30" s="867">
        <f t="shared" si="16"/>
        <v>7880</v>
      </c>
      <c r="CI30" s="264">
        <v>622</v>
      </c>
      <c r="CJ30" s="264">
        <v>625</v>
      </c>
      <c r="CK30" s="264">
        <v>625</v>
      </c>
      <c r="CL30" s="264">
        <v>550</v>
      </c>
      <c r="CM30" s="264">
        <v>555</v>
      </c>
      <c r="CN30" s="264">
        <v>620</v>
      </c>
      <c r="CO30" s="264">
        <v>680</v>
      </c>
      <c r="CP30" s="264">
        <v>626</v>
      </c>
      <c r="CQ30" s="264">
        <v>675</v>
      </c>
      <c r="CR30" s="264">
        <v>692</v>
      </c>
      <c r="CS30" s="264">
        <v>760</v>
      </c>
      <c r="CT30" s="264">
        <v>850</v>
      </c>
      <c r="CU30" s="26" t="s">
        <v>237</v>
      </c>
      <c r="CV30" s="867">
        <f t="shared" si="17"/>
        <v>919.30274999999995</v>
      </c>
      <c r="CW30" s="264">
        <v>72.278999999999996</v>
      </c>
      <c r="CX30" s="264">
        <v>72.741</v>
      </c>
      <c r="CY30" s="264">
        <v>72.839500000000001</v>
      </c>
      <c r="CZ30" s="264">
        <v>64.003999999999991</v>
      </c>
      <c r="DA30" s="264">
        <v>64.589249999999993</v>
      </c>
      <c r="DB30" s="264">
        <v>72.39</v>
      </c>
      <c r="DC30" s="264">
        <v>79.56</v>
      </c>
      <c r="DD30" s="264">
        <v>73.462400000000002</v>
      </c>
      <c r="DE30" s="264">
        <v>78.870900000000006</v>
      </c>
      <c r="DF30" s="264">
        <v>80.601699999999994</v>
      </c>
      <c r="DG30" s="264">
        <v>88.661000000000001</v>
      </c>
      <c r="DH30" s="264">
        <v>99.304000000000002</v>
      </c>
      <c r="DI30" s="26" t="s">
        <v>237</v>
      </c>
      <c r="DJ30" s="873">
        <f t="shared" si="25"/>
        <v>116.66278553299492</v>
      </c>
      <c r="DK30" s="263">
        <f t="shared" si="25"/>
        <v>116.20418006430867</v>
      </c>
      <c r="DL30" s="263">
        <f t="shared" si="25"/>
        <v>116.38560000000001</v>
      </c>
      <c r="DM30" s="263">
        <f t="shared" si="25"/>
        <v>116.5432</v>
      </c>
      <c r="DN30" s="263">
        <f t="shared" si="25"/>
        <v>116.37090909090908</v>
      </c>
      <c r="DO30" s="263">
        <f t="shared" si="25"/>
        <v>116.37702702702701</v>
      </c>
      <c r="DP30" s="263">
        <f t="shared" si="25"/>
        <v>116.75806451612904</v>
      </c>
      <c r="DQ30" s="263">
        <f t="shared" si="25"/>
        <v>117</v>
      </c>
      <c r="DR30" s="263">
        <f t="shared" si="23"/>
        <v>117.3520766773163</v>
      </c>
      <c r="DS30" s="263">
        <f t="shared" si="23"/>
        <v>116.84577777777778</v>
      </c>
      <c r="DT30" s="263">
        <f t="shared" si="23"/>
        <v>116.4764450867052</v>
      </c>
      <c r="DU30" s="263">
        <f t="shared" si="23"/>
        <v>116.65921052631579</v>
      </c>
      <c r="DV30" s="263">
        <f t="shared" si="23"/>
        <v>116.82823529411765</v>
      </c>
    </row>
    <row r="31" spans="1:126" ht="16" customHeight="1">
      <c r="A31" s="26" t="s">
        <v>238</v>
      </c>
      <c r="B31" s="867">
        <f t="shared" si="12"/>
        <v>10268</v>
      </c>
      <c r="C31" s="264">
        <v>578</v>
      </c>
      <c r="D31" s="264">
        <v>619</v>
      </c>
      <c r="E31" s="264">
        <v>670</v>
      </c>
      <c r="F31" s="264">
        <v>1295</v>
      </c>
      <c r="G31" s="264">
        <v>1278</v>
      </c>
      <c r="H31" s="264">
        <v>1246</v>
      </c>
      <c r="I31" s="264">
        <v>1220</v>
      </c>
      <c r="J31" s="264">
        <v>670</v>
      </c>
      <c r="K31" s="264">
        <v>670</v>
      </c>
      <c r="L31" s="264">
        <v>670</v>
      </c>
      <c r="M31" s="264">
        <v>670</v>
      </c>
      <c r="N31" s="264">
        <v>682</v>
      </c>
      <c r="O31" s="950" t="s">
        <v>238</v>
      </c>
      <c r="P31" s="949">
        <f t="shared" si="13"/>
        <v>175.50399999999999</v>
      </c>
      <c r="Q31" s="948">
        <v>9.7639999999999993</v>
      </c>
      <c r="R31" s="948">
        <v>10.442</v>
      </c>
      <c r="S31" s="948">
        <v>11.3</v>
      </c>
      <c r="T31" s="948">
        <v>22.53</v>
      </c>
      <c r="U31" s="948">
        <v>22.204000000000001</v>
      </c>
      <c r="V31" s="948">
        <v>21.628</v>
      </c>
      <c r="W31" s="948">
        <v>21.16</v>
      </c>
      <c r="X31" s="948">
        <v>11.260000000000002</v>
      </c>
      <c r="Y31" s="948">
        <v>11.260000000000002</v>
      </c>
      <c r="Z31" s="948">
        <v>11.260000000000002</v>
      </c>
      <c r="AA31" s="948">
        <v>11.260000000000002</v>
      </c>
      <c r="AB31" s="948">
        <v>11.436</v>
      </c>
      <c r="AC31" s="26" t="s">
        <v>238</v>
      </c>
      <c r="AD31" s="869">
        <f t="shared" si="24"/>
        <v>17.09232567199065</v>
      </c>
      <c r="AE31" s="265">
        <f t="shared" si="24"/>
        <v>16.892733564013838</v>
      </c>
      <c r="AF31" s="265">
        <f t="shared" si="24"/>
        <v>16.869143780290795</v>
      </c>
      <c r="AG31" s="265">
        <f t="shared" si="24"/>
        <v>16.865671641791046</v>
      </c>
      <c r="AH31" s="265">
        <f t="shared" si="24"/>
        <v>17.397683397683398</v>
      </c>
      <c r="AI31" s="265">
        <f t="shared" si="24"/>
        <v>17.374021909233178</v>
      </c>
      <c r="AJ31" s="265">
        <f t="shared" si="24"/>
        <v>17.357945425361155</v>
      </c>
      <c r="AK31" s="265">
        <f t="shared" si="24"/>
        <v>17.344262295081968</v>
      </c>
      <c r="AL31" s="265">
        <f t="shared" si="24"/>
        <v>16.805970149253735</v>
      </c>
      <c r="AM31" s="265">
        <f t="shared" si="18"/>
        <v>16.805970149253735</v>
      </c>
      <c r="AN31" s="265">
        <f t="shared" si="19"/>
        <v>16.805970149253735</v>
      </c>
      <c r="AO31" s="265">
        <f t="shared" si="20"/>
        <v>16.805970149253735</v>
      </c>
      <c r="AP31" s="265">
        <f t="shared" si="21"/>
        <v>16.768328445747798</v>
      </c>
      <c r="AQ31" s="26" t="s">
        <v>238</v>
      </c>
      <c r="AR31" s="871">
        <f t="shared" si="14"/>
        <v>238</v>
      </c>
      <c r="AS31" s="164">
        <v>10</v>
      </c>
      <c r="AT31" s="164">
        <v>10</v>
      </c>
      <c r="AU31" s="164">
        <v>10</v>
      </c>
      <c r="AV31" s="164">
        <v>10</v>
      </c>
      <c r="AW31" s="164">
        <v>15</v>
      </c>
      <c r="AX31" s="164">
        <v>24</v>
      </c>
      <c r="AY31" s="164">
        <v>24</v>
      </c>
      <c r="AZ31" s="164">
        <v>31</v>
      </c>
      <c r="BA31" s="164">
        <v>28</v>
      </c>
      <c r="BB31" s="164">
        <v>38</v>
      </c>
      <c r="BC31" s="164">
        <v>10</v>
      </c>
      <c r="BD31" s="164">
        <v>28</v>
      </c>
      <c r="BE31" s="26" t="s">
        <v>238</v>
      </c>
      <c r="BF31" s="867">
        <f t="shared" si="15"/>
        <v>20.831</v>
      </c>
      <c r="BG31" s="267">
        <v>0.91600000000000004</v>
      </c>
      <c r="BH31" s="267">
        <v>0.91600000000000004</v>
      </c>
      <c r="BI31" s="267">
        <v>0.91600000000000004</v>
      </c>
      <c r="BJ31" s="267">
        <v>0.91600000000000004</v>
      </c>
      <c r="BK31" s="267">
        <v>1.3560000000000001</v>
      </c>
      <c r="BL31" s="267">
        <v>2.085</v>
      </c>
      <c r="BM31" s="267">
        <v>2.085</v>
      </c>
      <c r="BN31" s="267">
        <v>2.702</v>
      </c>
      <c r="BO31" s="267">
        <v>2.4750000000000001</v>
      </c>
      <c r="BP31" s="267">
        <v>3.1679999999999997</v>
      </c>
      <c r="BQ31" s="267">
        <v>0.79599999999999993</v>
      </c>
      <c r="BR31" s="267">
        <v>2.5</v>
      </c>
      <c r="BS31" s="26" t="s">
        <v>238</v>
      </c>
      <c r="BT31" s="873">
        <f t="shared" si="22"/>
        <v>87.525210084033603</v>
      </c>
      <c r="BU31" s="263">
        <f t="shared" ref="BU31" si="26">(BG31/AS31)*1000</f>
        <v>91.6</v>
      </c>
      <c r="BV31" s="263">
        <f t="shared" ref="BV31" si="27">(BH31/AT31)*1000</f>
        <v>91.6</v>
      </c>
      <c r="BW31" s="263">
        <f t="shared" ref="BW31" si="28">(BI31/AU31)*1000</f>
        <v>91.6</v>
      </c>
      <c r="BX31" s="263">
        <f t="shared" ref="BX31" si="29">(BJ31/AV31)*1000</f>
        <v>91.6</v>
      </c>
      <c r="BY31" s="263">
        <f t="shared" ref="BY31" si="30">(BK31/AW31)*1000</f>
        <v>90.4</v>
      </c>
      <c r="BZ31" s="263">
        <f t="shared" ref="BZ31" si="31">(BL31/AX31)*1000</f>
        <v>86.875</v>
      </c>
      <c r="CA31" s="263">
        <f t="shared" ref="CA31" si="32">(BM31/AY31)*1000</f>
        <v>86.875</v>
      </c>
      <c r="CB31" s="263">
        <f t="shared" ref="CB31" si="33">(BN31/AZ31)*1000</f>
        <v>87.161290322580641</v>
      </c>
      <c r="CC31" s="263">
        <f t="shared" ref="CC31" si="34">(BO31/BA31)*1000</f>
        <v>88.392857142857153</v>
      </c>
      <c r="CD31" s="263">
        <f t="shared" ref="CD31" si="35">(BP31/BB31)*1000</f>
        <v>83.368421052631575</v>
      </c>
      <c r="CE31" s="263">
        <f t="shared" ref="CE31" si="36">(BQ31/BC31)*1000</f>
        <v>79.599999999999994</v>
      </c>
      <c r="CF31" s="263">
        <f t="shared" ref="CF31" si="37">(BR31/BD31)*1000</f>
        <v>89.285714285714292</v>
      </c>
      <c r="CG31" s="26" t="s">
        <v>238</v>
      </c>
      <c r="CH31" s="867">
        <f t="shared" si="16"/>
        <v>73123</v>
      </c>
      <c r="CI31" s="264">
        <v>6722</v>
      </c>
      <c r="CJ31" s="264">
        <v>6866</v>
      </c>
      <c r="CK31" s="264">
        <v>7015</v>
      </c>
      <c r="CL31" s="264">
        <v>7160</v>
      </c>
      <c r="CM31" s="264">
        <v>7029</v>
      </c>
      <c r="CN31" s="264">
        <v>7070</v>
      </c>
      <c r="CO31" s="264">
        <v>7036</v>
      </c>
      <c r="CP31" s="264">
        <v>4455</v>
      </c>
      <c r="CQ31" s="264">
        <v>5261</v>
      </c>
      <c r="CR31" s="264">
        <v>5345</v>
      </c>
      <c r="CS31" s="264">
        <v>4859</v>
      </c>
      <c r="CT31" s="264">
        <v>4305</v>
      </c>
      <c r="CU31" s="26" t="s">
        <v>238</v>
      </c>
      <c r="CV31" s="867">
        <f t="shared" si="17"/>
        <v>13828.727000000001</v>
      </c>
      <c r="CW31" s="264">
        <v>1183.682</v>
      </c>
      <c r="CX31" s="264">
        <v>1206.3620000000001</v>
      </c>
      <c r="CY31" s="264">
        <v>1234.336</v>
      </c>
      <c r="CZ31" s="264">
        <v>1396.518</v>
      </c>
      <c r="DA31" s="264">
        <v>1361.2280000000001</v>
      </c>
      <c r="DB31" s="264">
        <v>1476</v>
      </c>
      <c r="DC31" s="264">
        <v>1464.9969999999998</v>
      </c>
      <c r="DD31" s="264">
        <v>803.52800000000002</v>
      </c>
      <c r="DE31" s="264">
        <v>980.33300000000008</v>
      </c>
      <c r="DF31" s="264">
        <v>988.625</v>
      </c>
      <c r="DG31" s="264">
        <v>914.798</v>
      </c>
      <c r="DH31" s="264">
        <v>818.31999999999994</v>
      </c>
      <c r="DI31" s="26" t="s">
        <v>238</v>
      </c>
      <c r="DJ31" s="873">
        <f t="shared" si="25"/>
        <v>189.11596898376709</v>
      </c>
      <c r="DK31" s="263">
        <f t="shared" si="25"/>
        <v>176.09074680154714</v>
      </c>
      <c r="DL31" s="263">
        <f t="shared" si="25"/>
        <v>175.70084474220798</v>
      </c>
      <c r="DM31" s="263">
        <f t="shared" si="25"/>
        <v>175.95666429080541</v>
      </c>
      <c r="DN31" s="263">
        <f t="shared" si="25"/>
        <v>195.04441340782122</v>
      </c>
      <c r="DO31" s="263">
        <f t="shared" si="25"/>
        <v>193.65884194053208</v>
      </c>
      <c r="DP31" s="263">
        <f t="shared" si="25"/>
        <v>208.76944837340878</v>
      </c>
      <c r="DQ31" s="263">
        <f t="shared" si="25"/>
        <v>208.21446844798177</v>
      </c>
      <c r="DR31" s="263">
        <f t="shared" si="23"/>
        <v>180.36543209876544</v>
      </c>
      <c r="DS31" s="263">
        <f t="shared" si="23"/>
        <v>186.3396692643984</v>
      </c>
      <c r="DT31" s="263">
        <f t="shared" si="23"/>
        <v>184.96258185219833</v>
      </c>
      <c r="DU31" s="263">
        <f t="shared" si="23"/>
        <v>188.26877958427659</v>
      </c>
      <c r="DV31" s="263">
        <f t="shared" si="23"/>
        <v>190.08594657375144</v>
      </c>
    </row>
    <row r="32" spans="1:126" ht="16" customHeight="1">
      <c r="A32" s="26" t="s">
        <v>239</v>
      </c>
      <c r="B32" s="867">
        <f t="shared" si="12"/>
        <v>27227</v>
      </c>
      <c r="C32" s="264">
        <v>1500</v>
      </c>
      <c r="D32" s="264">
        <v>1504</v>
      </c>
      <c r="E32" s="264">
        <v>1460</v>
      </c>
      <c r="F32" s="264">
        <v>1599</v>
      </c>
      <c r="G32" s="264">
        <v>1762</v>
      </c>
      <c r="H32" s="264">
        <v>1760</v>
      </c>
      <c r="I32" s="264">
        <v>3596</v>
      </c>
      <c r="J32" s="264">
        <v>2820</v>
      </c>
      <c r="K32" s="264">
        <v>2828</v>
      </c>
      <c r="L32" s="264">
        <v>2763</v>
      </c>
      <c r="M32" s="264">
        <v>2995</v>
      </c>
      <c r="N32" s="264">
        <v>2640</v>
      </c>
      <c r="O32" s="950" t="s">
        <v>239</v>
      </c>
      <c r="P32" s="949">
        <f t="shared" si="13"/>
        <v>379.6902</v>
      </c>
      <c r="Q32" s="948">
        <v>18.52</v>
      </c>
      <c r="R32" s="948">
        <v>18.916</v>
      </c>
      <c r="S32" s="948">
        <v>19.164200000000001</v>
      </c>
      <c r="T32" s="948">
        <v>21.221</v>
      </c>
      <c r="U32" s="948">
        <v>25.86</v>
      </c>
      <c r="V32" s="948">
        <v>25.16</v>
      </c>
      <c r="W32" s="948">
        <v>51.805000000000007</v>
      </c>
      <c r="X32" s="948">
        <v>39.295000000000002</v>
      </c>
      <c r="Y32" s="948">
        <v>39.488</v>
      </c>
      <c r="Z32" s="948">
        <v>39.503</v>
      </c>
      <c r="AA32" s="948">
        <v>43.079000000000001</v>
      </c>
      <c r="AB32" s="948">
        <v>37.679000000000002</v>
      </c>
      <c r="AC32" s="26" t="s">
        <v>239</v>
      </c>
      <c r="AD32" s="869">
        <f t="shared" si="24"/>
        <v>13.945355713078929</v>
      </c>
      <c r="AE32" s="265">
        <f t="shared" si="24"/>
        <v>12.346666666666668</v>
      </c>
      <c r="AF32" s="265">
        <f t="shared" si="24"/>
        <v>12.577127659574469</v>
      </c>
      <c r="AG32" s="265">
        <f t="shared" si="24"/>
        <v>13.126164383561646</v>
      </c>
      <c r="AH32" s="265">
        <f t="shared" si="24"/>
        <v>13.271419637273297</v>
      </c>
      <c r="AI32" s="265">
        <f t="shared" si="24"/>
        <v>14.676503972758228</v>
      </c>
      <c r="AJ32" s="265">
        <f t="shared" si="24"/>
        <v>14.295454545454545</v>
      </c>
      <c r="AK32" s="265">
        <f t="shared" si="24"/>
        <v>14.406284760845384</v>
      </c>
      <c r="AL32" s="265">
        <f t="shared" si="24"/>
        <v>13.934397163120568</v>
      </c>
      <c r="AM32" s="265">
        <f t="shared" si="18"/>
        <v>13.963224893917964</v>
      </c>
      <c r="AN32" s="265">
        <f t="shared" si="19"/>
        <v>14.297140788997465</v>
      </c>
      <c r="AO32" s="265">
        <f t="shared" si="20"/>
        <v>14.383639398998332</v>
      </c>
      <c r="AP32" s="265">
        <f t="shared" si="21"/>
        <v>14.272348484848486</v>
      </c>
      <c r="AQ32" s="26" t="s">
        <v>239</v>
      </c>
      <c r="AR32" s="871">
        <f t="shared" si="14"/>
        <v>4600</v>
      </c>
      <c r="AS32" s="162">
        <v>338</v>
      </c>
      <c r="AT32" s="162">
        <v>347</v>
      </c>
      <c r="AU32" s="162">
        <v>327</v>
      </c>
      <c r="AV32" s="162">
        <v>378</v>
      </c>
      <c r="AW32" s="162">
        <v>390</v>
      </c>
      <c r="AX32" s="162">
        <v>482</v>
      </c>
      <c r="AY32" s="162">
        <v>392</v>
      </c>
      <c r="AZ32" s="162">
        <v>393</v>
      </c>
      <c r="BA32" s="162">
        <v>380</v>
      </c>
      <c r="BB32" s="162">
        <v>366</v>
      </c>
      <c r="BC32" s="162">
        <v>394</v>
      </c>
      <c r="BD32" s="162">
        <v>413</v>
      </c>
      <c r="BE32" s="26" t="s">
        <v>239</v>
      </c>
      <c r="BF32" s="867">
        <f t="shared" si="15"/>
        <v>177.18599999999998</v>
      </c>
      <c r="BG32" s="264">
        <v>12.326000000000001</v>
      </c>
      <c r="BH32" s="264">
        <v>13.55</v>
      </c>
      <c r="BI32" s="264">
        <v>12.79</v>
      </c>
      <c r="BJ32" s="264">
        <v>13.780000000000001</v>
      </c>
      <c r="BK32" s="264">
        <v>14.79</v>
      </c>
      <c r="BL32" s="264">
        <v>20.11</v>
      </c>
      <c r="BM32" s="264">
        <v>14.66</v>
      </c>
      <c r="BN32" s="264">
        <v>15.39</v>
      </c>
      <c r="BO32" s="264">
        <v>15.030000000000001</v>
      </c>
      <c r="BP32" s="264">
        <v>13.64</v>
      </c>
      <c r="BQ32" s="264">
        <v>15.36</v>
      </c>
      <c r="BR32" s="264">
        <v>15.760000000000002</v>
      </c>
      <c r="BS32" s="26" t="s">
        <v>239</v>
      </c>
      <c r="BT32" s="873">
        <f t="shared" si="22"/>
        <v>38.518695652173911</v>
      </c>
      <c r="BU32" s="263">
        <f t="shared" si="22"/>
        <v>36.467455621301774</v>
      </c>
      <c r="BV32" s="263">
        <f t="shared" si="22"/>
        <v>39.048991354466864</v>
      </c>
      <c r="BW32" s="263">
        <f t="shared" si="22"/>
        <v>39.113149847094796</v>
      </c>
      <c r="BX32" s="263">
        <f t="shared" si="22"/>
        <v>36.455026455026456</v>
      </c>
      <c r="BY32" s="263">
        <f t="shared" si="22"/>
        <v>37.92307692307692</v>
      </c>
      <c r="BZ32" s="263">
        <f t="shared" si="22"/>
        <v>41.721991701244811</v>
      </c>
      <c r="CA32" s="263">
        <f t="shared" si="22"/>
        <v>37.397959183673464</v>
      </c>
      <c r="CB32" s="263">
        <f t="shared" si="22"/>
        <v>39.160305343511453</v>
      </c>
      <c r="CC32" s="263">
        <f t="shared" si="22"/>
        <v>39.552631578947377</v>
      </c>
      <c r="CD32" s="263">
        <f t="shared" si="22"/>
        <v>37.267759562841533</v>
      </c>
      <c r="CE32" s="263">
        <f t="shared" si="22"/>
        <v>38.984771573604064</v>
      </c>
      <c r="CF32" s="263">
        <f t="shared" si="22"/>
        <v>38.15980629539952</v>
      </c>
      <c r="CG32" s="26" t="s">
        <v>239</v>
      </c>
      <c r="CH32" s="867">
        <f t="shared" si="16"/>
        <v>45570</v>
      </c>
      <c r="CI32" s="264">
        <v>2790</v>
      </c>
      <c r="CJ32" s="264">
        <v>3216</v>
      </c>
      <c r="CK32" s="264">
        <v>3209</v>
      </c>
      <c r="CL32" s="264">
        <v>3340</v>
      </c>
      <c r="CM32" s="264">
        <v>3416</v>
      </c>
      <c r="CN32" s="264">
        <v>3524</v>
      </c>
      <c r="CO32" s="264">
        <v>4656</v>
      </c>
      <c r="CP32" s="264">
        <v>4377</v>
      </c>
      <c r="CQ32" s="264">
        <v>4274</v>
      </c>
      <c r="CR32" s="264">
        <v>4395</v>
      </c>
      <c r="CS32" s="264">
        <v>4337</v>
      </c>
      <c r="CT32" s="264">
        <v>4036</v>
      </c>
      <c r="CU32" s="26" t="s">
        <v>239</v>
      </c>
      <c r="CV32" s="867">
        <f t="shared" si="17"/>
        <v>6166.0120000000006</v>
      </c>
      <c r="CW32" s="264">
        <v>365.99900000000002</v>
      </c>
      <c r="CX32" s="264">
        <v>391.32799999999997</v>
      </c>
      <c r="CY32" s="264">
        <v>395.77800000000002</v>
      </c>
      <c r="CZ32" s="264">
        <v>410.12</v>
      </c>
      <c r="DA32" s="264">
        <v>446.06200000000001</v>
      </c>
      <c r="DB32" s="264">
        <v>482.65</v>
      </c>
      <c r="DC32" s="264">
        <v>616.97800000000007</v>
      </c>
      <c r="DD32" s="264">
        <v>598.75900000000001</v>
      </c>
      <c r="DE32" s="264">
        <v>625.99900000000002</v>
      </c>
      <c r="DF32" s="264">
        <v>604.43399999999997</v>
      </c>
      <c r="DG32" s="264">
        <v>602.255</v>
      </c>
      <c r="DH32" s="264">
        <v>625.65000000000009</v>
      </c>
      <c r="DI32" s="26" t="s">
        <v>239</v>
      </c>
      <c r="DJ32" s="873">
        <f t="shared" si="25"/>
        <v>135.30858020627608</v>
      </c>
      <c r="DK32" s="263">
        <f t="shared" si="25"/>
        <v>131.18243727598568</v>
      </c>
      <c r="DL32" s="263">
        <f t="shared" si="25"/>
        <v>121.68159203980099</v>
      </c>
      <c r="DM32" s="263">
        <f t="shared" si="25"/>
        <v>123.33374883141165</v>
      </c>
      <c r="DN32" s="263">
        <f t="shared" si="25"/>
        <v>122.79041916167664</v>
      </c>
      <c r="DO32" s="263">
        <f t="shared" si="25"/>
        <v>130.58021077283371</v>
      </c>
      <c r="DP32" s="263">
        <f t="shared" si="25"/>
        <v>136.96083995459705</v>
      </c>
      <c r="DQ32" s="263">
        <f t="shared" si="25"/>
        <v>132.51245704467354</v>
      </c>
      <c r="DR32" s="263">
        <f t="shared" si="23"/>
        <v>136.79666438199681</v>
      </c>
      <c r="DS32" s="263">
        <f t="shared" si="23"/>
        <v>146.46677585400096</v>
      </c>
      <c r="DT32" s="263">
        <f t="shared" si="23"/>
        <v>137.52764505119453</v>
      </c>
      <c r="DU32" s="263">
        <f t="shared" si="23"/>
        <v>138.86442241180538</v>
      </c>
      <c r="DV32" s="263">
        <f t="shared" si="23"/>
        <v>155.01734390485629</v>
      </c>
    </row>
    <row r="33" spans="1:127" ht="16" customHeight="1">
      <c r="A33" s="26" t="s">
        <v>240</v>
      </c>
      <c r="B33" s="867">
        <f t="shared" si="12"/>
        <v>1529</v>
      </c>
      <c r="C33" s="264">
        <v>229</v>
      </c>
      <c r="D33" s="264">
        <v>194</v>
      </c>
      <c r="E33" s="264">
        <v>182</v>
      </c>
      <c r="F33" s="264">
        <v>151</v>
      </c>
      <c r="G33" s="264">
        <v>124</v>
      </c>
      <c r="H33" s="264">
        <v>101</v>
      </c>
      <c r="I33" s="264">
        <v>78</v>
      </c>
      <c r="J33" s="264">
        <v>89</v>
      </c>
      <c r="K33" s="264">
        <v>92</v>
      </c>
      <c r="L33" s="264">
        <v>83</v>
      </c>
      <c r="M33" s="264">
        <v>89</v>
      </c>
      <c r="N33" s="264">
        <v>117</v>
      </c>
      <c r="O33" s="950" t="s">
        <v>240</v>
      </c>
      <c r="P33" s="949">
        <f t="shared" si="13"/>
        <v>27.855399999999999</v>
      </c>
      <c r="Q33" s="948">
        <v>3.9993999999999996</v>
      </c>
      <c r="R33" s="948">
        <v>3.2789999999999999</v>
      </c>
      <c r="S33" s="948">
        <v>3.2930000000000001</v>
      </c>
      <c r="T33" s="948">
        <v>2.7670000000000003</v>
      </c>
      <c r="U33" s="948">
        <v>2.3520000000000003</v>
      </c>
      <c r="V33" s="948">
        <v>1.823</v>
      </c>
      <c r="W33" s="948">
        <v>1.5209999999999999</v>
      </c>
      <c r="X33" s="948">
        <v>1.6970000000000001</v>
      </c>
      <c r="Y33" s="948">
        <v>1.8479999999999999</v>
      </c>
      <c r="Z33" s="948">
        <v>1.698</v>
      </c>
      <c r="AA33" s="948">
        <v>1.758</v>
      </c>
      <c r="AB33" s="948">
        <v>1.82</v>
      </c>
      <c r="AC33" s="26" t="s">
        <v>240</v>
      </c>
      <c r="AD33" s="869">
        <f t="shared" si="24"/>
        <v>18.218051013734467</v>
      </c>
      <c r="AE33" s="265">
        <f t="shared" si="24"/>
        <v>17.464628820960698</v>
      </c>
      <c r="AF33" s="265">
        <f t="shared" si="24"/>
        <v>16.902061855670105</v>
      </c>
      <c r="AG33" s="265">
        <f t="shared" si="24"/>
        <v>18.093406593406595</v>
      </c>
      <c r="AH33" s="265">
        <f t="shared" si="24"/>
        <v>18.324503311258283</v>
      </c>
      <c r="AI33" s="265">
        <f t="shared" si="24"/>
        <v>18.967741935483875</v>
      </c>
      <c r="AJ33" s="265">
        <f t="shared" si="24"/>
        <v>18.049504950495049</v>
      </c>
      <c r="AK33" s="265">
        <f t="shared" si="24"/>
        <v>19.5</v>
      </c>
      <c r="AL33" s="265">
        <f t="shared" si="24"/>
        <v>19.067415730337078</v>
      </c>
      <c r="AM33" s="265">
        <f t="shared" si="18"/>
        <v>20.086956521739129</v>
      </c>
      <c r="AN33" s="265">
        <f t="shared" si="19"/>
        <v>20.457831325301207</v>
      </c>
      <c r="AO33" s="265">
        <f t="shared" si="20"/>
        <v>19.752808988764045</v>
      </c>
      <c r="AP33" s="265">
        <f t="shared" si="21"/>
        <v>15.555555555555557</v>
      </c>
      <c r="AQ33" s="26" t="s">
        <v>240</v>
      </c>
      <c r="AR33" s="871">
        <f t="shared" si="14"/>
        <v>91988</v>
      </c>
      <c r="AS33" s="162">
        <v>5009</v>
      </c>
      <c r="AT33" s="162">
        <v>4583</v>
      </c>
      <c r="AU33" s="162">
        <v>5935</v>
      </c>
      <c r="AV33" s="162">
        <v>6065</v>
      </c>
      <c r="AW33" s="162">
        <v>5792</v>
      </c>
      <c r="AX33" s="162">
        <v>6302</v>
      </c>
      <c r="AY33" s="162">
        <v>8070</v>
      </c>
      <c r="AZ33" s="162">
        <v>9647</v>
      </c>
      <c r="BA33" s="162">
        <v>9695</v>
      </c>
      <c r="BB33" s="162">
        <v>9780</v>
      </c>
      <c r="BC33" s="162">
        <v>9735</v>
      </c>
      <c r="BD33" s="162">
        <v>11375</v>
      </c>
      <c r="BE33" s="26" t="s">
        <v>240</v>
      </c>
      <c r="BF33" s="867">
        <f t="shared" si="15"/>
        <v>5690.6420299999991</v>
      </c>
      <c r="BG33" s="264">
        <v>274.85000000000002</v>
      </c>
      <c r="BH33" s="264">
        <v>236.274</v>
      </c>
      <c r="BI33" s="264">
        <v>336.61799999999999</v>
      </c>
      <c r="BJ33" s="264">
        <v>382.60300000000001</v>
      </c>
      <c r="BK33" s="264">
        <v>356.495</v>
      </c>
      <c r="BL33" s="264">
        <v>415.78499999999997</v>
      </c>
      <c r="BM33" s="264">
        <v>526.23156999999992</v>
      </c>
      <c r="BN33" s="264">
        <v>641.80926999999997</v>
      </c>
      <c r="BO33" s="264">
        <v>630.76769999999999</v>
      </c>
      <c r="BP33" s="264">
        <v>607.23469999999998</v>
      </c>
      <c r="BQ33" s="264">
        <v>623.90654999999992</v>
      </c>
      <c r="BR33" s="264">
        <v>658.06723999999997</v>
      </c>
      <c r="BS33" s="26" t="s">
        <v>240</v>
      </c>
      <c r="BT33" s="873">
        <f t="shared" si="22"/>
        <v>61.862873744401433</v>
      </c>
      <c r="BU33" s="263">
        <f t="shared" si="22"/>
        <v>54.871231782790979</v>
      </c>
      <c r="BV33" s="263">
        <f t="shared" si="22"/>
        <v>51.554440322932578</v>
      </c>
      <c r="BW33" s="263">
        <f t="shared" si="22"/>
        <v>56.717438921651222</v>
      </c>
      <c r="BX33" s="263">
        <f t="shared" si="22"/>
        <v>63.083759274525974</v>
      </c>
      <c r="BY33" s="263">
        <f t="shared" si="22"/>
        <v>61.54955110497238</v>
      </c>
      <c r="BZ33" s="263">
        <f t="shared" si="22"/>
        <v>65.976674071723252</v>
      </c>
      <c r="CA33" s="263">
        <f t="shared" si="22"/>
        <v>65.20837298636927</v>
      </c>
      <c r="CB33" s="263">
        <f t="shared" si="22"/>
        <v>66.529415362288788</v>
      </c>
      <c r="CC33" s="263">
        <f t="shared" si="22"/>
        <v>65.061134605466734</v>
      </c>
      <c r="CD33" s="263">
        <f t="shared" si="22"/>
        <v>62.089437627811854</v>
      </c>
      <c r="CE33" s="263">
        <f t="shared" si="22"/>
        <v>64.089013867488447</v>
      </c>
      <c r="CF33" s="263">
        <f t="shared" si="22"/>
        <v>57.852065054945051</v>
      </c>
      <c r="CG33" s="26" t="s">
        <v>240</v>
      </c>
      <c r="CH33" s="867">
        <f t="shared" si="16"/>
        <v>26399</v>
      </c>
      <c r="CI33" s="264">
        <v>1473</v>
      </c>
      <c r="CJ33" s="264">
        <v>1317</v>
      </c>
      <c r="CK33" s="264">
        <v>1652</v>
      </c>
      <c r="CL33" s="264">
        <v>1748</v>
      </c>
      <c r="CM33" s="264">
        <v>1823</v>
      </c>
      <c r="CN33" s="264">
        <v>1857</v>
      </c>
      <c r="CO33" s="264">
        <v>2007</v>
      </c>
      <c r="CP33" s="264">
        <v>2185</v>
      </c>
      <c r="CQ33" s="264">
        <v>2863</v>
      </c>
      <c r="CR33" s="264">
        <v>3261</v>
      </c>
      <c r="CS33" s="264">
        <v>2782</v>
      </c>
      <c r="CT33" s="264">
        <v>3431</v>
      </c>
      <c r="CU33" s="26" t="s">
        <v>240</v>
      </c>
      <c r="CV33" s="867">
        <f t="shared" si="17"/>
        <v>4353.7406499999997</v>
      </c>
      <c r="CW33" s="264">
        <v>201.738</v>
      </c>
      <c r="CX33" s="264">
        <v>169.74700000000001</v>
      </c>
      <c r="CY33" s="264">
        <v>265.89400000000001</v>
      </c>
      <c r="CZ33" s="264">
        <v>318.55700000000002</v>
      </c>
      <c r="DA33" s="264">
        <v>323.44299999999998</v>
      </c>
      <c r="DB33" s="264">
        <v>335.125</v>
      </c>
      <c r="DC33" s="264">
        <v>385.02841999999998</v>
      </c>
      <c r="DD33" s="264">
        <v>428.41251</v>
      </c>
      <c r="DE33" s="264">
        <v>469.63980000000004</v>
      </c>
      <c r="DF33" s="264">
        <v>492.37121999999999</v>
      </c>
      <c r="DG33" s="264">
        <v>440.62090000000001</v>
      </c>
      <c r="DH33" s="264">
        <v>523.16380000000004</v>
      </c>
      <c r="DI33" s="26" t="s">
        <v>240</v>
      </c>
      <c r="DJ33" s="873">
        <f t="shared" si="25"/>
        <v>164.92066555551347</v>
      </c>
      <c r="DK33" s="263">
        <f t="shared" si="25"/>
        <v>136.9572301425662</v>
      </c>
      <c r="DL33" s="263">
        <f t="shared" si="25"/>
        <v>128.88914198936979</v>
      </c>
      <c r="DM33" s="263">
        <f t="shared" si="25"/>
        <v>160.95278450363196</v>
      </c>
      <c r="DN33" s="263">
        <f t="shared" si="25"/>
        <v>182.24084668192219</v>
      </c>
      <c r="DO33" s="263">
        <f t="shared" si="25"/>
        <v>177.42347778387273</v>
      </c>
      <c r="DP33" s="263">
        <f t="shared" si="25"/>
        <v>180.46580506192782</v>
      </c>
      <c r="DQ33" s="263">
        <f t="shared" si="25"/>
        <v>191.84276033881414</v>
      </c>
      <c r="DR33" s="263">
        <f t="shared" si="23"/>
        <v>196.06979862700231</v>
      </c>
      <c r="DS33" s="263">
        <f t="shared" si="23"/>
        <v>164.03765281173597</v>
      </c>
      <c r="DT33" s="263">
        <f t="shared" si="23"/>
        <v>150.98780128794849</v>
      </c>
      <c r="DU33" s="263">
        <f t="shared" si="23"/>
        <v>158.38278217109993</v>
      </c>
      <c r="DV33" s="263">
        <f t="shared" si="23"/>
        <v>152.48143398426117</v>
      </c>
    </row>
    <row r="34" spans="1:127" ht="16" customHeight="1">
      <c r="A34" s="26" t="s">
        <v>241</v>
      </c>
      <c r="B34" s="867">
        <f t="shared" si="12"/>
        <v>101</v>
      </c>
      <c r="C34" s="264">
        <v>8</v>
      </c>
      <c r="D34" s="264">
        <v>6</v>
      </c>
      <c r="E34" s="264">
        <v>7</v>
      </c>
      <c r="F34" s="264">
        <v>6</v>
      </c>
      <c r="G34" s="264">
        <v>12</v>
      </c>
      <c r="H34" s="264">
        <v>6</v>
      </c>
      <c r="I34" s="264">
        <v>10</v>
      </c>
      <c r="J34" s="264">
        <v>12</v>
      </c>
      <c r="K34" s="264">
        <v>21</v>
      </c>
      <c r="L34" s="264">
        <v>1</v>
      </c>
      <c r="M34" s="264">
        <v>9</v>
      </c>
      <c r="N34" s="264">
        <v>3</v>
      </c>
      <c r="O34" s="950" t="s">
        <v>241</v>
      </c>
      <c r="P34" s="949">
        <f t="shared" si="13"/>
        <v>1.494</v>
      </c>
      <c r="Q34" s="948">
        <v>0.12</v>
      </c>
      <c r="R34" s="948">
        <v>0.09</v>
      </c>
      <c r="S34" s="948">
        <v>0.105</v>
      </c>
      <c r="T34" s="948">
        <v>0.09</v>
      </c>
      <c r="U34" s="948">
        <v>0.14400000000000002</v>
      </c>
      <c r="V34" s="948">
        <v>0.09</v>
      </c>
      <c r="W34" s="948">
        <v>0.15</v>
      </c>
      <c r="X34" s="948">
        <v>0.18</v>
      </c>
      <c r="Y34" s="948">
        <v>0.315</v>
      </c>
      <c r="Z34" s="948">
        <v>1.4999999999999999E-2</v>
      </c>
      <c r="AA34" s="948">
        <v>0.13500000000000001</v>
      </c>
      <c r="AB34" s="948">
        <v>0.06</v>
      </c>
      <c r="AC34" s="26" t="s">
        <v>241</v>
      </c>
      <c r="AD34" s="869">
        <f t="shared" si="24"/>
        <v>14.792079207920791</v>
      </c>
      <c r="AE34" s="265">
        <f t="shared" si="24"/>
        <v>15</v>
      </c>
      <c r="AF34" s="265">
        <f t="shared" si="24"/>
        <v>15</v>
      </c>
      <c r="AG34" s="265">
        <f t="shared" si="24"/>
        <v>15</v>
      </c>
      <c r="AH34" s="265">
        <f t="shared" si="24"/>
        <v>15</v>
      </c>
      <c r="AI34" s="265">
        <f t="shared" si="24"/>
        <v>12.000000000000002</v>
      </c>
      <c r="AJ34" s="265">
        <f t="shared" si="24"/>
        <v>15</v>
      </c>
      <c r="AK34" s="265">
        <f t="shared" si="24"/>
        <v>15</v>
      </c>
      <c r="AL34" s="265">
        <f t="shared" si="24"/>
        <v>15</v>
      </c>
      <c r="AM34" s="265">
        <f t="shared" si="18"/>
        <v>15</v>
      </c>
      <c r="AN34" s="265">
        <f t="shared" si="19"/>
        <v>15</v>
      </c>
      <c r="AO34" s="265">
        <f t="shared" si="20"/>
        <v>15.000000000000002</v>
      </c>
      <c r="AP34" s="265">
        <f t="shared" si="21"/>
        <v>20</v>
      </c>
      <c r="AQ34" s="26" t="s">
        <v>241</v>
      </c>
      <c r="AR34" s="871">
        <f t="shared" si="14"/>
        <v>17745</v>
      </c>
      <c r="AS34" s="162">
        <v>1993</v>
      </c>
      <c r="AT34" s="162">
        <v>2105</v>
      </c>
      <c r="AU34" s="162">
        <v>1883</v>
      </c>
      <c r="AV34" s="162">
        <v>1842</v>
      </c>
      <c r="AW34" s="162">
        <v>2016</v>
      </c>
      <c r="AX34" s="162">
        <v>1249</v>
      </c>
      <c r="AY34" s="162">
        <v>732</v>
      </c>
      <c r="AZ34" s="162">
        <v>624</v>
      </c>
      <c r="BA34" s="162">
        <v>537</v>
      </c>
      <c r="BB34" s="162">
        <v>1183</v>
      </c>
      <c r="BC34" s="162">
        <v>1162</v>
      </c>
      <c r="BD34" s="162">
        <v>2419</v>
      </c>
      <c r="BE34" s="26" t="s">
        <v>241</v>
      </c>
      <c r="BF34" s="867">
        <f t="shared" si="15"/>
        <v>1343.316</v>
      </c>
      <c r="BG34" s="264">
        <v>146.05199999999999</v>
      </c>
      <c r="BH34" s="264">
        <v>154.179</v>
      </c>
      <c r="BI34" s="264">
        <v>139.566</v>
      </c>
      <c r="BJ34" s="264">
        <v>144.55700000000002</v>
      </c>
      <c r="BK34" s="264">
        <v>157.626</v>
      </c>
      <c r="BL34" s="264">
        <v>106.185</v>
      </c>
      <c r="BM34" s="264">
        <v>50.015000000000001</v>
      </c>
      <c r="BN34" s="264">
        <v>44.5</v>
      </c>
      <c r="BO34" s="264">
        <v>44.865000000000002</v>
      </c>
      <c r="BP34" s="264">
        <v>92.611000000000004</v>
      </c>
      <c r="BQ34" s="264">
        <v>93.42</v>
      </c>
      <c r="BR34" s="264">
        <v>169.74</v>
      </c>
      <c r="BS34" s="26" t="s">
        <v>241</v>
      </c>
      <c r="BT34" s="873">
        <f t="shared" si="22"/>
        <v>75.701098901098902</v>
      </c>
      <c r="BU34" s="263">
        <f t="shared" si="22"/>
        <v>73.282488710486703</v>
      </c>
      <c r="BV34" s="263">
        <f t="shared" si="22"/>
        <v>73.244180522565316</v>
      </c>
      <c r="BW34" s="263">
        <f t="shared" si="22"/>
        <v>74.118959107806688</v>
      </c>
      <c r="BX34" s="263">
        <f t="shared" si="22"/>
        <v>78.478284473398489</v>
      </c>
      <c r="BY34" s="263">
        <f t="shared" si="22"/>
        <v>78.1875</v>
      </c>
      <c r="BZ34" s="263">
        <f t="shared" si="22"/>
        <v>85.016012810248199</v>
      </c>
      <c r="CA34" s="263">
        <f t="shared" si="22"/>
        <v>68.326502732240428</v>
      </c>
      <c r="CB34" s="263">
        <f t="shared" si="22"/>
        <v>71.314102564102555</v>
      </c>
      <c r="CC34" s="263">
        <f t="shared" si="22"/>
        <v>83.547486033519547</v>
      </c>
      <c r="CD34" s="263">
        <f t="shared" si="22"/>
        <v>78.284868977176671</v>
      </c>
      <c r="CE34" s="263">
        <f t="shared" si="22"/>
        <v>80.395869191049925</v>
      </c>
      <c r="CF34" s="263">
        <f t="shared" si="22"/>
        <v>70.169491525423737</v>
      </c>
      <c r="CG34" s="26" t="s">
        <v>241</v>
      </c>
      <c r="CH34" s="867">
        <f t="shared" si="16"/>
        <v>12209</v>
      </c>
      <c r="CI34" s="264">
        <v>1100</v>
      </c>
      <c r="CJ34" s="264">
        <v>985</v>
      </c>
      <c r="CK34" s="264">
        <v>1027</v>
      </c>
      <c r="CL34" s="264">
        <v>1047</v>
      </c>
      <c r="CM34" s="264">
        <v>1089</v>
      </c>
      <c r="CN34" s="264">
        <v>914</v>
      </c>
      <c r="CO34" s="264">
        <v>1039</v>
      </c>
      <c r="CP34" s="264">
        <v>1095</v>
      </c>
      <c r="CQ34" s="264">
        <v>930</v>
      </c>
      <c r="CR34" s="264">
        <v>1003</v>
      </c>
      <c r="CS34" s="264">
        <v>939</v>
      </c>
      <c r="CT34" s="264">
        <v>1041</v>
      </c>
      <c r="CU34" s="26" t="s">
        <v>241</v>
      </c>
      <c r="CV34" s="867">
        <f t="shared" si="17"/>
        <v>1901.2449999999999</v>
      </c>
      <c r="CW34" s="264">
        <v>167.685</v>
      </c>
      <c r="CX34" s="264">
        <v>152.68</v>
      </c>
      <c r="CY34" s="264">
        <v>160.41900000000001</v>
      </c>
      <c r="CZ34" s="264">
        <v>163.20499999999998</v>
      </c>
      <c r="DA34" s="264">
        <v>163.679</v>
      </c>
      <c r="DB34" s="264">
        <v>143.56299999999999</v>
      </c>
      <c r="DC34" s="264">
        <v>158.21899999999999</v>
      </c>
      <c r="DD34" s="264">
        <v>174.202</v>
      </c>
      <c r="DE34" s="264">
        <v>144.91</v>
      </c>
      <c r="DF34" s="264">
        <v>152.53100000000001</v>
      </c>
      <c r="DG34" s="264">
        <v>154.62899999999999</v>
      </c>
      <c r="DH34" s="264">
        <v>165.523</v>
      </c>
      <c r="DI34" s="26" t="s">
        <v>241</v>
      </c>
      <c r="DJ34" s="873">
        <f t="shared" si="25"/>
        <v>155.72487509214514</v>
      </c>
      <c r="DK34" s="263">
        <f t="shared" si="25"/>
        <v>152.44090909090909</v>
      </c>
      <c r="DL34" s="263">
        <f t="shared" si="25"/>
        <v>155.005076142132</v>
      </c>
      <c r="DM34" s="263">
        <f t="shared" si="25"/>
        <v>156.20155793573517</v>
      </c>
      <c r="DN34" s="263">
        <f t="shared" si="25"/>
        <v>155.8787010506208</v>
      </c>
      <c r="DO34" s="263">
        <f t="shared" si="25"/>
        <v>150.30211202938477</v>
      </c>
      <c r="DP34" s="263">
        <f t="shared" si="25"/>
        <v>157.0711159737418</v>
      </c>
      <c r="DQ34" s="263">
        <f t="shared" si="25"/>
        <v>152.28007699711259</v>
      </c>
      <c r="DR34" s="263">
        <f t="shared" si="23"/>
        <v>159.08858447488583</v>
      </c>
      <c r="DS34" s="263">
        <f t="shared" si="23"/>
        <v>155.81720430107526</v>
      </c>
      <c r="DT34" s="263">
        <f t="shared" si="23"/>
        <v>152.07477567298105</v>
      </c>
      <c r="DU34" s="263">
        <f t="shared" si="23"/>
        <v>164.67412140575081</v>
      </c>
      <c r="DV34" s="263">
        <f t="shared" si="23"/>
        <v>159.00384245917388</v>
      </c>
    </row>
    <row r="35" spans="1:127" ht="16" customHeight="1">
      <c r="A35" s="26" t="s">
        <v>242</v>
      </c>
      <c r="B35" s="867">
        <f t="shared" si="12"/>
        <v>0</v>
      </c>
      <c r="C35" s="264">
        <v>0</v>
      </c>
      <c r="D35" s="264">
        <v>0</v>
      </c>
      <c r="E35" s="264">
        <v>0</v>
      </c>
      <c r="F35" s="264">
        <v>0</v>
      </c>
      <c r="G35" s="264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64">
        <v>0</v>
      </c>
      <c r="O35" s="950" t="s">
        <v>242</v>
      </c>
      <c r="P35" s="949">
        <f t="shared" si="13"/>
        <v>0</v>
      </c>
      <c r="Q35" s="948">
        <v>0</v>
      </c>
      <c r="R35" s="948">
        <v>0</v>
      </c>
      <c r="S35" s="948">
        <v>0</v>
      </c>
      <c r="T35" s="948">
        <v>0</v>
      </c>
      <c r="U35" s="948">
        <v>0</v>
      </c>
      <c r="V35" s="948">
        <v>0</v>
      </c>
      <c r="W35" s="948">
        <v>0</v>
      </c>
      <c r="X35" s="948">
        <v>0</v>
      </c>
      <c r="Y35" s="948">
        <v>0</v>
      </c>
      <c r="Z35" s="948">
        <v>0</v>
      </c>
      <c r="AA35" s="948">
        <v>0</v>
      </c>
      <c r="AB35" s="948">
        <v>0</v>
      </c>
      <c r="AC35" s="26" t="s">
        <v>242</v>
      </c>
      <c r="AD35" s="869" t="s">
        <v>48</v>
      </c>
      <c r="AE35" s="265" t="s">
        <v>73</v>
      </c>
      <c r="AF35" s="265" t="s">
        <v>73</v>
      </c>
      <c r="AG35" s="265" t="s">
        <v>73</v>
      </c>
      <c r="AH35" s="265" t="s">
        <v>73</v>
      </c>
      <c r="AI35" s="265" t="s">
        <v>73</v>
      </c>
      <c r="AJ35" s="265" t="s">
        <v>73</v>
      </c>
      <c r="AK35" s="265" t="s">
        <v>73</v>
      </c>
      <c r="AL35" s="265" t="s">
        <v>73</v>
      </c>
      <c r="AM35" s="265" t="s">
        <v>73</v>
      </c>
      <c r="AN35" s="265" t="s">
        <v>73</v>
      </c>
      <c r="AO35" s="265" t="s">
        <v>73</v>
      </c>
      <c r="AP35" s="265" t="s">
        <v>73</v>
      </c>
      <c r="AQ35" s="26" t="s">
        <v>242</v>
      </c>
      <c r="AR35" s="871">
        <f t="shared" si="14"/>
        <v>6280</v>
      </c>
      <c r="AS35" s="162">
        <v>674</v>
      </c>
      <c r="AT35" s="162">
        <v>604</v>
      </c>
      <c r="AU35" s="162">
        <v>299</v>
      </c>
      <c r="AV35" s="162">
        <v>416</v>
      </c>
      <c r="AW35" s="162">
        <v>364</v>
      </c>
      <c r="AX35" s="162">
        <v>426</v>
      </c>
      <c r="AY35" s="162">
        <v>433</v>
      </c>
      <c r="AZ35" s="162">
        <v>624</v>
      </c>
      <c r="BA35" s="162">
        <v>567</v>
      </c>
      <c r="BB35" s="162">
        <v>600</v>
      </c>
      <c r="BC35" s="162">
        <v>569</v>
      </c>
      <c r="BD35" s="162">
        <v>704</v>
      </c>
      <c r="BE35" s="26" t="s">
        <v>242</v>
      </c>
      <c r="BF35" s="867">
        <f t="shared" si="15"/>
        <v>420.86196000000001</v>
      </c>
      <c r="BG35" s="264">
        <v>43.912000000000006</v>
      </c>
      <c r="BH35" s="264">
        <v>41.363</v>
      </c>
      <c r="BI35" s="264">
        <v>19.151</v>
      </c>
      <c r="BJ35" s="264">
        <v>28.38796</v>
      </c>
      <c r="BK35" s="264">
        <v>22.308</v>
      </c>
      <c r="BL35" s="264">
        <v>29.221</v>
      </c>
      <c r="BM35" s="264">
        <v>23.612000000000002</v>
      </c>
      <c r="BN35" s="264">
        <v>43.321999999999996</v>
      </c>
      <c r="BO35" s="264">
        <v>43.161000000000001</v>
      </c>
      <c r="BP35" s="264">
        <v>39.951000000000001</v>
      </c>
      <c r="BQ35" s="264">
        <v>39.975000000000001</v>
      </c>
      <c r="BR35" s="264">
        <v>46.497999999999998</v>
      </c>
      <c r="BS35" s="26" t="s">
        <v>242</v>
      </c>
      <c r="BT35" s="873">
        <f t="shared" si="22"/>
        <v>67.016235668789804</v>
      </c>
      <c r="BU35" s="263">
        <f t="shared" si="22"/>
        <v>65.151335311572709</v>
      </c>
      <c r="BV35" s="263">
        <f t="shared" si="22"/>
        <v>68.481788079470192</v>
      </c>
      <c r="BW35" s="263">
        <f t="shared" si="22"/>
        <v>64.050167224080269</v>
      </c>
      <c r="BX35" s="263">
        <f t="shared" si="22"/>
        <v>68.240288461538455</v>
      </c>
      <c r="BY35" s="263">
        <f t="shared" si="22"/>
        <v>61.285714285714285</v>
      </c>
      <c r="BZ35" s="263">
        <f t="shared" si="22"/>
        <v>68.593896713615024</v>
      </c>
      <c r="CA35" s="263">
        <f t="shared" si="22"/>
        <v>54.531177829099313</v>
      </c>
      <c r="CB35" s="263">
        <f t="shared" si="22"/>
        <v>69.426282051282044</v>
      </c>
      <c r="CC35" s="263">
        <f t="shared" si="22"/>
        <v>76.121693121693113</v>
      </c>
      <c r="CD35" s="263">
        <f t="shared" si="22"/>
        <v>66.585000000000008</v>
      </c>
      <c r="CE35" s="263">
        <f t="shared" si="22"/>
        <v>70.254833040421801</v>
      </c>
      <c r="CF35" s="263">
        <f t="shared" si="22"/>
        <v>66.048295454545453</v>
      </c>
      <c r="CG35" s="26" t="s">
        <v>242</v>
      </c>
      <c r="CH35" s="867">
        <f t="shared" si="16"/>
        <v>7580</v>
      </c>
      <c r="CI35" s="264">
        <v>1024</v>
      </c>
      <c r="CJ35" s="264">
        <v>604</v>
      </c>
      <c r="CK35" s="264">
        <v>682</v>
      </c>
      <c r="CL35" s="264">
        <v>542</v>
      </c>
      <c r="CM35" s="264">
        <v>448</v>
      </c>
      <c r="CN35" s="264">
        <v>646</v>
      </c>
      <c r="CO35" s="264">
        <v>530</v>
      </c>
      <c r="CP35" s="264">
        <v>768</v>
      </c>
      <c r="CQ35" s="264">
        <v>568</v>
      </c>
      <c r="CR35" s="264">
        <v>612</v>
      </c>
      <c r="CS35" s="264">
        <v>652</v>
      </c>
      <c r="CT35" s="264">
        <v>504</v>
      </c>
      <c r="CU35" s="26" t="s">
        <v>242</v>
      </c>
      <c r="CV35" s="867">
        <f t="shared" si="17"/>
        <v>1328.3127199999999</v>
      </c>
      <c r="CW35" s="264">
        <v>179.50400000000002</v>
      </c>
      <c r="CX35" s="264">
        <v>106.992</v>
      </c>
      <c r="CY35" s="264">
        <v>118.708</v>
      </c>
      <c r="CZ35" s="264">
        <v>96.190390000000008</v>
      </c>
      <c r="DA35" s="264">
        <v>79.497</v>
      </c>
      <c r="DB35" s="264">
        <v>113.221</v>
      </c>
      <c r="DC35" s="264">
        <v>94.525000000000006</v>
      </c>
      <c r="DD35" s="264">
        <v>134.88200000000001</v>
      </c>
      <c r="DE35" s="264">
        <v>98.513999999999996</v>
      </c>
      <c r="DF35" s="264">
        <v>105.28</v>
      </c>
      <c r="DG35" s="264">
        <v>113.61333</v>
      </c>
      <c r="DH35" s="264">
        <v>87.385999999999996</v>
      </c>
      <c r="DI35" s="26" t="s">
        <v>242</v>
      </c>
      <c r="DJ35" s="873">
        <f t="shared" si="25"/>
        <v>175.23914511873352</v>
      </c>
      <c r="DK35" s="263">
        <f t="shared" si="25"/>
        <v>175.29687500000003</v>
      </c>
      <c r="DL35" s="263">
        <f t="shared" si="25"/>
        <v>177.13907284768212</v>
      </c>
      <c r="DM35" s="263">
        <f t="shared" si="25"/>
        <v>174.05865102639297</v>
      </c>
      <c r="DN35" s="263">
        <f t="shared" si="25"/>
        <v>177.47304428044282</v>
      </c>
      <c r="DO35" s="263">
        <f t="shared" si="25"/>
        <v>177.44866071428572</v>
      </c>
      <c r="DP35" s="263">
        <f t="shared" si="25"/>
        <v>175.26470588235293</v>
      </c>
      <c r="DQ35" s="263">
        <f t="shared" si="25"/>
        <v>178.34905660377359</v>
      </c>
      <c r="DR35" s="263">
        <f t="shared" si="23"/>
        <v>175.62760416666669</v>
      </c>
      <c r="DS35" s="263">
        <f t="shared" si="23"/>
        <v>173.44014084507043</v>
      </c>
      <c r="DT35" s="263">
        <f t="shared" si="23"/>
        <v>172.02614379084969</v>
      </c>
      <c r="DU35" s="263">
        <f t="shared" si="23"/>
        <v>174.25357361963191</v>
      </c>
      <c r="DV35" s="263">
        <f t="shared" si="23"/>
        <v>173.3849206349206</v>
      </c>
    </row>
    <row r="36" spans="1:127" ht="16" customHeight="1" thickBot="1">
      <c r="A36" s="420" t="s">
        <v>243</v>
      </c>
      <c r="B36" s="868">
        <v>0</v>
      </c>
      <c r="C36" s="482">
        <v>0</v>
      </c>
      <c r="D36" s="482">
        <v>0</v>
      </c>
      <c r="E36" s="482">
        <v>0</v>
      </c>
      <c r="F36" s="482">
        <v>0</v>
      </c>
      <c r="G36" s="482">
        <v>0</v>
      </c>
      <c r="H36" s="482">
        <v>0</v>
      </c>
      <c r="I36" s="482">
        <v>0</v>
      </c>
      <c r="J36" s="482">
        <v>0</v>
      </c>
      <c r="K36" s="482">
        <v>0</v>
      </c>
      <c r="L36" s="482">
        <v>0</v>
      </c>
      <c r="M36" s="482">
        <v>0</v>
      </c>
      <c r="N36" s="482">
        <v>0</v>
      </c>
      <c r="O36" s="951" t="s">
        <v>243</v>
      </c>
      <c r="P36" s="952">
        <v>0</v>
      </c>
      <c r="Q36" s="953">
        <v>0</v>
      </c>
      <c r="R36" s="953">
        <v>0</v>
      </c>
      <c r="S36" s="953">
        <v>0</v>
      </c>
      <c r="T36" s="953">
        <v>0</v>
      </c>
      <c r="U36" s="953">
        <v>0</v>
      </c>
      <c r="V36" s="953">
        <v>0</v>
      </c>
      <c r="W36" s="953">
        <v>0</v>
      </c>
      <c r="X36" s="953">
        <v>0</v>
      </c>
      <c r="Y36" s="953">
        <v>0</v>
      </c>
      <c r="Z36" s="953">
        <v>0</v>
      </c>
      <c r="AA36" s="953">
        <v>0</v>
      </c>
      <c r="AB36" s="953">
        <v>0</v>
      </c>
      <c r="AC36" s="420" t="s">
        <v>243</v>
      </c>
      <c r="AD36" s="870" t="s">
        <v>48</v>
      </c>
      <c r="AE36" s="483" t="s">
        <v>73</v>
      </c>
      <c r="AF36" s="483" t="s">
        <v>73</v>
      </c>
      <c r="AG36" s="483" t="s">
        <v>73</v>
      </c>
      <c r="AH36" s="483" t="s">
        <v>73</v>
      </c>
      <c r="AI36" s="483" t="s">
        <v>73</v>
      </c>
      <c r="AJ36" s="483" t="s">
        <v>73</v>
      </c>
      <c r="AK36" s="483" t="s">
        <v>73</v>
      </c>
      <c r="AL36" s="483" t="s">
        <v>73</v>
      </c>
      <c r="AM36" s="483" t="s">
        <v>73</v>
      </c>
      <c r="AN36" s="483" t="s">
        <v>73</v>
      </c>
      <c r="AO36" s="483" t="s">
        <v>73</v>
      </c>
      <c r="AP36" s="483" t="s">
        <v>73</v>
      </c>
      <c r="AQ36" s="420" t="s">
        <v>243</v>
      </c>
      <c r="AR36" s="872">
        <f>SUM(AS36:BD36)</f>
        <v>15593</v>
      </c>
      <c r="AS36" s="408">
        <v>765</v>
      </c>
      <c r="AT36" s="408">
        <v>1316</v>
      </c>
      <c r="AU36" s="408">
        <v>1490</v>
      </c>
      <c r="AV36" s="408">
        <v>820</v>
      </c>
      <c r="AW36" s="408">
        <v>1478</v>
      </c>
      <c r="AX36" s="408">
        <v>1265</v>
      </c>
      <c r="AY36" s="408">
        <v>1665</v>
      </c>
      <c r="AZ36" s="408">
        <v>1359</v>
      </c>
      <c r="BA36" s="408">
        <v>1305</v>
      </c>
      <c r="BB36" s="408">
        <v>1474</v>
      </c>
      <c r="BC36" s="408">
        <v>922</v>
      </c>
      <c r="BD36" s="408">
        <v>1734</v>
      </c>
      <c r="BE36" s="420" t="s">
        <v>243</v>
      </c>
      <c r="BF36" s="868">
        <f>SUM(BG36:BR36)</f>
        <v>1039.3377499999999</v>
      </c>
      <c r="BG36" s="482">
        <v>50.367750000000001</v>
      </c>
      <c r="BH36" s="482">
        <v>88.26</v>
      </c>
      <c r="BI36" s="482">
        <v>99.949999999999989</v>
      </c>
      <c r="BJ36" s="482">
        <v>55.379999999999995</v>
      </c>
      <c r="BK36" s="482">
        <v>98.5</v>
      </c>
      <c r="BL36" s="482">
        <v>85.64</v>
      </c>
      <c r="BM36" s="482">
        <v>111.4</v>
      </c>
      <c r="BN36" s="482">
        <v>91</v>
      </c>
      <c r="BO36" s="482">
        <v>84.9</v>
      </c>
      <c r="BP36" s="482">
        <v>98.69</v>
      </c>
      <c r="BQ36" s="482">
        <v>60.85</v>
      </c>
      <c r="BR36" s="482">
        <v>114.4</v>
      </c>
      <c r="BS36" s="420" t="s">
        <v>243</v>
      </c>
      <c r="BT36" s="870">
        <f>BF36/AR36*1000</f>
        <v>66.654123645225411</v>
      </c>
      <c r="BU36" s="483" t="s">
        <v>73</v>
      </c>
      <c r="BV36" s="483">
        <f>BH36/AT36*1000</f>
        <v>67.066869300911847</v>
      </c>
      <c r="BW36" s="483">
        <f t="shared" ref="BW36:CF36" si="38">BI36/AU36*1000</f>
        <v>67.080536912751683</v>
      </c>
      <c r="BX36" s="483">
        <f t="shared" si="38"/>
        <v>67.536585365853654</v>
      </c>
      <c r="BY36" s="483">
        <f t="shared" si="38"/>
        <v>66.644113667117722</v>
      </c>
      <c r="BZ36" s="483">
        <f t="shared" si="38"/>
        <v>67.699604743083015</v>
      </c>
      <c r="CA36" s="483">
        <f t="shared" si="38"/>
        <v>66.906906906906912</v>
      </c>
      <c r="CB36" s="483">
        <f t="shared" si="38"/>
        <v>66.961000735835171</v>
      </c>
      <c r="CC36" s="483">
        <f t="shared" si="38"/>
        <v>65.05747126436782</v>
      </c>
      <c r="CD36" s="483">
        <f t="shared" si="38"/>
        <v>66.953867028493889</v>
      </c>
      <c r="CE36" s="483">
        <f t="shared" si="38"/>
        <v>65.997830802603033</v>
      </c>
      <c r="CF36" s="483">
        <f t="shared" si="38"/>
        <v>65.97462514417532</v>
      </c>
      <c r="CG36" s="420" t="s">
        <v>243</v>
      </c>
      <c r="CH36" s="874">
        <f t="shared" si="16"/>
        <v>13067</v>
      </c>
      <c r="CI36" s="484">
        <v>1265</v>
      </c>
      <c r="CJ36" s="484">
        <v>1142</v>
      </c>
      <c r="CK36" s="484">
        <v>1134</v>
      </c>
      <c r="CL36" s="484">
        <v>1190</v>
      </c>
      <c r="CM36" s="484">
        <v>1135</v>
      </c>
      <c r="CN36" s="484">
        <v>961</v>
      </c>
      <c r="CO36" s="484">
        <v>1090</v>
      </c>
      <c r="CP36" s="484">
        <v>1062</v>
      </c>
      <c r="CQ36" s="484">
        <v>952</v>
      </c>
      <c r="CR36" s="484">
        <v>1046</v>
      </c>
      <c r="CS36" s="484">
        <v>1011</v>
      </c>
      <c r="CT36" s="484">
        <v>1079</v>
      </c>
      <c r="CU36" s="420" t="s">
        <v>243</v>
      </c>
      <c r="CV36" s="874">
        <f t="shared" si="17"/>
        <v>2109.87</v>
      </c>
      <c r="CW36" s="484">
        <v>200.54</v>
      </c>
      <c r="CX36" s="484">
        <v>184.48000000000002</v>
      </c>
      <c r="CY36" s="484">
        <v>180.54000000000002</v>
      </c>
      <c r="CZ36" s="484">
        <v>193.1</v>
      </c>
      <c r="DA36" s="484">
        <v>184.28</v>
      </c>
      <c r="DB36" s="484">
        <v>155.92000000000002</v>
      </c>
      <c r="DC36" s="484">
        <v>176.9</v>
      </c>
      <c r="DD36" s="484">
        <v>170.87</v>
      </c>
      <c r="DE36" s="484">
        <v>153.22999999999999</v>
      </c>
      <c r="DF36" s="484">
        <v>170.84</v>
      </c>
      <c r="DG36" s="484">
        <v>164</v>
      </c>
      <c r="DH36" s="484">
        <v>175.17000000000002</v>
      </c>
      <c r="DI36" s="420" t="s">
        <v>243</v>
      </c>
      <c r="DJ36" s="875">
        <f t="shared" si="25"/>
        <v>161.46552383867757</v>
      </c>
      <c r="DK36" s="485">
        <f t="shared" si="25"/>
        <v>158.52964426877469</v>
      </c>
      <c r="DL36" s="485">
        <f t="shared" si="25"/>
        <v>161.54115586690017</v>
      </c>
      <c r="DM36" s="485">
        <f t="shared" si="25"/>
        <v>159.20634920634922</v>
      </c>
      <c r="DN36" s="485">
        <f t="shared" si="25"/>
        <v>162.26890756302521</v>
      </c>
      <c r="DO36" s="485">
        <f t="shared" si="25"/>
        <v>162.36123348017622</v>
      </c>
      <c r="DP36" s="485">
        <f t="shared" si="25"/>
        <v>162.24765868886578</v>
      </c>
      <c r="DQ36" s="485">
        <f t="shared" si="25"/>
        <v>162.2935779816514</v>
      </c>
      <c r="DR36" s="485">
        <f t="shared" si="23"/>
        <v>160.89453860640302</v>
      </c>
      <c r="DS36" s="485">
        <f t="shared" si="23"/>
        <v>160.95588235294116</v>
      </c>
      <c r="DT36" s="485">
        <f t="shared" si="23"/>
        <v>163.32695984703633</v>
      </c>
      <c r="DU36" s="485">
        <f t="shared" si="23"/>
        <v>162.21562809099902</v>
      </c>
      <c r="DV36" s="485">
        <f t="shared" si="23"/>
        <v>162.34476367006491</v>
      </c>
    </row>
    <row r="37" spans="1:127" ht="11" customHeight="1">
      <c r="A37" s="449" t="s">
        <v>330</v>
      </c>
      <c r="B37" s="477"/>
      <c r="C37" s="477"/>
      <c r="D37" s="477"/>
      <c r="E37" s="477"/>
      <c r="F37" s="477"/>
      <c r="G37" s="477"/>
      <c r="H37" s="477"/>
      <c r="I37" s="477"/>
      <c r="J37" s="486"/>
      <c r="K37" s="486"/>
      <c r="L37" s="486"/>
      <c r="M37" s="486"/>
      <c r="N37" s="486"/>
      <c r="O37" s="936" t="s">
        <v>330</v>
      </c>
      <c r="P37" s="477"/>
      <c r="Q37" s="477"/>
      <c r="R37" s="477"/>
      <c r="S37" s="477"/>
      <c r="T37" s="477"/>
      <c r="U37" s="477"/>
      <c r="V37" s="477"/>
      <c r="W37" s="477"/>
      <c r="X37" s="954"/>
      <c r="Y37" s="954"/>
      <c r="Z37" s="954"/>
      <c r="AA37" s="954"/>
      <c r="AB37" s="954"/>
      <c r="AC37" s="449" t="s">
        <v>330</v>
      </c>
      <c r="AD37" s="477"/>
      <c r="AE37" s="477"/>
      <c r="AF37" s="477"/>
      <c r="AG37" s="477"/>
      <c r="AH37" s="477"/>
      <c r="AI37" s="477"/>
      <c r="AJ37" s="477"/>
      <c r="AK37" s="477"/>
      <c r="AL37" s="488"/>
      <c r="AM37" s="488"/>
      <c r="AN37" s="488"/>
      <c r="AO37" s="488"/>
      <c r="AP37" s="488"/>
      <c r="AQ37" s="449" t="s">
        <v>330</v>
      </c>
      <c r="AR37" s="477"/>
      <c r="AS37" s="477"/>
      <c r="AT37" s="477"/>
      <c r="AU37" s="477"/>
      <c r="AV37" s="477"/>
      <c r="AW37" s="477"/>
      <c r="AX37" s="477"/>
      <c r="AY37" s="477"/>
      <c r="AZ37" s="486"/>
      <c r="BA37" s="486"/>
      <c r="BB37" s="486"/>
      <c r="BC37" s="486"/>
      <c r="BD37" s="486"/>
      <c r="BE37" s="449" t="s">
        <v>330</v>
      </c>
      <c r="BF37" s="477"/>
      <c r="BG37" s="477"/>
      <c r="BH37" s="477"/>
      <c r="BI37" s="477"/>
      <c r="BJ37" s="477"/>
      <c r="BK37" s="477"/>
      <c r="BL37" s="477"/>
      <c r="BM37" s="477"/>
      <c r="BN37" s="487"/>
      <c r="BO37" s="487"/>
      <c r="BP37" s="487"/>
      <c r="BQ37" s="487"/>
      <c r="BR37" s="487"/>
      <c r="BS37" s="449" t="s">
        <v>330</v>
      </c>
      <c r="BT37" s="477"/>
      <c r="BU37" s="477"/>
      <c r="BV37" s="477"/>
      <c r="BW37" s="477"/>
      <c r="BX37" s="477"/>
      <c r="BY37" s="477"/>
      <c r="BZ37" s="477"/>
      <c r="CA37" s="477"/>
      <c r="CB37" s="487"/>
      <c r="CC37" s="487"/>
      <c r="CD37" s="487"/>
      <c r="CE37" s="487"/>
      <c r="CF37" s="487"/>
      <c r="CG37" s="449" t="s">
        <v>330</v>
      </c>
      <c r="CH37" s="477"/>
      <c r="CI37" s="477"/>
      <c r="CJ37" s="477"/>
      <c r="CK37" s="477"/>
      <c r="CL37" s="477"/>
      <c r="CM37" s="477"/>
      <c r="CN37" s="477"/>
      <c r="CO37" s="477"/>
      <c r="CP37" s="486"/>
      <c r="CQ37" s="486"/>
      <c r="CR37" s="486"/>
      <c r="CS37" s="486"/>
      <c r="CT37" s="486"/>
      <c r="CU37" s="449" t="s">
        <v>330</v>
      </c>
      <c r="CV37" s="477"/>
      <c r="CW37" s="477"/>
      <c r="CX37" s="477"/>
      <c r="CY37" s="477"/>
      <c r="CZ37" s="477"/>
      <c r="DA37" s="477"/>
      <c r="DB37" s="477"/>
      <c r="DC37" s="477"/>
      <c r="DD37" s="487"/>
      <c r="DE37" s="487"/>
      <c r="DF37" s="487"/>
      <c r="DG37" s="487"/>
      <c r="DH37" s="487"/>
      <c r="DI37" s="449" t="s">
        <v>330</v>
      </c>
      <c r="DJ37" s="477"/>
      <c r="DK37" s="477"/>
      <c r="DL37" s="477"/>
      <c r="DM37" s="477"/>
      <c r="DN37" s="477"/>
      <c r="DO37" s="477"/>
      <c r="DP37" s="477"/>
      <c r="DQ37" s="477"/>
      <c r="DR37" s="487"/>
      <c r="DS37" s="487"/>
      <c r="DT37" s="487"/>
      <c r="DU37" s="487"/>
      <c r="DV37" s="487"/>
      <c r="DW37" s="27"/>
    </row>
    <row r="38" spans="1:127" ht="9" customHeight="1">
      <c r="A38" s="449" t="s">
        <v>304</v>
      </c>
      <c r="B38" s="477"/>
      <c r="C38" s="477"/>
      <c r="D38" s="477"/>
      <c r="E38" s="477"/>
      <c r="F38" s="477"/>
      <c r="G38" s="477"/>
      <c r="H38" s="477"/>
      <c r="I38" s="477"/>
      <c r="J38" s="486"/>
      <c r="K38" s="486"/>
      <c r="L38" s="489"/>
      <c r="M38" s="486"/>
      <c r="N38" s="486"/>
      <c r="O38" s="936" t="s">
        <v>304</v>
      </c>
      <c r="P38" s="477"/>
      <c r="Q38" s="477"/>
      <c r="R38" s="477"/>
      <c r="S38" s="477"/>
      <c r="T38" s="477"/>
      <c r="U38" s="477"/>
      <c r="V38" s="477"/>
      <c r="W38" s="477"/>
      <c r="X38" s="955"/>
      <c r="Y38" s="955"/>
      <c r="Z38" s="956"/>
      <c r="AA38" s="955"/>
      <c r="AB38" s="955"/>
      <c r="AC38" s="449" t="s">
        <v>304</v>
      </c>
      <c r="AD38" s="477"/>
      <c r="AE38" s="477"/>
      <c r="AF38" s="477"/>
      <c r="AG38" s="477"/>
      <c r="AH38" s="477"/>
      <c r="AI38" s="477"/>
      <c r="AJ38" s="477"/>
      <c r="AK38" s="477"/>
      <c r="AL38" s="488"/>
      <c r="AM38" s="488"/>
      <c r="AN38" s="488"/>
      <c r="AO38" s="488"/>
      <c r="AP38" s="488"/>
      <c r="AQ38" s="449" t="s">
        <v>304</v>
      </c>
      <c r="AR38" s="477"/>
      <c r="AS38" s="477"/>
      <c r="AT38" s="477"/>
      <c r="AU38" s="477"/>
      <c r="AV38" s="477"/>
      <c r="AW38" s="477"/>
      <c r="AX38" s="477"/>
      <c r="AY38" s="477"/>
      <c r="AZ38" s="490"/>
      <c r="BA38" s="486"/>
      <c r="BB38" s="489"/>
      <c r="BC38" s="486"/>
      <c r="BD38" s="486"/>
      <c r="BE38" s="449" t="s">
        <v>304</v>
      </c>
      <c r="BF38" s="477"/>
      <c r="BG38" s="477"/>
      <c r="BH38" s="477"/>
      <c r="BI38" s="477"/>
      <c r="BJ38" s="477"/>
      <c r="BK38" s="477"/>
      <c r="BL38" s="477"/>
      <c r="BM38" s="477"/>
      <c r="BN38" s="490"/>
      <c r="BO38" s="486"/>
      <c r="BP38" s="489"/>
      <c r="BQ38" s="486"/>
      <c r="BR38" s="486"/>
      <c r="BS38" s="449" t="s">
        <v>304</v>
      </c>
      <c r="BT38" s="477"/>
      <c r="BU38" s="477"/>
      <c r="BV38" s="477"/>
      <c r="BW38" s="477"/>
      <c r="BX38" s="477"/>
      <c r="BY38" s="477"/>
      <c r="BZ38" s="477"/>
      <c r="CA38" s="477"/>
      <c r="CB38" s="490"/>
      <c r="CC38" s="486"/>
      <c r="CD38" s="489"/>
      <c r="CE38" s="486"/>
      <c r="CF38" s="486"/>
      <c r="CG38" s="449" t="s">
        <v>304</v>
      </c>
      <c r="CH38" s="477"/>
      <c r="CI38" s="477"/>
      <c r="CJ38" s="477"/>
      <c r="CK38" s="477"/>
      <c r="CL38" s="477"/>
      <c r="CM38" s="477"/>
      <c r="CN38" s="477"/>
      <c r="CO38" s="477"/>
      <c r="CP38" s="486"/>
      <c r="CQ38" s="486"/>
      <c r="CR38" s="489"/>
      <c r="CS38" s="486"/>
      <c r="CT38" s="486"/>
      <c r="CU38" s="449" t="s">
        <v>304</v>
      </c>
      <c r="CV38" s="477"/>
      <c r="CW38" s="477"/>
      <c r="CX38" s="477"/>
      <c r="CY38" s="477"/>
      <c r="CZ38" s="477"/>
      <c r="DA38" s="477"/>
      <c r="DB38" s="477"/>
      <c r="DC38" s="477"/>
      <c r="DD38" s="486"/>
      <c r="DE38" s="486"/>
      <c r="DF38" s="489"/>
      <c r="DG38" s="486"/>
      <c r="DH38" s="486"/>
      <c r="DI38" s="449" t="s">
        <v>304</v>
      </c>
      <c r="DJ38" s="477"/>
      <c r="DK38" s="477"/>
      <c r="DL38" s="477"/>
      <c r="DM38" s="477"/>
      <c r="DN38" s="477"/>
      <c r="DO38" s="477"/>
      <c r="DP38" s="477"/>
      <c r="DQ38" s="477"/>
      <c r="DR38" s="486"/>
      <c r="DS38" s="486"/>
      <c r="DT38" s="489"/>
      <c r="DU38" s="486"/>
      <c r="DV38" s="486"/>
      <c r="DW38" s="27"/>
    </row>
    <row r="39" spans="1:127" s="25" customFormat="1" ht="9" customHeight="1">
      <c r="A39" s="451" t="s">
        <v>303</v>
      </c>
      <c r="B39" s="477"/>
      <c r="C39" s="477"/>
      <c r="D39" s="477"/>
      <c r="E39" s="477"/>
      <c r="F39" s="477"/>
      <c r="G39" s="477"/>
      <c r="H39" s="477"/>
      <c r="I39" s="477"/>
      <c r="J39" s="489"/>
      <c r="K39" s="489"/>
      <c r="L39" s="489"/>
      <c r="M39" s="489"/>
      <c r="N39" s="489"/>
      <c r="O39" s="937" t="s">
        <v>303</v>
      </c>
      <c r="P39" s="477"/>
      <c r="Q39" s="477"/>
      <c r="R39" s="477"/>
      <c r="S39" s="477"/>
      <c r="T39" s="477"/>
      <c r="U39" s="477"/>
      <c r="V39" s="477"/>
      <c r="W39" s="477"/>
      <c r="X39" s="956"/>
      <c r="Y39" s="956"/>
      <c r="Z39" s="956"/>
      <c r="AA39" s="956"/>
      <c r="AB39" s="956"/>
      <c r="AC39" s="451" t="s">
        <v>303</v>
      </c>
      <c r="AD39" s="477"/>
      <c r="AE39" s="477"/>
      <c r="AF39" s="477"/>
      <c r="AG39" s="477"/>
      <c r="AH39" s="477"/>
      <c r="AI39" s="477"/>
      <c r="AJ39" s="477"/>
      <c r="AK39" s="477"/>
      <c r="AL39" s="491"/>
      <c r="AM39" s="491"/>
      <c r="AN39" s="491"/>
      <c r="AO39" s="491"/>
      <c r="AP39" s="491"/>
      <c r="AQ39" s="451" t="s">
        <v>303</v>
      </c>
      <c r="AR39" s="477"/>
      <c r="AS39" s="477"/>
      <c r="AT39" s="477"/>
      <c r="AU39" s="477"/>
      <c r="AV39" s="477"/>
      <c r="AW39" s="477"/>
      <c r="AX39" s="477"/>
      <c r="AY39" s="477"/>
      <c r="AZ39" s="489"/>
      <c r="BA39" s="489"/>
      <c r="BB39" s="489"/>
      <c r="BC39" s="489"/>
      <c r="BD39" s="489"/>
      <c r="BE39" s="451" t="s">
        <v>303</v>
      </c>
      <c r="BF39" s="477"/>
      <c r="BG39" s="477"/>
      <c r="BH39" s="477"/>
      <c r="BI39" s="477"/>
      <c r="BJ39" s="477"/>
      <c r="BK39" s="477"/>
      <c r="BL39" s="477"/>
      <c r="BM39" s="477"/>
      <c r="BN39" s="489"/>
      <c r="BO39" s="489"/>
      <c r="BP39" s="489"/>
      <c r="BQ39" s="489"/>
      <c r="BR39" s="489"/>
      <c r="BS39" s="451" t="s">
        <v>303</v>
      </c>
      <c r="BT39" s="477"/>
      <c r="BU39" s="477"/>
      <c r="BV39" s="477"/>
      <c r="BW39" s="477"/>
      <c r="BX39" s="477"/>
      <c r="BY39" s="477"/>
      <c r="BZ39" s="477"/>
      <c r="CA39" s="477"/>
      <c r="CB39" s="489"/>
      <c r="CC39" s="489"/>
      <c r="CD39" s="489"/>
      <c r="CE39" s="489"/>
      <c r="CF39" s="489"/>
      <c r="CG39" s="451" t="s">
        <v>303</v>
      </c>
      <c r="CH39" s="477"/>
      <c r="CI39" s="477"/>
      <c r="CJ39" s="477"/>
      <c r="CK39" s="477"/>
      <c r="CL39" s="477"/>
      <c r="CM39" s="477"/>
      <c r="CN39" s="477"/>
      <c r="CO39" s="477"/>
      <c r="CP39" s="489"/>
      <c r="CQ39" s="489"/>
      <c r="CR39" s="489"/>
      <c r="CS39" s="489"/>
      <c r="CT39" s="489"/>
      <c r="CU39" s="451" t="s">
        <v>303</v>
      </c>
      <c r="CV39" s="477"/>
      <c r="CW39" s="477"/>
      <c r="CX39" s="477"/>
      <c r="CY39" s="477"/>
      <c r="CZ39" s="477"/>
      <c r="DA39" s="477"/>
      <c r="DB39" s="477"/>
      <c r="DC39" s="477"/>
      <c r="DD39" s="489"/>
      <c r="DE39" s="489"/>
      <c r="DF39" s="489"/>
      <c r="DG39" s="489"/>
      <c r="DH39" s="489"/>
      <c r="DI39" s="451" t="s">
        <v>303</v>
      </c>
      <c r="DJ39" s="477"/>
      <c r="DK39" s="477"/>
      <c r="DL39" s="477"/>
      <c r="DM39" s="477"/>
      <c r="DN39" s="477"/>
      <c r="DO39" s="477"/>
      <c r="DP39" s="477"/>
      <c r="DQ39" s="477"/>
      <c r="DR39" s="489"/>
      <c r="DS39" s="489"/>
      <c r="DT39" s="489"/>
      <c r="DU39" s="489"/>
      <c r="DV39" s="489"/>
      <c r="DW39" s="258"/>
    </row>
    <row r="40" spans="1:127" ht="13.25" customHeight="1">
      <c r="DI40" s="28"/>
    </row>
    <row r="41" spans="1:127" ht="13.25" customHeight="1">
      <c r="AD41" s="930"/>
      <c r="AE41" s="930"/>
      <c r="AF41" s="930"/>
      <c r="AG41" s="930"/>
      <c r="AH41" s="930"/>
      <c r="AI41" s="930"/>
      <c r="AJ41" s="930"/>
      <c r="AK41" s="930"/>
      <c r="AL41" s="930"/>
      <c r="AM41" s="930"/>
      <c r="AN41" s="930"/>
      <c r="AO41" s="930"/>
      <c r="AP41" s="930"/>
      <c r="BT41" s="930"/>
      <c r="BU41" s="930"/>
      <c r="BV41" s="930"/>
      <c r="BW41" s="930"/>
      <c r="BX41" s="930"/>
      <c r="BY41" s="930"/>
      <c r="BZ41" s="930"/>
      <c r="CA41" s="930"/>
      <c r="CB41" s="930"/>
      <c r="CC41" s="930"/>
      <c r="CD41" s="930"/>
      <c r="CE41" s="930"/>
      <c r="CF41" s="930"/>
      <c r="CH41" s="264"/>
      <c r="CI41" s="264"/>
      <c r="CJ41" s="264"/>
      <c r="CK41" s="264"/>
      <c r="CL41" s="264"/>
      <c r="CM41" s="264"/>
      <c r="CN41" s="264"/>
      <c r="CO41" s="264"/>
      <c r="CP41" s="264"/>
      <c r="CQ41" s="264"/>
      <c r="CR41" s="264"/>
      <c r="CS41" s="264"/>
      <c r="CT41" s="264"/>
      <c r="CV41" s="264"/>
      <c r="DI41" s="28"/>
      <c r="DJ41" s="930"/>
      <c r="DK41" s="930"/>
      <c r="DL41" s="930"/>
      <c r="DM41" s="930"/>
      <c r="DN41" s="930"/>
      <c r="DO41" s="930"/>
      <c r="DP41" s="930"/>
      <c r="DQ41" s="930"/>
      <c r="DR41" s="930"/>
      <c r="DS41" s="930"/>
      <c r="DT41" s="930"/>
      <c r="DU41" s="930"/>
      <c r="DV41" s="930"/>
    </row>
    <row r="42" spans="1:127" ht="13.25" customHeight="1">
      <c r="DI42" s="28"/>
    </row>
    <row r="43" spans="1:127" ht="13.25" customHeight="1">
      <c r="AD43" s="930"/>
      <c r="AE43" s="930"/>
      <c r="AF43" s="930"/>
      <c r="AG43" s="930"/>
      <c r="AH43" s="930"/>
      <c r="AI43" s="930"/>
      <c r="AJ43" s="930"/>
      <c r="AK43" s="930"/>
      <c r="AL43" s="930"/>
      <c r="AM43" s="930"/>
      <c r="AN43" s="930"/>
      <c r="AO43" s="930"/>
      <c r="AP43" s="930"/>
      <c r="BT43" s="930"/>
      <c r="BU43" s="930"/>
      <c r="BV43" s="930"/>
      <c r="BW43" s="930"/>
      <c r="BX43" s="930"/>
      <c r="BY43" s="930"/>
      <c r="BZ43" s="930"/>
      <c r="CA43" s="930"/>
      <c r="CB43" s="930"/>
      <c r="CC43" s="930"/>
      <c r="CD43" s="930"/>
      <c r="CE43" s="930"/>
      <c r="CF43" s="930"/>
      <c r="CW43" s="264"/>
      <c r="CX43" s="264"/>
      <c r="CY43" s="264"/>
      <c r="CZ43" s="264"/>
      <c r="DA43" s="264"/>
      <c r="DB43" s="264"/>
      <c r="DC43" s="264"/>
      <c r="DD43" s="264"/>
      <c r="DE43" s="264"/>
      <c r="DF43" s="264"/>
      <c r="DG43" s="264"/>
      <c r="DH43" s="264"/>
      <c r="DI43" s="28"/>
      <c r="DJ43" s="930"/>
      <c r="DK43" s="930"/>
      <c r="DL43" s="930"/>
      <c r="DM43" s="930"/>
      <c r="DN43" s="930"/>
      <c r="DO43" s="930"/>
      <c r="DP43" s="930"/>
      <c r="DQ43" s="930"/>
      <c r="DR43" s="930"/>
      <c r="DS43" s="930"/>
      <c r="DT43" s="930"/>
      <c r="DU43" s="930"/>
      <c r="DV43" s="930"/>
    </row>
    <row r="44" spans="1:127" ht="13.25" customHeight="1">
      <c r="DI44" s="28"/>
    </row>
    <row r="45" spans="1:127" ht="13.25" customHeight="1">
      <c r="DI45" s="28"/>
    </row>
    <row r="46" spans="1:127" ht="13.25" customHeight="1">
      <c r="DI46" s="28"/>
    </row>
    <row r="47" spans="1:127" ht="13.25" customHeight="1">
      <c r="DI47" s="28"/>
    </row>
    <row r="48" spans="1:127" ht="13.25" customHeight="1">
      <c r="DI48" s="28"/>
    </row>
    <row r="49" spans="113:113" ht="13.25" customHeight="1">
      <c r="DI49" s="28"/>
    </row>
    <row r="50" spans="113:113" ht="13.25" customHeight="1">
      <c r="DI50" s="28"/>
    </row>
    <row r="51" spans="113:113" ht="13.25" customHeight="1">
      <c r="DI51" s="28"/>
    </row>
    <row r="52" spans="113:113" ht="13.25" customHeight="1">
      <c r="DI52" s="28"/>
    </row>
    <row r="53" spans="113:113" ht="13.25" customHeight="1">
      <c r="DI53" s="28"/>
    </row>
    <row r="54" spans="113:113" ht="13.25" customHeight="1">
      <c r="DI54" s="28"/>
    </row>
    <row r="55" spans="113:113" ht="13.25" customHeight="1" thickBot="1">
      <c r="DI55" s="29"/>
    </row>
  </sheetData>
  <printOptions horizontalCentered="1" verticalCentered="1" gridLinesSet="0"/>
  <pageMargins left="0" right="0" top="0" bottom="0" header="0" footer="0"/>
  <pageSetup paperSize="8" orientation="portrait" r:id="rId1"/>
  <headerFooter scaleWithDoc="0" alignWithMargins="0"/>
  <colBreaks count="8" manualBreakCount="8">
    <brk id="14" max="1048575" man="1"/>
    <brk id="28" min="1" max="38" man="1"/>
    <brk id="42" max="1048575" man="1"/>
    <brk id="56" max="1048575" man="1"/>
    <brk id="70" min="1" max="38" man="1"/>
    <brk id="84" max="1048575" man="1"/>
    <brk id="98" max="1048575" man="1"/>
    <brk id="112" min="1" max="38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Hoja93">
    <tabColor theme="9" tint="0.59999389629810485"/>
  </sheetPr>
  <dimension ref="A1"/>
  <sheetViews>
    <sheetView showGridLines="0" zoomScaleNormal="100" workbookViewId="0">
      <selection activeCell="B1" sqref="B1"/>
    </sheetView>
  </sheetViews>
  <sheetFormatPr baseColWidth="10" defaultColWidth="7" defaultRowHeight="13.25" customHeight="1"/>
  <cols>
    <col min="1" max="1" width="11.19921875" style="17" customWidth="1"/>
    <col min="2" max="9" width="8" style="17" customWidth="1"/>
    <col min="10" max="16384" width="7" style="17"/>
  </cols>
  <sheetData/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syncVertical="1" syncRef="A1" transitionEvaluation="1" codeName="Hoja94">
    <tabColor theme="9" tint="0.59999389629810485"/>
  </sheetPr>
  <dimension ref="A1:S67"/>
  <sheetViews>
    <sheetView showGridLines="0" zoomScaleNormal="100" workbookViewId="0">
      <selection activeCell="H54" sqref="H54"/>
    </sheetView>
  </sheetViews>
  <sheetFormatPr baseColWidth="10" defaultColWidth="9.796875" defaultRowHeight="13.25" customHeight="1"/>
  <cols>
    <col min="1" max="1" width="7.19921875" style="269" customWidth="1"/>
    <col min="2" max="2" width="8.796875" style="269" customWidth="1"/>
    <col min="3" max="4" width="10.3984375" style="269" customWidth="1"/>
    <col min="5" max="5" width="9.796875" style="269" customWidth="1"/>
    <col min="6" max="7" width="10.3984375" style="269" customWidth="1"/>
    <col min="8" max="9" width="9.3984375" style="269" customWidth="1"/>
    <col min="10" max="10" width="10" style="269" customWidth="1"/>
    <col min="11" max="11" width="6.3984375" style="269" customWidth="1"/>
    <col min="12" max="13" width="7.59765625" style="269" customWidth="1"/>
    <col min="14" max="240" width="9.796875" style="269"/>
    <col min="241" max="241" width="7.3984375" style="269" customWidth="1"/>
    <col min="242" max="242" width="9.3984375" style="269" customWidth="1"/>
    <col min="243" max="243" width="8.3984375" style="269" customWidth="1"/>
    <col min="244" max="244" width="9.19921875" style="269" customWidth="1"/>
    <col min="245" max="245" width="9" style="269" customWidth="1"/>
    <col min="246" max="247" width="9.3984375" style="269" customWidth="1"/>
    <col min="248" max="248" width="8.796875" style="269" customWidth="1"/>
    <col min="249" max="249" width="8.3984375" style="269" customWidth="1"/>
    <col min="250" max="250" width="1.19921875" style="269" customWidth="1"/>
    <col min="251" max="251" width="10.3984375" style="269" customWidth="1"/>
    <col min="252" max="252" width="1.3984375" style="269" customWidth="1"/>
    <col min="253" max="253" width="8.3984375" style="269" customWidth="1"/>
    <col min="254" max="496" width="9.796875" style="269"/>
    <col min="497" max="497" width="7.3984375" style="269" customWidth="1"/>
    <col min="498" max="498" width="9.3984375" style="269" customWidth="1"/>
    <col min="499" max="499" width="8.3984375" style="269" customWidth="1"/>
    <col min="500" max="500" width="9.19921875" style="269" customWidth="1"/>
    <col min="501" max="501" width="9" style="269" customWidth="1"/>
    <col min="502" max="503" width="9.3984375" style="269" customWidth="1"/>
    <col min="504" max="504" width="8.796875" style="269" customWidth="1"/>
    <col min="505" max="505" width="8.3984375" style="269" customWidth="1"/>
    <col min="506" max="506" width="1.19921875" style="269" customWidth="1"/>
    <col min="507" max="507" width="10.3984375" style="269" customWidth="1"/>
    <col min="508" max="508" width="1.3984375" style="269" customWidth="1"/>
    <col min="509" max="509" width="8.3984375" style="269" customWidth="1"/>
    <col min="510" max="752" width="9.796875" style="269"/>
    <col min="753" max="753" width="7.3984375" style="269" customWidth="1"/>
    <col min="754" max="754" width="9.3984375" style="269" customWidth="1"/>
    <col min="755" max="755" width="8.3984375" style="269" customWidth="1"/>
    <col min="756" max="756" width="9.19921875" style="269" customWidth="1"/>
    <col min="757" max="757" width="9" style="269" customWidth="1"/>
    <col min="758" max="759" width="9.3984375" style="269" customWidth="1"/>
    <col min="760" max="760" width="8.796875" style="269" customWidth="1"/>
    <col min="761" max="761" width="8.3984375" style="269" customWidth="1"/>
    <col min="762" max="762" width="1.19921875" style="269" customWidth="1"/>
    <col min="763" max="763" width="10.3984375" style="269" customWidth="1"/>
    <col min="764" max="764" width="1.3984375" style="269" customWidth="1"/>
    <col min="765" max="765" width="8.3984375" style="269" customWidth="1"/>
    <col min="766" max="1008" width="9.796875" style="269"/>
    <col min="1009" max="1009" width="7.3984375" style="269" customWidth="1"/>
    <col min="1010" max="1010" width="9.3984375" style="269" customWidth="1"/>
    <col min="1011" max="1011" width="8.3984375" style="269" customWidth="1"/>
    <col min="1012" max="1012" width="9.19921875" style="269" customWidth="1"/>
    <col min="1013" max="1013" width="9" style="269" customWidth="1"/>
    <col min="1014" max="1015" width="9.3984375" style="269" customWidth="1"/>
    <col min="1016" max="1016" width="8.796875" style="269" customWidth="1"/>
    <col min="1017" max="1017" width="8.3984375" style="269" customWidth="1"/>
    <col min="1018" max="1018" width="1.19921875" style="269" customWidth="1"/>
    <col min="1019" max="1019" width="10.3984375" style="269" customWidth="1"/>
    <col min="1020" max="1020" width="1.3984375" style="269" customWidth="1"/>
    <col min="1021" max="1021" width="8.3984375" style="269" customWidth="1"/>
    <col min="1022" max="1264" width="9.796875" style="269"/>
    <col min="1265" max="1265" width="7.3984375" style="269" customWidth="1"/>
    <col min="1266" max="1266" width="9.3984375" style="269" customWidth="1"/>
    <col min="1267" max="1267" width="8.3984375" style="269" customWidth="1"/>
    <col min="1268" max="1268" width="9.19921875" style="269" customWidth="1"/>
    <col min="1269" max="1269" width="9" style="269" customWidth="1"/>
    <col min="1270" max="1271" width="9.3984375" style="269" customWidth="1"/>
    <col min="1272" max="1272" width="8.796875" style="269" customWidth="1"/>
    <col min="1273" max="1273" width="8.3984375" style="269" customWidth="1"/>
    <col min="1274" max="1274" width="1.19921875" style="269" customWidth="1"/>
    <col min="1275" max="1275" width="10.3984375" style="269" customWidth="1"/>
    <col min="1276" max="1276" width="1.3984375" style="269" customWidth="1"/>
    <col min="1277" max="1277" width="8.3984375" style="269" customWidth="1"/>
    <col min="1278" max="1520" width="9.796875" style="269"/>
    <col min="1521" max="1521" width="7.3984375" style="269" customWidth="1"/>
    <col min="1522" max="1522" width="9.3984375" style="269" customWidth="1"/>
    <col min="1523" max="1523" width="8.3984375" style="269" customWidth="1"/>
    <col min="1524" max="1524" width="9.19921875" style="269" customWidth="1"/>
    <col min="1525" max="1525" width="9" style="269" customWidth="1"/>
    <col min="1526" max="1527" width="9.3984375" style="269" customWidth="1"/>
    <col min="1528" max="1528" width="8.796875" style="269" customWidth="1"/>
    <col min="1529" max="1529" width="8.3984375" style="269" customWidth="1"/>
    <col min="1530" max="1530" width="1.19921875" style="269" customWidth="1"/>
    <col min="1531" max="1531" width="10.3984375" style="269" customWidth="1"/>
    <col min="1532" max="1532" width="1.3984375" style="269" customWidth="1"/>
    <col min="1533" max="1533" width="8.3984375" style="269" customWidth="1"/>
    <col min="1534" max="1776" width="9.796875" style="269"/>
    <col min="1777" max="1777" width="7.3984375" style="269" customWidth="1"/>
    <col min="1778" max="1778" width="9.3984375" style="269" customWidth="1"/>
    <col min="1779" max="1779" width="8.3984375" style="269" customWidth="1"/>
    <col min="1780" max="1780" width="9.19921875" style="269" customWidth="1"/>
    <col min="1781" max="1781" width="9" style="269" customWidth="1"/>
    <col min="1782" max="1783" width="9.3984375" style="269" customWidth="1"/>
    <col min="1784" max="1784" width="8.796875" style="269" customWidth="1"/>
    <col min="1785" max="1785" width="8.3984375" style="269" customWidth="1"/>
    <col min="1786" max="1786" width="1.19921875" style="269" customWidth="1"/>
    <col min="1787" max="1787" width="10.3984375" style="269" customWidth="1"/>
    <col min="1788" max="1788" width="1.3984375" style="269" customWidth="1"/>
    <col min="1789" max="1789" width="8.3984375" style="269" customWidth="1"/>
    <col min="1790" max="2032" width="9.796875" style="269"/>
    <col min="2033" max="2033" width="7.3984375" style="269" customWidth="1"/>
    <col min="2034" max="2034" width="9.3984375" style="269" customWidth="1"/>
    <col min="2035" max="2035" width="8.3984375" style="269" customWidth="1"/>
    <col min="2036" max="2036" width="9.19921875" style="269" customWidth="1"/>
    <col min="2037" max="2037" width="9" style="269" customWidth="1"/>
    <col min="2038" max="2039" width="9.3984375" style="269" customWidth="1"/>
    <col min="2040" max="2040" width="8.796875" style="269" customWidth="1"/>
    <col min="2041" max="2041" width="8.3984375" style="269" customWidth="1"/>
    <col min="2042" max="2042" width="1.19921875" style="269" customWidth="1"/>
    <col min="2043" max="2043" width="10.3984375" style="269" customWidth="1"/>
    <col min="2044" max="2044" width="1.3984375" style="269" customWidth="1"/>
    <col min="2045" max="2045" width="8.3984375" style="269" customWidth="1"/>
    <col min="2046" max="2288" width="9.796875" style="269"/>
    <col min="2289" max="2289" width="7.3984375" style="269" customWidth="1"/>
    <col min="2290" max="2290" width="9.3984375" style="269" customWidth="1"/>
    <col min="2291" max="2291" width="8.3984375" style="269" customWidth="1"/>
    <col min="2292" max="2292" width="9.19921875" style="269" customWidth="1"/>
    <col min="2293" max="2293" width="9" style="269" customWidth="1"/>
    <col min="2294" max="2295" width="9.3984375" style="269" customWidth="1"/>
    <col min="2296" max="2296" width="8.796875" style="269" customWidth="1"/>
    <col min="2297" max="2297" width="8.3984375" style="269" customWidth="1"/>
    <col min="2298" max="2298" width="1.19921875" style="269" customWidth="1"/>
    <col min="2299" max="2299" width="10.3984375" style="269" customWidth="1"/>
    <col min="2300" max="2300" width="1.3984375" style="269" customWidth="1"/>
    <col min="2301" max="2301" width="8.3984375" style="269" customWidth="1"/>
    <col min="2302" max="2544" width="9.796875" style="269"/>
    <col min="2545" max="2545" width="7.3984375" style="269" customWidth="1"/>
    <col min="2546" max="2546" width="9.3984375" style="269" customWidth="1"/>
    <col min="2547" max="2547" width="8.3984375" style="269" customWidth="1"/>
    <col min="2548" max="2548" width="9.19921875" style="269" customWidth="1"/>
    <col min="2549" max="2549" width="9" style="269" customWidth="1"/>
    <col min="2550" max="2551" width="9.3984375" style="269" customWidth="1"/>
    <col min="2552" max="2552" width="8.796875" style="269" customWidth="1"/>
    <col min="2553" max="2553" width="8.3984375" style="269" customWidth="1"/>
    <col min="2554" max="2554" width="1.19921875" style="269" customWidth="1"/>
    <col min="2555" max="2555" width="10.3984375" style="269" customWidth="1"/>
    <col min="2556" max="2556" width="1.3984375" style="269" customWidth="1"/>
    <col min="2557" max="2557" width="8.3984375" style="269" customWidth="1"/>
    <col min="2558" max="2800" width="9.796875" style="269"/>
    <col min="2801" max="2801" width="7.3984375" style="269" customWidth="1"/>
    <col min="2802" max="2802" width="9.3984375" style="269" customWidth="1"/>
    <col min="2803" max="2803" width="8.3984375" style="269" customWidth="1"/>
    <col min="2804" max="2804" width="9.19921875" style="269" customWidth="1"/>
    <col min="2805" max="2805" width="9" style="269" customWidth="1"/>
    <col min="2806" max="2807" width="9.3984375" style="269" customWidth="1"/>
    <col min="2808" max="2808" width="8.796875" style="269" customWidth="1"/>
    <col min="2809" max="2809" width="8.3984375" style="269" customWidth="1"/>
    <col min="2810" max="2810" width="1.19921875" style="269" customWidth="1"/>
    <col min="2811" max="2811" width="10.3984375" style="269" customWidth="1"/>
    <col min="2812" max="2812" width="1.3984375" style="269" customWidth="1"/>
    <col min="2813" max="2813" width="8.3984375" style="269" customWidth="1"/>
    <col min="2814" max="3056" width="9.796875" style="269"/>
    <col min="3057" max="3057" width="7.3984375" style="269" customWidth="1"/>
    <col min="3058" max="3058" width="9.3984375" style="269" customWidth="1"/>
    <col min="3059" max="3059" width="8.3984375" style="269" customWidth="1"/>
    <col min="3060" max="3060" width="9.19921875" style="269" customWidth="1"/>
    <col min="3061" max="3061" width="9" style="269" customWidth="1"/>
    <col min="3062" max="3063" width="9.3984375" style="269" customWidth="1"/>
    <col min="3064" max="3064" width="8.796875" style="269" customWidth="1"/>
    <col min="3065" max="3065" width="8.3984375" style="269" customWidth="1"/>
    <col min="3066" max="3066" width="1.19921875" style="269" customWidth="1"/>
    <col min="3067" max="3067" width="10.3984375" style="269" customWidth="1"/>
    <col min="3068" max="3068" width="1.3984375" style="269" customWidth="1"/>
    <col min="3069" max="3069" width="8.3984375" style="269" customWidth="1"/>
    <col min="3070" max="3312" width="9.796875" style="269"/>
    <col min="3313" max="3313" width="7.3984375" style="269" customWidth="1"/>
    <col min="3314" max="3314" width="9.3984375" style="269" customWidth="1"/>
    <col min="3315" max="3315" width="8.3984375" style="269" customWidth="1"/>
    <col min="3316" max="3316" width="9.19921875" style="269" customWidth="1"/>
    <col min="3317" max="3317" width="9" style="269" customWidth="1"/>
    <col min="3318" max="3319" width="9.3984375" style="269" customWidth="1"/>
    <col min="3320" max="3320" width="8.796875" style="269" customWidth="1"/>
    <col min="3321" max="3321" width="8.3984375" style="269" customWidth="1"/>
    <col min="3322" max="3322" width="1.19921875" style="269" customWidth="1"/>
    <col min="3323" max="3323" width="10.3984375" style="269" customWidth="1"/>
    <col min="3324" max="3324" width="1.3984375" style="269" customWidth="1"/>
    <col min="3325" max="3325" width="8.3984375" style="269" customWidth="1"/>
    <col min="3326" max="3568" width="9.796875" style="269"/>
    <col min="3569" max="3569" width="7.3984375" style="269" customWidth="1"/>
    <col min="3570" max="3570" width="9.3984375" style="269" customWidth="1"/>
    <col min="3571" max="3571" width="8.3984375" style="269" customWidth="1"/>
    <col min="3572" max="3572" width="9.19921875" style="269" customWidth="1"/>
    <col min="3573" max="3573" width="9" style="269" customWidth="1"/>
    <col min="3574" max="3575" width="9.3984375" style="269" customWidth="1"/>
    <col min="3576" max="3576" width="8.796875" style="269" customWidth="1"/>
    <col min="3577" max="3577" width="8.3984375" style="269" customWidth="1"/>
    <col min="3578" max="3578" width="1.19921875" style="269" customWidth="1"/>
    <col min="3579" max="3579" width="10.3984375" style="269" customWidth="1"/>
    <col min="3580" max="3580" width="1.3984375" style="269" customWidth="1"/>
    <col min="3581" max="3581" width="8.3984375" style="269" customWidth="1"/>
    <col min="3582" max="3824" width="9.796875" style="269"/>
    <col min="3825" max="3825" width="7.3984375" style="269" customWidth="1"/>
    <col min="3826" max="3826" width="9.3984375" style="269" customWidth="1"/>
    <col min="3827" max="3827" width="8.3984375" style="269" customWidth="1"/>
    <col min="3828" max="3828" width="9.19921875" style="269" customWidth="1"/>
    <col min="3829" max="3829" width="9" style="269" customWidth="1"/>
    <col min="3830" max="3831" width="9.3984375" style="269" customWidth="1"/>
    <col min="3832" max="3832" width="8.796875" style="269" customWidth="1"/>
    <col min="3833" max="3833" width="8.3984375" style="269" customWidth="1"/>
    <col min="3834" max="3834" width="1.19921875" style="269" customWidth="1"/>
    <col min="3835" max="3835" width="10.3984375" style="269" customWidth="1"/>
    <col min="3836" max="3836" width="1.3984375" style="269" customWidth="1"/>
    <col min="3837" max="3837" width="8.3984375" style="269" customWidth="1"/>
    <col min="3838" max="4080" width="9.796875" style="269"/>
    <col min="4081" max="4081" width="7.3984375" style="269" customWidth="1"/>
    <col min="4082" max="4082" width="9.3984375" style="269" customWidth="1"/>
    <col min="4083" max="4083" width="8.3984375" style="269" customWidth="1"/>
    <col min="4084" max="4084" width="9.19921875" style="269" customWidth="1"/>
    <col min="4085" max="4085" width="9" style="269" customWidth="1"/>
    <col min="4086" max="4087" width="9.3984375" style="269" customWidth="1"/>
    <col min="4088" max="4088" width="8.796875" style="269" customWidth="1"/>
    <col min="4089" max="4089" width="8.3984375" style="269" customWidth="1"/>
    <col min="4090" max="4090" width="1.19921875" style="269" customWidth="1"/>
    <col min="4091" max="4091" width="10.3984375" style="269" customWidth="1"/>
    <col min="4092" max="4092" width="1.3984375" style="269" customWidth="1"/>
    <col min="4093" max="4093" width="8.3984375" style="269" customWidth="1"/>
    <col min="4094" max="4336" width="9.796875" style="269"/>
    <col min="4337" max="4337" width="7.3984375" style="269" customWidth="1"/>
    <col min="4338" max="4338" width="9.3984375" style="269" customWidth="1"/>
    <col min="4339" max="4339" width="8.3984375" style="269" customWidth="1"/>
    <col min="4340" max="4340" width="9.19921875" style="269" customWidth="1"/>
    <col min="4341" max="4341" width="9" style="269" customWidth="1"/>
    <col min="4342" max="4343" width="9.3984375" style="269" customWidth="1"/>
    <col min="4344" max="4344" width="8.796875" style="269" customWidth="1"/>
    <col min="4345" max="4345" width="8.3984375" style="269" customWidth="1"/>
    <col min="4346" max="4346" width="1.19921875" style="269" customWidth="1"/>
    <col min="4347" max="4347" width="10.3984375" style="269" customWidth="1"/>
    <col min="4348" max="4348" width="1.3984375" style="269" customWidth="1"/>
    <col min="4349" max="4349" width="8.3984375" style="269" customWidth="1"/>
    <col min="4350" max="4592" width="9.796875" style="269"/>
    <col min="4593" max="4593" width="7.3984375" style="269" customWidth="1"/>
    <col min="4594" max="4594" width="9.3984375" style="269" customWidth="1"/>
    <col min="4595" max="4595" width="8.3984375" style="269" customWidth="1"/>
    <col min="4596" max="4596" width="9.19921875" style="269" customWidth="1"/>
    <col min="4597" max="4597" width="9" style="269" customWidth="1"/>
    <col min="4598" max="4599" width="9.3984375" style="269" customWidth="1"/>
    <col min="4600" max="4600" width="8.796875" style="269" customWidth="1"/>
    <col min="4601" max="4601" width="8.3984375" style="269" customWidth="1"/>
    <col min="4602" max="4602" width="1.19921875" style="269" customWidth="1"/>
    <col min="4603" max="4603" width="10.3984375" style="269" customWidth="1"/>
    <col min="4604" max="4604" width="1.3984375" style="269" customWidth="1"/>
    <col min="4605" max="4605" width="8.3984375" style="269" customWidth="1"/>
    <col min="4606" max="4848" width="9.796875" style="269"/>
    <col min="4849" max="4849" width="7.3984375" style="269" customWidth="1"/>
    <col min="4850" max="4850" width="9.3984375" style="269" customWidth="1"/>
    <col min="4851" max="4851" width="8.3984375" style="269" customWidth="1"/>
    <col min="4852" max="4852" width="9.19921875" style="269" customWidth="1"/>
    <col min="4853" max="4853" width="9" style="269" customWidth="1"/>
    <col min="4854" max="4855" width="9.3984375" style="269" customWidth="1"/>
    <col min="4856" max="4856" width="8.796875" style="269" customWidth="1"/>
    <col min="4857" max="4857" width="8.3984375" style="269" customWidth="1"/>
    <col min="4858" max="4858" width="1.19921875" style="269" customWidth="1"/>
    <col min="4859" max="4859" width="10.3984375" style="269" customWidth="1"/>
    <col min="4860" max="4860" width="1.3984375" style="269" customWidth="1"/>
    <col min="4861" max="4861" width="8.3984375" style="269" customWidth="1"/>
    <col min="4862" max="5104" width="9.796875" style="269"/>
    <col min="5105" max="5105" width="7.3984375" style="269" customWidth="1"/>
    <col min="5106" max="5106" width="9.3984375" style="269" customWidth="1"/>
    <col min="5107" max="5107" width="8.3984375" style="269" customWidth="1"/>
    <col min="5108" max="5108" width="9.19921875" style="269" customWidth="1"/>
    <col min="5109" max="5109" width="9" style="269" customWidth="1"/>
    <col min="5110" max="5111" width="9.3984375" style="269" customWidth="1"/>
    <col min="5112" max="5112" width="8.796875" style="269" customWidth="1"/>
    <col min="5113" max="5113" width="8.3984375" style="269" customWidth="1"/>
    <col min="5114" max="5114" width="1.19921875" style="269" customWidth="1"/>
    <col min="5115" max="5115" width="10.3984375" style="269" customWidth="1"/>
    <col min="5116" max="5116" width="1.3984375" style="269" customWidth="1"/>
    <col min="5117" max="5117" width="8.3984375" style="269" customWidth="1"/>
    <col min="5118" max="5360" width="9.796875" style="269"/>
    <col min="5361" max="5361" width="7.3984375" style="269" customWidth="1"/>
    <col min="5362" max="5362" width="9.3984375" style="269" customWidth="1"/>
    <col min="5363" max="5363" width="8.3984375" style="269" customWidth="1"/>
    <col min="5364" max="5364" width="9.19921875" style="269" customWidth="1"/>
    <col min="5365" max="5365" width="9" style="269" customWidth="1"/>
    <col min="5366" max="5367" width="9.3984375" style="269" customWidth="1"/>
    <col min="5368" max="5368" width="8.796875" style="269" customWidth="1"/>
    <col min="5369" max="5369" width="8.3984375" style="269" customWidth="1"/>
    <col min="5370" max="5370" width="1.19921875" style="269" customWidth="1"/>
    <col min="5371" max="5371" width="10.3984375" style="269" customWidth="1"/>
    <col min="5372" max="5372" width="1.3984375" style="269" customWidth="1"/>
    <col min="5373" max="5373" width="8.3984375" style="269" customWidth="1"/>
    <col min="5374" max="5616" width="9.796875" style="269"/>
    <col min="5617" max="5617" width="7.3984375" style="269" customWidth="1"/>
    <col min="5618" max="5618" width="9.3984375" style="269" customWidth="1"/>
    <col min="5619" max="5619" width="8.3984375" style="269" customWidth="1"/>
    <col min="5620" max="5620" width="9.19921875" style="269" customWidth="1"/>
    <col min="5621" max="5621" width="9" style="269" customWidth="1"/>
    <col min="5622" max="5623" width="9.3984375" style="269" customWidth="1"/>
    <col min="5624" max="5624" width="8.796875" style="269" customWidth="1"/>
    <col min="5625" max="5625" width="8.3984375" style="269" customWidth="1"/>
    <col min="5626" max="5626" width="1.19921875" style="269" customWidth="1"/>
    <col min="5627" max="5627" width="10.3984375" style="269" customWidth="1"/>
    <col min="5628" max="5628" width="1.3984375" style="269" customWidth="1"/>
    <col min="5629" max="5629" width="8.3984375" style="269" customWidth="1"/>
    <col min="5630" max="5872" width="9.796875" style="269"/>
    <col min="5873" max="5873" width="7.3984375" style="269" customWidth="1"/>
    <col min="5874" max="5874" width="9.3984375" style="269" customWidth="1"/>
    <col min="5875" max="5875" width="8.3984375" style="269" customWidth="1"/>
    <col min="5876" max="5876" width="9.19921875" style="269" customWidth="1"/>
    <col min="5877" max="5877" width="9" style="269" customWidth="1"/>
    <col min="5878" max="5879" width="9.3984375" style="269" customWidth="1"/>
    <col min="5880" max="5880" width="8.796875" style="269" customWidth="1"/>
    <col min="5881" max="5881" width="8.3984375" style="269" customWidth="1"/>
    <col min="5882" max="5882" width="1.19921875" style="269" customWidth="1"/>
    <col min="5883" max="5883" width="10.3984375" style="269" customWidth="1"/>
    <col min="5884" max="5884" width="1.3984375" style="269" customWidth="1"/>
    <col min="5885" max="5885" width="8.3984375" style="269" customWidth="1"/>
    <col min="5886" max="6128" width="9.796875" style="269"/>
    <col min="6129" max="6129" width="7.3984375" style="269" customWidth="1"/>
    <col min="6130" max="6130" width="9.3984375" style="269" customWidth="1"/>
    <col min="6131" max="6131" width="8.3984375" style="269" customWidth="1"/>
    <col min="6132" max="6132" width="9.19921875" style="269" customWidth="1"/>
    <col min="6133" max="6133" width="9" style="269" customWidth="1"/>
    <col min="6134" max="6135" width="9.3984375" style="269" customWidth="1"/>
    <col min="6136" max="6136" width="8.796875" style="269" customWidth="1"/>
    <col min="6137" max="6137" width="8.3984375" style="269" customWidth="1"/>
    <col min="6138" max="6138" width="1.19921875" style="269" customWidth="1"/>
    <col min="6139" max="6139" width="10.3984375" style="269" customWidth="1"/>
    <col min="6140" max="6140" width="1.3984375" style="269" customWidth="1"/>
    <col min="6141" max="6141" width="8.3984375" style="269" customWidth="1"/>
    <col min="6142" max="6384" width="9.796875" style="269"/>
    <col min="6385" max="6385" width="7.3984375" style="269" customWidth="1"/>
    <col min="6386" max="6386" width="9.3984375" style="269" customWidth="1"/>
    <col min="6387" max="6387" width="8.3984375" style="269" customWidth="1"/>
    <col min="6388" max="6388" width="9.19921875" style="269" customWidth="1"/>
    <col min="6389" max="6389" width="9" style="269" customWidth="1"/>
    <col min="6390" max="6391" width="9.3984375" style="269" customWidth="1"/>
    <col min="6392" max="6392" width="8.796875" style="269" customWidth="1"/>
    <col min="6393" max="6393" width="8.3984375" style="269" customWidth="1"/>
    <col min="6394" max="6394" width="1.19921875" style="269" customWidth="1"/>
    <col min="6395" max="6395" width="10.3984375" style="269" customWidth="1"/>
    <col min="6396" max="6396" width="1.3984375" style="269" customWidth="1"/>
    <col min="6397" max="6397" width="8.3984375" style="269" customWidth="1"/>
    <col min="6398" max="6640" width="9.796875" style="269"/>
    <col min="6641" max="6641" width="7.3984375" style="269" customWidth="1"/>
    <col min="6642" max="6642" width="9.3984375" style="269" customWidth="1"/>
    <col min="6643" max="6643" width="8.3984375" style="269" customWidth="1"/>
    <col min="6644" max="6644" width="9.19921875" style="269" customWidth="1"/>
    <col min="6645" max="6645" width="9" style="269" customWidth="1"/>
    <col min="6646" max="6647" width="9.3984375" style="269" customWidth="1"/>
    <col min="6648" max="6648" width="8.796875" style="269" customWidth="1"/>
    <col min="6649" max="6649" width="8.3984375" style="269" customWidth="1"/>
    <col min="6650" max="6650" width="1.19921875" style="269" customWidth="1"/>
    <col min="6651" max="6651" width="10.3984375" style="269" customWidth="1"/>
    <col min="6652" max="6652" width="1.3984375" style="269" customWidth="1"/>
    <col min="6653" max="6653" width="8.3984375" style="269" customWidth="1"/>
    <col min="6654" max="6896" width="9.796875" style="269"/>
    <col min="6897" max="6897" width="7.3984375" style="269" customWidth="1"/>
    <col min="6898" max="6898" width="9.3984375" style="269" customWidth="1"/>
    <col min="6899" max="6899" width="8.3984375" style="269" customWidth="1"/>
    <col min="6900" max="6900" width="9.19921875" style="269" customWidth="1"/>
    <col min="6901" max="6901" width="9" style="269" customWidth="1"/>
    <col min="6902" max="6903" width="9.3984375" style="269" customWidth="1"/>
    <col min="6904" max="6904" width="8.796875" style="269" customWidth="1"/>
    <col min="6905" max="6905" width="8.3984375" style="269" customWidth="1"/>
    <col min="6906" max="6906" width="1.19921875" style="269" customWidth="1"/>
    <col min="6907" max="6907" width="10.3984375" style="269" customWidth="1"/>
    <col min="6908" max="6908" width="1.3984375" style="269" customWidth="1"/>
    <col min="6909" max="6909" width="8.3984375" style="269" customWidth="1"/>
    <col min="6910" max="7152" width="9.796875" style="269"/>
    <col min="7153" max="7153" width="7.3984375" style="269" customWidth="1"/>
    <col min="7154" max="7154" width="9.3984375" style="269" customWidth="1"/>
    <col min="7155" max="7155" width="8.3984375" style="269" customWidth="1"/>
    <col min="7156" max="7156" width="9.19921875" style="269" customWidth="1"/>
    <col min="7157" max="7157" width="9" style="269" customWidth="1"/>
    <col min="7158" max="7159" width="9.3984375" style="269" customWidth="1"/>
    <col min="7160" max="7160" width="8.796875" style="269" customWidth="1"/>
    <col min="7161" max="7161" width="8.3984375" style="269" customWidth="1"/>
    <col min="7162" max="7162" width="1.19921875" style="269" customWidth="1"/>
    <col min="7163" max="7163" width="10.3984375" style="269" customWidth="1"/>
    <col min="7164" max="7164" width="1.3984375" style="269" customWidth="1"/>
    <col min="7165" max="7165" width="8.3984375" style="269" customWidth="1"/>
    <col min="7166" max="7408" width="9.796875" style="269"/>
    <col min="7409" max="7409" width="7.3984375" style="269" customWidth="1"/>
    <col min="7410" max="7410" width="9.3984375" style="269" customWidth="1"/>
    <col min="7411" max="7411" width="8.3984375" style="269" customWidth="1"/>
    <col min="7412" max="7412" width="9.19921875" style="269" customWidth="1"/>
    <col min="7413" max="7413" width="9" style="269" customWidth="1"/>
    <col min="7414" max="7415" width="9.3984375" style="269" customWidth="1"/>
    <col min="7416" max="7416" width="8.796875" style="269" customWidth="1"/>
    <col min="7417" max="7417" width="8.3984375" style="269" customWidth="1"/>
    <col min="7418" max="7418" width="1.19921875" style="269" customWidth="1"/>
    <col min="7419" max="7419" width="10.3984375" style="269" customWidth="1"/>
    <col min="7420" max="7420" width="1.3984375" style="269" customWidth="1"/>
    <col min="7421" max="7421" width="8.3984375" style="269" customWidth="1"/>
    <col min="7422" max="7664" width="9.796875" style="269"/>
    <col min="7665" max="7665" width="7.3984375" style="269" customWidth="1"/>
    <col min="7666" max="7666" width="9.3984375" style="269" customWidth="1"/>
    <col min="7667" max="7667" width="8.3984375" style="269" customWidth="1"/>
    <col min="7668" max="7668" width="9.19921875" style="269" customWidth="1"/>
    <col min="7669" max="7669" width="9" style="269" customWidth="1"/>
    <col min="7670" max="7671" width="9.3984375" style="269" customWidth="1"/>
    <col min="7672" max="7672" width="8.796875" style="269" customWidth="1"/>
    <col min="7673" max="7673" width="8.3984375" style="269" customWidth="1"/>
    <col min="7674" max="7674" width="1.19921875" style="269" customWidth="1"/>
    <col min="7675" max="7675" width="10.3984375" style="269" customWidth="1"/>
    <col min="7676" max="7676" width="1.3984375" style="269" customWidth="1"/>
    <col min="7677" max="7677" width="8.3984375" style="269" customWidth="1"/>
    <col min="7678" max="7920" width="9.796875" style="269"/>
    <col min="7921" max="7921" width="7.3984375" style="269" customWidth="1"/>
    <col min="7922" max="7922" width="9.3984375" style="269" customWidth="1"/>
    <col min="7923" max="7923" width="8.3984375" style="269" customWidth="1"/>
    <col min="7924" max="7924" width="9.19921875" style="269" customWidth="1"/>
    <col min="7925" max="7925" width="9" style="269" customWidth="1"/>
    <col min="7926" max="7927" width="9.3984375" style="269" customWidth="1"/>
    <col min="7928" max="7928" width="8.796875" style="269" customWidth="1"/>
    <col min="7929" max="7929" width="8.3984375" style="269" customWidth="1"/>
    <col min="7930" max="7930" width="1.19921875" style="269" customWidth="1"/>
    <col min="7931" max="7931" width="10.3984375" style="269" customWidth="1"/>
    <col min="7932" max="7932" width="1.3984375" style="269" customWidth="1"/>
    <col min="7933" max="7933" width="8.3984375" style="269" customWidth="1"/>
    <col min="7934" max="8176" width="9.796875" style="269"/>
    <col min="8177" max="8177" width="7.3984375" style="269" customWidth="1"/>
    <col min="8178" max="8178" width="9.3984375" style="269" customWidth="1"/>
    <col min="8179" max="8179" width="8.3984375" style="269" customWidth="1"/>
    <col min="8180" max="8180" width="9.19921875" style="269" customWidth="1"/>
    <col min="8181" max="8181" width="9" style="269" customWidth="1"/>
    <col min="8182" max="8183" width="9.3984375" style="269" customWidth="1"/>
    <col min="8184" max="8184" width="8.796875" style="269" customWidth="1"/>
    <col min="8185" max="8185" width="8.3984375" style="269" customWidth="1"/>
    <col min="8186" max="8186" width="1.19921875" style="269" customWidth="1"/>
    <col min="8187" max="8187" width="10.3984375" style="269" customWidth="1"/>
    <col min="8188" max="8188" width="1.3984375" style="269" customWidth="1"/>
    <col min="8189" max="8189" width="8.3984375" style="269" customWidth="1"/>
    <col min="8190" max="8432" width="9.796875" style="269"/>
    <col min="8433" max="8433" width="7.3984375" style="269" customWidth="1"/>
    <col min="8434" max="8434" width="9.3984375" style="269" customWidth="1"/>
    <col min="8435" max="8435" width="8.3984375" style="269" customWidth="1"/>
    <col min="8436" max="8436" width="9.19921875" style="269" customWidth="1"/>
    <col min="8437" max="8437" width="9" style="269" customWidth="1"/>
    <col min="8438" max="8439" width="9.3984375" style="269" customWidth="1"/>
    <col min="8440" max="8440" width="8.796875" style="269" customWidth="1"/>
    <col min="8441" max="8441" width="8.3984375" style="269" customWidth="1"/>
    <col min="8442" max="8442" width="1.19921875" style="269" customWidth="1"/>
    <col min="8443" max="8443" width="10.3984375" style="269" customWidth="1"/>
    <col min="8444" max="8444" width="1.3984375" style="269" customWidth="1"/>
    <col min="8445" max="8445" width="8.3984375" style="269" customWidth="1"/>
    <col min="8446" max="8688" width="9.796875" style="269"/>
    <col min="8689" max="8689" width="7.3984375" style="269" customWidth="1"/>
    <col min="8690" max="8690" width="9.3984375" style="269" customWidth="1"/>
    <col min="8691" max="8691" width="8.3984375" style="269" customWidth="1"/>
    <col min="8692" max="8692" width="9.19921875" style="269" customWidth="1"/>
    <col min="8693" max="8693" width="9" style="269" customWidth="1"/>
    <col min="8694" max="8695" width="9.3984375" style="269" customWidth="1"/>
    <col min="8696" max="8696" width="8.796875" style="269" customWidth="1"/>
    <col min="8697" max="8697" width="8.3984375" style="269" customWidth="1"/>
    <col min="8698" max="8698" width="1.19921875" style="269" customWidth="1"/>
    <col min="8699" max="8699" width="10.3984375" style="269" customWidth="1"/>
    <col min="8700" max="8700" width="1.3984375" style="269" customWidth="1"/>
    <col min="8701" max="8701" width="8.3984375" style="269" customWidth="1"/>
    <col min="8702" max="8944" width="9.796875" style="269"/>
    <col min="8945" max="8945" width="7.3984375" style="269" customWidth="1"/>
    <col min="8946" max="8946" width="9.3984375" style="269" customWidth="1"/>
    <col min="8947" max="8947" width="8.3984375" style="269" customWidth="1"/>
    <col min="8948" max="8948" width="9.19921875" style="269" customWidth="1"/>
    <col min="8949" max="8949" width="9" style="269" customWidth="1"/>
    <col min="8950" max="8951" width="9.3984375" style="269" customWidth="1"/>
    <col min="8952" max="8952" width="8.796875" style="269" customWidth="1"/>
    <col min="8953" max="8953" width="8.3984375" style="269" customWidth="1"/>
    <col min="8954" max="8954" width="1.19921875" style="269" customWidth="1"/>
    <col min="8955" max="8955" width="10.3984375" style="269" customWidth="1"/>
    <col min="8956" max="8956" width="1.3984375" style="269" customWidth="1"/>
    <col min="8957" max="8957" width="8.3984375" style="269" customWidth="1"/>
    <col min="8958" max="9200" width="9.796875" style="269"/>
    <col min="9201" max="9201" width="7.3984375" style="269" customWidth="1"/>
    <col min="9202" max="9202" width="9.3984375" style="269" customWidth="1"/>
    <col min="9203" max="9203" width="8.3984375" style="269" customWidth="1"/>
    <col min="9204" max="9204" width="9.19921875" style="269" customWidth="1"/>
    <col min="9205" max="9205" width="9" style="269" customWidth="1"/>
    <col min="9206" max="9207" width="9.3984375" style="269" customWidth="1"/>
    <col min="9208" max="9208" width="8.796875" style="269" customWidth="1"/>
    <col min="9209" max="9209" width="8.3984375" style="269" customWidth="1"/>
    <col min="9210" max="9210" width="1.19921875" style="269" customWidth="1"/>
    <col min="9211" max="9211" width="10.3984375" style="269" customWidth="1"/>
    <col min="9212" max="9212" width="1.3984375" style="269" customWidth="1"/>
    <col min="9213" max="9213" width="8.3984375" style="269" customWidth="1"/>
    <col min="9214" max="9456" width="9.796875" style="269"/>
    <col min="9457" max="9457" width="7.3984375" style="269" customWidth="1"/>
    <col min="9458" max="9458" width="9.3984375" style="269" customWidth="1"/>
    <col min="9459" max="9459" width="8.3984375" style="269" customWidth="1"/>
    <col min="9460" max="9460" width="9.19921875" style="269" customWidth="1"/>
    <col min="9461" max="9461" width="9" style="269" customWidth="1"/>
    <col min="9462" max="9463" width="9.3984375" style="269" customWidth="1"/>
    <col min="9464" max="9464" width="8.796875" style="269" customWidth="1"/>
    <col min="9465" max="9465" width="8.3984375" style="269" customWidth="1"/>
    <col min="9466" max="9466" width="1.19921875" style="269" customWidth="1"/>
    <col min="9467" max="9467" width="10.3984375" style="269" customWidth="1"/>
    <col min="9468" max="9468" width="1.3984375" style="269" customWidth="1"/>
    <col min="9469" max="9469" width="8.3984375" style="269" customWidth="1"/>
    <col min="9470" max="9712" width="9.796875" style="269"/>
    <col min="9713" max="9713" width="7.3984375" style="269" customWidth="1"/>
    <col min="9714" max="9714" width="9.3984375" style="269" customWidth="1"/>
    <col min="9715" max="9715" width="8.3984375" style="269" customWidth="1"/>
    <col min="9716" max="9716" width="9.19921875" style="269" customWidth="1"/>
    <col min="9717" max="9717" width="9" style="269" customWidth="1"/>
    <col min="9718" max="9719" width="9.3984375" style="269" customWidth="1"/>
    <col min="9720" max="9720" width="8.796875" style="269" customWidth="1"/>
    <col min="9721" max="9721" width="8.3984375" style="269" customWidth="1"/>
    <col min="9722" max="9722" width="1.19921875" style="269" customWidth="1"/>
    <col min="9723" max="9723" width="10.3984375" style="269" customWidth="1"/>
    <col min="9724" max="9724" width="1.3984375" style="269" customWidth="1"/>
    <col min="9725" max="9725" width="8.3984375" style="269" customWidth="1"/>
    <col min="9726" max="9968" width="9.796875" style="269"/>
    <col min="9969" max="9969" width="7.3984375" style="269" customWidth="1"/>
    <col min="9970" max="9970" width="9.3984375" style="269" customWidth="1"/>
    <col min="9971" max="9971" width="8.3984375" style="269" customWidth="1"/>
    <col min="9972" max="9972" width="9.19921875" style="269" customWidth="1"/>
    <col min="9973" max="9973" width="9" style="269" customWidth="1"/>
    <col min="9974" max="9975" width="9.3984375" style="269" customWidth="1"/>
    <col min="9976" max="9976" width="8.796875" style="269" customWidth="1"/>
    <col min="9977" max="9977" width="8.3984375" style="269" customWidth="1"/>
    <col min="9978" max="9978" width="1.19921875" style="269" customWidth="1"/>
    <col min="9979" max="9979" width="10.3984375" style="269" customWidth="1"/>
    <col min="9980" max="9980" width="1.3984375" style="269" customWidth="1"/>
    <col min="9981" max="9981" width="8.3984375" style="269" customWidth="1"/>
    <col min="9982" max="10224" width="9.796875" style="269"/>
    <col min="10225" max="10225" width="7.3984375" style="269" customWidth="1"/>
    <col min="10226" max="10226" width="9.3984375" style="269" customWidth="1"/>
    <col min="10227" max="10227" width="8.3984375" style="269" customWidth="1"/>
    <col min="10228" max="10228" width="9.19921875" style="269" customWidth="1"/>
    <col min="10229" max="10229" width="9" style="269" customWidth="1"/>
    <col min="10230" max="10231" width="9.3984375" style="269" customWidth="1"/>
    <col min="10232" max="10232" width="8.796875" style="269" customWidth="1"/>
    <col min="10233" max="10233" width="8.3984375" style="269" customWidth="1"/>
    <col min="10234" max="10234" width="1.19921875" style="269" customWidth="1"/>
    <col min="10235" max="10235" width="10.3984375" style="269" customWidth="1"/>
    <col min="10236" max="10236" width="1.3984375" style="269" customWidth="1"/>
    <col min="10237" max="10237" width="8.3984375" style="269" customWidth="1"/>
    <col min="10238" max="10480" width="9.796875" style="269"/>
    <col min="10481" max="10481" width="7.3984375" style="269" customWidth="1"/>
    <col min="10482" max="10482" width="9.3984375" style="269" customWidth="1"/>
    <col min="10483" max="10483" width="8.3984375" style="269" customWidth="1"/>
    <col min="10484" max="10484" width="9.19921875" style="269" customWidth="1"/>
    <col min="10485" max="10485" width="9" style="269" customWidth="1"/>
    <col min="10486" max="10487" width="9.3984375" style="269" customWidth="1"/>
    <col min="10488" max="10488" width="8.796875" style="269" customWidth="1"/>
    <col min="10489" max="10489" width="8.3984375" style="269" customWidth="1"/>
    <col min="10490" max="10490" width="1.19921875" style="269" customWidth="1"/>
    <col min="10491" max="10491" width="10.3984375" style="269" customWidth="1"/>
    <col min="10492" max="10492" width="1.3984375" style="269" customWidth="1"/>
    <col min="10493" max="10493" width="8.3984375" style="269" customWidth="1"/>
    <col min="10494" max="10736" width="9.796875" style="269"/>
    <col min="10737" max="10737" width="7.3984375" style="269" customWidth="1"/>
    <col min="10738" max="10738" width="9.3984375" style="269" customWidth="1"/>
    <col min="10739" max="10739" width="8.3984375" style="269" customWidth="1"/>
    <col min="10740" max="10740" width="9.19921875" style="269" customWidth="1"/>
    <col min="10741" max="10741" width="9" style="269" customWidth="1"/>
    <col min="10742" max="10743" width="9.3984375" style="269" customWidth="1"/>
    <col min="10744" max="10744" width="8.796875" style="269" customWidth="1"/>
    <col min="10745" max="10745" width="8.3984375" style="269" customWidth="1"/>
    <col min="10746" max="10746" width="1.19921875" style="269" customWidth="1"/>
    <col min="10747" max="10747" width="10.3984375" style="269" customWidth="1"/>
    <col min="10748" max="10748" width="1.3984375" style="269" customWidth="1"/>
    <col min="10749" max="10749" width="8.3984375" style="269" customWidth="1"/>
    <col min="10750" max="10992" width="9.796875" style="269"/>
    <col min="10993" max="10993" width="7.3984375" style="269" customWidth="1"/>
    <col min="10994" max="10994" width="9.3984375" style="269" customWidth="1"/>
    <col min="10995" max="10995" width="8.3984375" style="269" customWidth="1"/>
    <col min="10996" max="10996" width="9.19921875" style="269" customWidth="1"/>
    <col min="10997" max="10997" width="9" style="269" customWidth="1"/>
    <col min="10998" max="10999" width="9.3984375" style="269" customWidth="1"/>
    <col min="11000" max="11000" width="8.796875" style="269" customWidth="1"/>
    <col min="11001" max="11001" width="8.3984375" style="269" customWidth="1"/>
    <col min="11002" max="11002" width="1.19921875" style="269" customWidth="1"/>
    <col min="11003" max="11003" width="10.3984375" style="269" customWidth="1"/>
    <col min="11004" max="11004" width="1.3984375" style="269" customWidth="1"/>
    <col min="11005" max="11005" width="8.3984375" style="269" customWidth="1"/>
    <col min="11006" max="11248" width="9.796875" style="269"/>
    <col min="11249" max="11249" width="7.3984375" style="269" customWidth="1"/>
    <col min="11250" max="11250" width="9.3984375" style="269" customWidth="1"/>
    <col min="11251" max="11251" width="8.3984375" style="269" customWidth="1"/>
    <col min="11252" max="11252" width="9.19921875" style="269" customWidth="1"/>
    <col min="11253" max="11253" width="9" style="269" customWidth="1"/>
    <col min="11254" max="11255" width="9.3984375" style="269" customWidth="1"/>
    <col min="11256" max="11256" width="8.796875" style="269" customWidth="1"/>
    <col min="11257" max="11257" width="8.3984375" style="269" customWidth="1"/>
    <col min="11258" max="11258" width="1.19921875" style="269" customWidth="1"/>
    <col min="11259" max="11259" width="10.3984375" style="269" customWidth="1"/>
    <col min="11260" max="11260" width="1.3984375" style="269" customWidth="1"/>
    <col min="11261" max="11261" width="8.3984375" style="269" customWidth="1"/>
    <col min="11262" max="11504" width="9.796875" style="269"/>
    <col min="11505" max="11505" width="7.3984375" style="269" customWidth="1"/>
    <col min="11506" max="11506" width="9.3984375" style="269" customWidth="1"/>
    <col min="11507" max="11507" width="8.3984375" style="269" customWidth="1"/>
    <col min="11508" max="11508" width="9.19921875" style="269" customWidth="1"/>
    <col min="11509" max="11509" width="9" style="269" customWidth="1"/>
    <col min="11510" max="11511" width="9.3984375" style="269" customWidth="1"/>
    <col min="11512" max="11512" width="8.796875" style="269" customWidth="1"/>
    <col min="11513" max="11513" width="8.3984375" style="269" customWidth="1"/>
    <col min="11514" max="11514" width="1.19921875" style="269" customWidth="1"/>
    <col min="11515" max="11515" width="10.3984375" style="269" customWidth="1"/>
    <col min="11516" max="11516" width="1.3984375" style="269" customWidth="1"/>
    <col min="11517" max="11517" width="8.3984375" style="269" customWidth="1"/>
    <col min="11518" max="11760" width="9.796875" style="269"/>
    <col min="11761" max="11761" width="7.3984375" style="269" customWidth="1"/>
    <col min="11762" max="11762" width="9.3984375" style="269" customWidth="1"/>
    <col min="11763" max="11763" width="8.3984375" style="269" customWidth="1"/>
    <col min="11764" max="11764" width="9.19921875" style="269" customWidth="1"/>
    <col min="11765" max="11765" width="9" style="269" customWidth="1"/>
    <col min="11766" max="11767" width="9.3984375" style="269" customWidth="1"/>
    <col min="11768" max="11768" width="8.796875" style="269" customWidth="1"/>
    <col min="11769" max="11769" width="8.3984375" style="269" customWidth="1"/>
    <col min="11770" max="11770" width="1.19921875" style="269" customWidth="1"/>
    <col min="11771" max="11771" width="10.3984375" style="269" customWidth="1"/>
    <col min="11772" max="11772" width="1.3984375" style="269" customWidth="1"/>
    <col min="11773" max="11773" width="8.3984375" style="269" customWidth="1"/>
    <col min="11774" max="12016" width="9.796875" style="269"/>
    <col min="12017" max="12017" width="7.3984375" style="269" customWidth="1"/>
    <col min="12018" max="12018" width="9.3984375" style="269" customWidth="1"/>
    <col min="12019" max="12019" width="8.3984375" style="269" customWidth="1"/>
    <col min="12020" max="12020" width="9.19921875" style="269" customWidth="1"/>
    <col min="12021" max="12021" width="9" style="269" customWidth="1"/>
    <col min="12022" max="12023" width="9.3984375" style="269" customWidth="1"/>
    <col min="12024" max="12024" width="8.796875" style="269" customWidth="1"/>
    <col min="12025" max="12025" width="8.3984375" style="269" customWidth="1"/>
    <col min="12026" max="12026" width="1.19921875" style="269" customWidth="1"/>
    <col min="12027" max="12027" width="10.3984375" style="269" customWidth="1"/>
    <col min="12028" max="12028" width="1.3984375" style="269" customWidth="1"/>
    <col min="12029" max="12029" width="8.3984375" style="269" customWidth="1"/>
    <col min="12030" max="12272" width="9.796875" style="269"/>
    <col min="12273" max="12273" width="7.3984375" style="269" customWidth="1"/>
    <col min="12274" max="12274" width="9.3984375" style="269" customWidth="1"/>
    <col min="12275" max="12275" width="8.3984375" style="269" customWidth="1"/>
    <col min="12276" max="12276" width="9.19921875" style="269" customWidth="1"/>
    <col min="12277" max="12277" width="9" style="269" customWidth="1"/>
    <col min="12278" max="12279" width="9.3984375" style="269" customWidth="1"/>
    <col min="12280" max="12280" width="8.796875" style="269" customWidth="1"/>
    <col min="12281" max="12281" width="8.3984375" style="269" customWidth="1"/>
    <col min="12282" max="12282" width="1.19921875" style="269" customWidth="1"/>
    <col min="12283" max="12283" width="10.3984375" style="269" customWidth="1"/>
    <col min="12284" max="12284" width="1.3984375" style="269" customWidth="1"/>
    <col min="12285" max="12285" width="8.3984375" style="269" customWidth="1"/>
    <col min="12286" max="12528" width="9.796875" style="269"/>
    <col min="12529" max="12529" width="7.3984375" style="269" customWidth="1"/>
    <col min="12530" max="12530" width="9.3984375" style="269" customWidth="1"/>
    <col min="12531" max="12531" width="8.3984375" style="269" customWidth="1"/>
    <col min="12532" max="12532" width="9.19921875" style="269" customWidth="1"/>
    <col min="12533" max="12533" width="9" style="269" customWidth="1"/>
    <col min="12534" max="12535" width="9.3984375" style="269" customWidth="1"/>
    <col min="12536" max="12536" width="8.796875" style="269" customWidth="1"/>
    <col min="12537" max="12537" width="8.3984375" style="269" customWidth="1"/>
    <col min="12538" max="12538" width="1.19921875" style="269" customWidth="1"/>
    <col min="12539" max="12539" width="10.3984375" style="269" customWidth="1"/>
    <col min="12540" max="12540" width="1.3984375" style="269" customWidth="1"/>
    <col min="12541" max="12541" width="8.3984375" style="269" customWidth="1"/>
    <col min="12542" max="12784" width="9.796875" style="269"/>
    <col min="12785" max="12785" width="7.3984375" style="269" customWidth="1"/>
    <col min="12786" max="12786" width="9.3984375" style="269" customWidth="1"/>
    <col min="12787" max="12787" width="8.3984375" style="269" customWidth="1"/>
    <col min="12788" max="12788" width="9.19921875" style="269" customWidth="1"/>
    <col min="12789" max="12789" width="9" style="269" customWidth="1"/>
    <col min="12790" max="12791" width="9.3984375" style="269" customWidth="1"/>
    <col min="12792" max="12792" width="8.796875" style="269" customWidth="1"/>
    <col min="12793" max="12793" width="8.3984375" style="269" customWidth="1"/>
    <col min="12794" max="12794" width="1.19921875" style="269" customWidth="1"/>
    <col min="12795" max="12795" width="10.3984375" style="269" customWidth="1"/>
    <col min="12796" max="12796" width="1.3984375" style="269" customWidth="1"/>
    <col min="12797" max="12797" width="8.3984375" style="269" customWidth="1"/>
    <col min="12798" max="13040" width="9.796875" style="269"/>
    <col min="13041" max="13041" width="7.3984375" style="269" customWidth="1"/>
    <col min="13042" max="13042" width="9.3984375" style="269" customWidth="1"/>
    <col min="13043" max="13043" width="8.3984375" style="269" customWidth="1"/>
    <col min="13044" max="13044" width="9.19921875" style="269" customWidth="1"/>
    <col min="13045" max="13045" width="9" style="269" customWidth="1"/>
    <col min="13046" max="13047" width="9.3984375" style="269" customWidth="1"/>
    <col min="13048" max="13048" width="8.796875" style="269" customWidth="1"/>
    <col min="13049" max="13049" width="8.3984375" style="269" customWidth="1"/>
    <col min="13050" max="13050" width="1.19921875" style="269" customWidth="1"/>
    <col min="13051" max="13051" width="10.3984375" style="269" customWidth="1"/>
    <col min="13052" max="13052" width="1.3984375" style="269" customWidth="1"/>
    <col min="13053" max="13053" width="8.3984375" style="269" customWidth="1"/>
    <col min="13054" max="13296" width="9.796875" style="269"/>
    <col min="13297" max="13297" width="7.3984375" style="269" customWidth="1"/>
    <col min="13298" max="13298" width="9.3984375" style="269" customWidth="1"/>
    <col min="13299" max="13299" width="8.3984375" style="269" customWidth="1"/>
    <col min="13300" max="13300" width="9.19921875" style="269" customWidth="1"/>
    <col min="13301" max="13301" width="9" style="269" customWidth="1"/>
    <col min="13302" max="13303" width="9.3984375" style="269" customWidth="1"/>
    <col min="13304" max="13304" width="8.796875" style="269" customWidth="1"/>
    <col min="13305" max="13305" width="8.3984375" style="269" customWidth="1"/>
    <col min="13306" max="13306" width="1.19921875" style="269" customWidth="1"/>
    <col min="13307" max="13307" width="10.3984375" style="269" customWidth="1"/>
    <col min="13308" max="13308" width="1.3984375" style="269" customWidth="1"/>
    <col min="13309" max="13309" width="8.3984375" style="269" customWidth="1"/>
    <col min="13310" max="13552" width="9.796875" style="269"/>
    <col min="13553" max="13553" width="7.3984375" style="269" customWidth="1"/>
    <col min="13554" max="13554" width="9.3984375" style="269" customWidth="1"/>
    <col min="13555" max="13555" width="8.3984375" style="269" customWidth="1"/>
    <col min="13556" max="13556" width="9.19921875" style="269" customWidth="1"/>
    <col min="13557" max="13557" width="9" style="269" customWidth="1"/>
    <col min="13558" max="13559" width="9.3984375" style="269" customWidth="1"/>
    <col min="13560" max="13560" width="8.796875" style="269" customWidth="1"/>
    <col min="13561" max="13561" width="8.3984375" style="269" customWidth="1"/>
    <col min="13562" max="13562" width="1.19921875" style="269" customWidth="1"/>
    <col min="13563" max="13563" width="10.3984375" style="269" customWidth="1"/>
    <col min="13564" max="13564" width="1.3984375" style="269" customWidth="1"/>
    <col min="13565" max="13565" width="8.3984375" style="269" customWidth="1"/>
    <col min="13566" max="13808" width="9.796875" style="269"/>
    <col min="13809" max="13809" width="7.3984375" style="269" customWidth="1"/>
    <col min="13810" max="13810" width="9.3984375" style="269" customWidth="1"/>
    <col min="13811" max="13811" width="8.3984375" style="269" customWidth="1"/>
    <col min="13812" max="13812" width="9.19921875" style="269" customWidth="1"/>
    <col min="13813" max="13813" width="9" style="269" customWidth="1"/>
    <col min="13814" max="13815" width="9.3984375" style="269" customWidth="1"/>
    <col min="13816" max="13816" width="8.796875" style="269" customWidth="1"/>
    <col min="13817" max="13817" width="8.3984375" style="269" customWidth="1"/>
    <col min="13818" max="13818" width="1.19921875" style="269" customWidth="1"/>
    <col min="13819" max="13819" width="10.3984375" style="269" customWidth="1"/>
    <col min="13820" max="13820" width="1.3984375" style="269" customWidth="1"/>
    <col min="13821" max="13821" width="8.3984375" style="269" customWidth="1"/>
    <col min="13822" max="14064" width="9.796875" style="269"/>
    <col min="14065" max="14065" width="7.3984375" style="269" customWidth="1"/>
    <col min="14066" max="14066" width="9.3984375" style="269" customWidth="1"/>
    <col min="14067" max="14067" width="8.3984375" style="269" customWidth="1"/>
    <col min="14068" max="14068" width="9.19921875" style="269" customWidth="1"/>
    <col min="14069" max="14069" width="9" style="269" customWidth="1"/>
    <col min="14070" max="14071" width="9.3984375" style="269" customWidth="1"/>
    <col min="14072" max="14072" width="8.796875" style="269" customWidth="1"/>
    <col min="14073" max="14073" width="8.3984375" style="269" customWidth="1"/>
    <col min="14074" max="14074" width="1.19921875" style="269" customWidth="1"/>
    <col min="14075" max="14075" width="10.3984375" style="269" customWidth="1"/>
    <col min="14076" max="14076" width="1.3984375" style="269" customWidth="1"/>
    <col min="14077" max="14077" width="8.3984375" style="269" customWidth="1"/>
    <col min="14078" max="14320" width="9.796875" style="269"/>
    <col min="14321" max="14321" width="7.3984375" style="269" customWidth="1"/>
    <col min="14322" max="14322" width="9.3984375" style="269" customWidth="1"/>
    <col min="14323" max="14323" width="8.3984375" style="269" customWidth="1"/>
    <col min="14324" max="14324" width="9.19921875" style="269" customWidth="1"/>
    <col min="14325" max="14325" width="9" style="269" customWidth="1"/>
    <col min="14326" max="14327" width="9.3984375" style="269" customWidth="1"/>
    <col min="14328" max="14328" width="8.796875" style="269" customWidth="1"/>
    <col min="14329" max="14329" width="8.3984375" style="269" customWidth="1"/>
    <col min="14330" max="14330" width="1.19921875" style="269" customWidth="1"/>
    <col min="14331" max="14331" width="10.3984375" style="269" customWidth="1"/>
    <col min="14332" max="14332" width="1.3984375" style="269" customWidth="1"/>
    <col min="14333" max="14333" width="8.3984375" style="269" customWidth="1"/>
    <col min="14334" max="14576" width="9.796875" style="269"/>
    <col min="14577" max="14577" width="7.3984375" style="269" customWidth="1"/>
    <col min="14578" max="14578" width="9.3984375" style="269" customWidth="1"/>
    <col min="14579" max="14579" width="8.3984375" style="269" customWidth="1"/>
    <col min="14580" max="14580" width="9.19921875" style="269" customWidth="1"/>
    <col min="14581" max="14581" width="9" style="269" customWidth="1"/>
    <col min="14582" max="14583" width="9.3984375" style="269" customWidth="1"/>
    <col min="14584" max="14584" width="8.796875" style="269" customWidth="1"/>
    <col min="14585" max="14585" width="8.3984375" style="269" customWidth="1"/>
    <col min="14586" max="14586" width="1.19921875" style="269" customWidth="1"/>
    <col min="14587" max="14587" width="10.3984375" style="269" customWidth="1"/>
    <col min="14588" max="14588" width="1.3984375" style="269" customWidth="1"/>
    <col min="14589" max="14589" width="8.3984375" style="269" customWidth="1"/>
    <col min="14590" max="14832" width="9.796875" style="269"/>
    <col min="14833" max="14833" width="7.3984375" style="269" customWidth="1"/>
    <col min="14834" max="14834" width="9.3984375" style="269" customWidth="1"/>
    <col min="14835" max="14835" width="8.3984375" style="269" customWidth="1"/>
    <col min="14836" max="14836" width="9.19921875" style="269" customWidth="1"/>
    <col min="14837" max="14837" width="9" style="269" customWidth="1"/>
    <col min="14838" max="14839" width="9.3984375" style="269" customWidth="1"/>
    <col min="14840" max="14840" width="8.796875" style="269" customWidth="1"/>
    <col min="14841" max="14841" width="8.3984375" style="269" customWidth="1"/>
    <col min="14842" max="14842" width="1.19921875" style="269" customWidth="1"/>
    <col min="14843" max="14843" width="10.3984375" style="269" customWidth="1"/>
    <col min="14844" max="14844" width="1.3984375" style="269" customWidth="1"/>
    <col min="14845" max="14845" width="8.3984375" style="269" customWidth="1"/>
    <col min="14846" max="15088" width="9.796875" style="269"/>
    <col min="15089" max="15089" width="7.3984375" style="269" customWidth="1"/>
    <col min="15090" max="15090" width="9.3984375" style="269" customWidth="1"/>
    <col min="15091" max="15091" width="8.3984375" style="269" customWidth="1"/>
    <col min="15092" max="15092" width="9.19921875" style="269" customWidth="1"/>
    <col min="15093" max="15093" width="9" style="269" customWidth="1"/>
    <col min="15094" max="15095" width="9.3984375" style="269" customWidth="1"/>
    <col min="15096" max="15096" width="8.796875" style="269" customWidth="1"/>
    <col min="15097" max="15097" width="8.3984375" style="269" customWidth="1"/>
    <col min="15098" max="15098" width="1.19921875" style="269" customWidth="1"/>
    <col min="15099" max="15099" width="10.3984375" style="269" customWidth="1"/>
    <col min="15100" max="15100" width="1.3984375" style="269" customWidth="1"/>
    <col min="15101" max="15101" width="8.3984375" style="269" customWidth="1"/>
    <col min="15102" max="15344" width="9.796875" style="269"/>
    <col min="15345" max="15345" width="7.3984375" style="269" customWidth="1"/>
    <col min="15346" max="15346" width="9.3984375" style="269" customWidth="1"/>
    <col min="15347" max="15347" width="8.3984375" style="269" customWidth="1"/>
    <col min="15348" max="15348" width="9.19921875" style="269" customWidth="1"/>
    <col min="15349" max="15349" width="9" style="269" customWidth="1"/>
    <col min="15350" max="15351" width="9.3984375" style="269" customWidth="1"/>
    <col min="15352" max="15352" width="8.796875" style="269" customWidth="1"/>
    <col min="15353" max="15353" width="8.3984375" style="269" customWidth="1"/>
    <col min="15354" max="15354" width="1.19921875" style="269" customWidth="1"/>
    <col min="15355" max="15355" width="10.3984375" style="269" customWidth="1"/>
    <col min="15356" max="15356" width="1.3984375" style="269" customWidth="1"/>
    <col min="15357" max="15357" width="8.3984375" style="269" customWidth="1"/>
    <col min="15358" max="15600" width="9.796875" style="269"/>
    <col min="15601" max="15601" width="7.3984375" style="269" customWidth="1"/>
    <col min="15602" max="15602" width="9.3984375" style="269" customWidth="1"/>
    <col min="15603" max="15603" width="8.3984375" style="269" customWidth="1"/>
    <col min="15604" max="15604" width="9.19921875" style="269" customWidth="1"/>
    <col min="15605" max="15605" width="9" style="269" customWidth="1"/>
    <col min="15606" max="15607" width="9.3984375" style="269" customWidth="1"/>
    <col min="15608" max="15608" width="8.796875" style="269" customWidth="1"/>
    <col min="15609" max="15609" width="8.3984375" style="269" customWidth="1"/>
    <col min="15610" max="15610" width="1.19921875" style="269" customWidth="1"/>
    <col min="15611" max="15611" width="10.3984375" style="269" customWidth="1"/>
    <col min="15612" max="15612" width="1.3984375" style="269" customWidth="1"/>
    <col min="15613" max="15613" width="8.3984375" style="269" customWidth="1"/>
    <col min="15614" max="15856" width="9.796875" style="269"/>
    <col min="15857" max="15857" width="7.3984375" style="269" customWidth="1"/>
    <col min="15858" max="15858" width="9.3984375" style="269" customWidth="1"/>
    <col min="15859" max="15859" width="8.3984375" style="269" customWidth="1"/>
    <col min="15860" max="15860" width="9.19921875" style="269" customWidth="1"/>
    <col min="15861" max="15861" width="9" style="269" customWidth="1"/>
    <col min="15862" max="15863" width="9.3984375" style="269" customWidth="1"/>
    <col min="15864" max="15864" width="8.796875" style="269" customWidth="1"/>
    <col min="15865" max="15865" width="8.3984375" style="269" customWidth="1"/>
    <col min="15866" max="15866" width="1.19921875" style="269" customWidth="1"/>
    <col min="15867" max="15867" width="10.3984375" style="269" customWidth="1"/>
    <col min="15868" max="15868" width="1.3984375" style="269" customWidth="1"/>
    <col min="15869" max="15869" width="8.3984375" style="269" customWidth="1"/>
    <col min="15870" max="16112" width="9.796875" style="269"/>
    <col min="16113" max="16113" width="7.3984375" style="269" customWidth="1"/>
    <col min="16114" max="16114" width="9.3984375" style="269" customWidth="1"/>
    <col min="16115" max="16115" width="8.3984375" style="269" customWidth="1"/>
    <col min="16116" max="16116" width="9.19921875" style="269" customWidth="1"/>
    <col min="16117" max="16117" width="9" style="269" customWidth="1"/>
    <col min="16118" max="16119" width="9.3984375" style="269" customWidth="1"/>
    <col min="16120" max="16120" width="8.796875" style="269" customWidth="1"/>
    <col min="16121" max="16121" width="8.3984375" style="269" customWidth="1"/>
    <col min="16122" max="16122" width="1.19921875" style="269" customWidth="1"/>
    <col min="16123" max="16123" width="10.3984375" style="269" customWidth="1"/>
    <col min="16124" max="16124" width="1.3984375" style="269" customWidth="1"/>
    <col min="16125" max="16125" width="8.3984375" style="269" customWidth="1"/>
    <col min="16126" max="16384" width="9.796875" style="269"/>
  </cols>
  <sheetData>
    <row r="1" spans="1:19" ht="13.25" customHeight="1">
      <c r="G1" s="270"/>
    </row>
    <row r="2" spans="1:19" ht="13.25" customHeight="1">
      <c r="A2" s="285" t="s">
        <v>605</v>
      </c>
      <c r="B2" s="285"/>
      <c r="C2" s="285"/>
      <c r="D2" s="285"/>
      <c r="E2" s="285"/>
      <c r="F2" s="285"/>
      <c r="G2" s="285"/>
      <c r="H2" s="285"/>
      <c r="I2" s="285"/>
      <c r="J2" s="285"/>
      <c r="K2" s="271"/>
      <c r="L2" s="271"/>
      <c r="M2" s="271"/>
    </row>
    <row r="3" spans="1:19" ht="13.25" customHeight="1">
      <c r="A3" s="288" t="s">
        <v>295</v>
      </c>
      <c r="B3" s="289"/>
      <c r="C3" s="289"/>
      <c r="D3" s="289"/>
      <c r="E3" s="289"/>
      <c r="F3" s="289"/>
      <c r="G3" s="289"/>
      <c r="H3" s="289"/>
      <c r="I3" s="289"/>
      <c r="J3" s="289"/>
    </row>
    <row r="4" spans="1:19" ht="4.25" customHeight="1" thickBot="1">
      <c r="A4" s="272">
        <v>6</v>
      </c>
      <c r="B4" s="272"/>
      <c r="C4" s="272"/>
      <c r="D4" s="272"/>
      <c r="E4" s="272"/>
      <c r="F4" s="272"/>
      <c r="G4" s="272"/>
      <c r="H4" s="272"/>
      <c r="I4" s="272"/>
      <c r="J4" s="272"/>
    </row>
    <row r="5" spans="1:19" ht="16" customHeight="1">
      <c r="A5" s="1033" t="s">
        <v>108</v>
      </c>
      <c r="B5" s="750" t="s">
        <v>171</v>
      </c>
      <c r="C5" s="1035" t="s">
        <v>111</v>
      </c>
      <c r="D5" s="1035"/>
      <c r="E5" s="1035"/>
      <c r="F5" s="1035"/>
      <c r="G5" s="1035"/>
      <c r="H5" s="1035"/>
      <c r="I5" s="1036" t="s">
        <v>250</v>
      </c>
      <c r="J5" s="1033" t="s">
        <v>14</v>
      </c>
      <c r="K5" s="268"/>
      <c r="L5" s="268"/>
      <c r="M5" s="268"/>
    </row>
    <row r="6" spans="1:19" ht="16" customHeight="1">
      <c r="A6" s="1034"/>
      <c r="B6" s="752" t="s">
        <v>172</v>
      </c>
      <c r="C6" s="751" t="s">
        <v>251</v>
      </c>
      <c r="D6" s="751" t="s">
        <v>252</v>
      </c>
      <c r="E6" s="751" t="s">
        <v>253</v>
      </c>
      <c r="F6" s="751" t="s">
        <v>254</v>
      </c>
      <c r="G6" s="751" t="s">
        <v>255</v>
      </c>
      <c r="H6" s="751" t="s">
        <v>8</v>
      </c>
      <c r="I6" s="1037"/>
      <c r="J6" s="1034"/>
      <c r="K6" s="268"/>
      <c r="L6" s="270"/>
      <c r="M6" s="270"/>
      <c r="N6" s="270"/>
      <c r="O6" s="270"/>
      <c r="P6" s="270"/>
      <c r="Q6" s="270"/>
      <c r="R6" s="270"/>
    </row>
    <row r="7" spans="1:19" ht="4.25" customHeight="1">
      <c r="B7" s="686"/>
    </row>
    <row r="8" spans="1:19" ht="18" customHeight="1">
      <c r="A8" s="306">
        <v>2007</v>
      </c>
      <c r="B8" s="877">
        <v>1537722.94</v>
      </c>
      <c r="C8" s="307">
        <v>778876.83</v>
      </c>
      <c r="D8" s="307">
        <v>704846.93</v>
      </c>
      <c r="E8" s="307">
        <v>33835.230000000003</v>
      </c>
      <c r="F8" s="307">
        <v>115344.47</v>
      </c>
      <c r="G8" s="307">
        <v>166180.85</v>
      </c>
      <c r="H8" s="307">
        <v>6685.56</v>
      </c>
      <c r="I8" s="307">
        <v>436800</v>
      </c>
      <c r="J8" s="307">
        <v>257621.12</v>
      </c>
      <c r="K8" s="308"/>
      <c r="L8" s="308"/>
      <c r="M8" s="308"/>
      <c r="N8" s="273"/>
      <c r="O8" s="307"/>
      <c r="P8" s="307"/>
      <c r="Q8" s="307"/>
      <c r="R8" s="307"/>
      <c r="S8" s="307"/>
    </row>
    <row r="9" spans="1:19" ht="18" customHeight="1">
      <c r="A9" s="306">
        <v>2008</v>
      </c>
      <c r="B9" s="877">
        <v>1636777.75</v>
      </c>
      <c r="C9" s="307">
        <v>886069.25</v>
      </c>
      <c r="D9" s="307">
        <v>815890.2</v>
      </c>
      <c r="E9" s="307">
        <v>33378.42</v>
      </c>
      <c r="F9" s="307">
        <v>116099.74</v>
      </c>
      <c r="G9" s="307">
        <v>165883.14000000001</v>
      </c>
      <c r="H9" s="307">
        <v>6447.2</v>
      </c>
      <c r="I9" s="307">
        <v>428900</v>
      </c>
      <c r="J9" s="307">
        <v>266541</v>
      </c>
      <c r="K9" s="308"/>
      <c r="L9" s="308"/>
      <c r="M9" s="308"/>
      <c r="N9" s="273"/>
      <c r="O9" s="307"/>
      <c r="P9" s="307"/>
      <c r="Q9" s="307"/>
      <c r="R9" s="307"/>
      <c r="S9" s="307"/>
    </row>
    <row r="10" spans="1:19" ht="18" customHeight="1">
      <c r="A10" s="306">
        <v>2009</v>
      </c>
      <c r="B10" s="877">
        <v>1772031.9600000002</v>
      </c>
      <c r="C10" s="307">
        <v>973593.18</v>
      </c>
      <c r="D10" s="307">
        <v>884317.74</v>
      </c>
      <c r="E10" s="307">
        <v>33463.440000000002</v>
      </c>
      <c r="F10" s="307">
        <v>115963.42</v>
      </c>
      <c r="G10" s="307">
        <v>165147.81</v>
      </c>
      <c r="H10" s="307">
        <v>6164.11</v>
      </c>
      <c r="I10" s="307">
        <v>477700</v>
      </c>
      <c r="J10" s="307">
        <v>268707</v>
      </c>
      <c r="K10" s="308"/>
      <c r="L10" s="308"/>
      <c r="M10" s="308"/>
      <c r="N10" s="273"/>
      <c r="O10" s="307"/>
      <c r="P10" s="307"/>
      <c r="Q10" s="307"/>
      <c r="R10" s="307"/>
      <c r="S10" s="307"/>
    </row>
    <row r="11" spans="1:19" ht="18" customHeight="1">
      <c r="A11" s="306">
        <v>2010</v>
      </c>
      <c r="B11" s="877">
        <v>1888908.1799999997</v>
      </c>
      <c r="C11" s="307">
        <v>1031493.35</v>
      </c>
      <c r="D11" s="307">
        <v>951244.76</v>
      </c>
      <c r="E11" s="307">
        <v>33671.040000000001</v>
      </c>
      <c r="F11" s="307">
        <v>118727.18</v>
      </c>
      <c r="G11" s="307">
        <v>171955.48</v>
      </c>
      <c r="H11" s="307">
        <v>6136.97</v>
      </c>
      <c r="I11" s="307">
        <v>526924.16</v>
      </c>
      <c r="J11" s="307">
        <v>285102</v>
      </c>
      <c r="K11" s="308"/>
      <c r="L11" s="308"/>
      <c r="M11" s="308"/>
      <c r="N11" s="273"/>
      <c r="O11" s="307"/>
      <c r="P11" s="307"/>
      <c r="Q11" s="307"/>
      <c r="R11" s="307"/>
      <c r="S11" s="307"/>
    </row>
    <row r="12" spans="1:19" ht="18" customHeight="1">
      <c r="A12" s="306">
        <v>2011</v>
      </c>
      <c r="B12" s="877">
        <v>2027714.83</v>
      </c>
      <c r="C12" s="309">
        <v>1123093</v>
      </c>
      <c r="D12" s="309">
        <v>1009650.95</v>
      </c>
      <c r="E12" s="309">
        <v>35258.870000000003</v>
      </c>
      <c r="F12" s="309">
        <v>120014.18</v>
      </c>
      <c r="G12" s="309">
        <v>178692.46</v>
      </c>
      <c r="H12" s="309">
        <v>6156.32</v>
      </c>
      <c r="I12" s="309">
        <v>564500</v>
      </c>
      <c r="J12" s="309">
        <v>317654.40999999997</v>
      </c>
      <c r="K12" s="308"/>
      <c r="L12" s="308"/>
      <c r="M12" s="308"/>
      <c r="N12" s="273"/>
      <c r="O12" s="309"/>
      <c r="P12" s="309"/>
      <c r="Q12" s="309"/>
      <c r="R12" s="309"/>
      <c r="S12" s="309"/>
    </row>
    <row r="13" spans="1:19" ht="18" customHeight="1">
      <c r="A13" s="306">
        <v>2012</v>
      </c>
      <c r="B13" s="877">
        <v>2157551.86</v>
      </c>
      <c r="C13" s="309">
        <v>1226207.03</v>
      </c>
      <c r="D13" s="309">
        <v>1093406.48</v>
      </c>
      <c r="E13" s="309">
        <v>35304.480000000003</v>
      </c>
      <c r="F13" s="309">
        <v>123848.45</v>
      </c>
      <c r="G13" s="309">
        <v>183974.88</v>
      </c>
      <c r="H13" s="309">
        <v>6317.02</v>
      </c>
      <c r="I13" s="309">
        <v>581900</v>
      </c>
      <c r="J13" s="309">
        <v>314023.90999999997</v>
      </c>
      <c r="K13" s="308"/>
      <c r="L13" s="308"/>
      <c r="M13" s="308"/>
      <c r="N13" s="273"/>
      <c r="O13" s="309"/>
      <c r="P13" s="309"/>
      <c r="Q13" s="309"/>
      <c r="R13" s="309"/>
      <c r="S13" s="309"/>
    </row>
    <row r="14" spans="1:19" ht="18" customHeight="1">
      <c r="A14" s="306">
        <v>2013</v>
      </c>
      <c r="B14" s="877">
        <v>2193624.5500000003</v>
      </c>
      <c r="C14" s="309">
        <v>1268686</v>
      </c>
      <c r="D14" s="309">
        <v>1175740</v>
      </c>
      <c r="E14" s="309">
        <v>34906.120000000003</v>
      </c>
      <c r="F14" s="309">
        <v>131047.32</v>
      </c>
      <c r="G14" s="309">
        <v>190646</v>
      </c>
      <c r="H14" s="309">
        <v>6439.11</v>
      </c>
      <c r="I14" s="309">
        <v>561900</v>
      </c>
      <c r="J14" s="309">
        <v>349790.78</v>
      </c>
      <c r="K14" s="308"/>
      <c r="L14" s="308"/>
      <c r="M14" s="308"/>
      <c r="N14" s="273"/>
      <c r="O14" s="309"/>
      <c r="P14" s="309"/>
      <c r="Q14" s="309"/>
      <c r="R14" s="309"/>
      <c r="S14" s="309"/>
    </row>
    <row r="15" spans="1:19" ht="18" customHeight="1">
      <c r="A15" s="306">
        <v>2014</v>
      </c>
      <c r="B15" s="877">
        <v>2309410.08</v>
      </c>
      <c r="C15" s="309">
        <v>1333428.56</v>
      </c>
      <c r="D15" s="309">
        <v>1233132.31</v>
      </c>
      <c r="E15" s="309">
        <v>34425.46</v>
      </c>
      <c r="F15" s="309">
        <v>139617.81</v>
      </c>
      <c r="G15" s="309">
        <v>196170.95</v>
      </c>
      <c r="H15" s="309">
        <v>6167.3</v>
      </c>
      <c r="I15" s="309">
        <v>599600</v>
      </c>
      <c r="J15" s="309">
        <v>358629.94</v>
      </c>
      <c r="K15" s="308"/>
      <c r="L15" s="308"/>
      <c r="M15" s="308"/>
      <c r="N15" s="273"/>
      <c r="O15" s="309"/>
      <c r="P15" s="309"/>
      <c r="Q15" s="309"/>
      <c r="R15" s="309"/>
      <c r="S15" s="309"/>
    </row>
    <row r="16" spans="1:19" ht="18" customHeight="1">
      <c r="A16" s="306">
        <v>2015</v>
      </c>
      <c r="B16" s="877">
        <v>2454418.27</v>
      </c>
      <c r="C16" s="309">
        <v>1441252.49</v>
      </c>
      <c r="D16" s="309">
        <v>1329925.51</v>
      </c>
      <c r="E16" s="309">
        <v>34654.54</v>
      </c>
      <c r="F16" s="309">
        <v>146721.32999999999</v>
      </c>
      <c r="G16" s="309">
        <v>195675.23</v>
      </c>
      <c r="H16" s="309">
        <v>5904.68</v>
      </c>
      <c r="I16" s="309">
        <v>630210</v>
      </c>
      <c r="J16" s="309">
        <v>386254.64</v>
      </c>
      <c r="K16" s="308"/>
      <c r="L16" s="273"/>
      <c r="M16" s="273"/>
      <c r="N16" s="273"/>
      <c r="O16" s="309"/>
      <c r="P16" s="309"/>
      <c r="Q16" s="309"/>
      <c r="R16" s="309"/>
      <c r="S16" s="309"/>
    </row>
    <row r="17" spans="1:19" ht="18" customHeight="1">
      <c r="A17" s="306">
        <v>2016</v>
      </c>
      <c r="B17" s="877">
        <v>2621190.85</v>
      </c>
      <c r="C17" s="309">
        <v>1540472.32</v>
      </c>
      <c r="D17" s="309">
        <v>1405514.21</v>
      </c>
      <c r="E17" s="309">
        <v>33971.58</v>
      </c>
      <c r="F17" s="309">
        <v>158243.69</v>
      </c>
      <c r="G17" s="309">
        <v>197306.23</v>
      </c>
      <c r="H17" s="309">
        <v>5827.03</v>
      </c>
      <c r="I17" s="309">
        <v>685370</v>
      </c>
      <c r="J17" s="309">
        <v>400979.6</v>
      </c>
      <c r="K17" s="308"/>
      <c r="L17" s="273"/>
      <c r="M17" s="273"/>
      <c r="N17" s="273"/>
      <c r="O17" s="309"/>
      <c r="P17" s="309"/>
      <c r="Q17" s="309"/>
      <c r="R17" s="309"/>
      <c r="S17" s="309"/>
    </row>
    <row r="18" spans="1:19" ht="18" customHeight="1">
      <c r="A18" s="301" t="s">
        <v>178</v>
      </c>
      <c r="B18" s="877">
        <v>2688517.31</v>
      </c>
      <c r="C18" s="309">
        <v>1619815.7</v>
      </c>
      <c r="D18" s="309">
        <v>1491400.18</v>
      </c>
      <c r="E18" s="309">
        <v>33363.29</v>
      </c>
      <c r="F18" s="309">
        <v>167287.01</v>
      </c>
      <c r="G18" s="309">
        <v>192208.19</v>
      </c>
      <c r="H18" s="309">
        <v>5393.12</v>
      </c>
      <c r="I18" s="309">
        <v>670450</v>
      </c>
      <c r="J18" s="309">
        <v>415335.31</v>
      </c>
      <c r="K18" s="308"/>
      <c r="L18" s="273"/>
      <c r="M18" s="273"/>
      <c r="N18" s="273"/>
      <c r="O18" s="309"/>
      <c r="P18" s="309"/>
      <c r="Q18" s="309"/>
      <c r="R18" s="309"/>
      <c r="S18" s="309"/>
    </row>
    <row r="19" spans="1:19" ht="18" customHeight="1">
      <c r="A19" s="301" t="s">
        <v>180</v>
      </c>
      <c r="B19" s="877">
        <v>2797456.86</v>
      </c>
      <c r="C19" s="309">
        <v>1746762.2</v>
      </c>
      <c r="D19" s="309">
        <v>1617345.13</v>
      </c>
      <c r="E19" s="309">
        <v>33685.99</v>
      </c>
      <c r="F19" s="309">
        <v>173241.68</v>
      </c>
      <c r="G19" s="309">
        <v>194981.55</v>
      </c>
      <c r="H19" s="309">
        <v>5015.4399999999996</v>
      </c>
      <c r="I19" s="309">
        <v>643770</v>
      </c>
      <c r="J19" s="309">
        <v>452234.36</v>
      </c>
      <c r="K19" s="308"/>
      <c r="L19" s="273"/>
      <c r="M19" s="273"/>
      <c r="N19" s="273"/>
      <c r="O19" s="309"/>
      <c r="P19" s="309"/>
      <c r="Q19" s="309"/>
      <c r="R19" s="309"/>
      <c r="S19" s="309"/>
    </row>
    <row r="20" spans="1:19" ht="18" customHeight="1">
      <c r="A20" s="301" t="s">
        <v>296</v>
      </c>
      <c r="B20" s="877">
        <v>3019793.28</v>
      </c>
      <c r="C20" s="309">
        <v>1820389.17</v>
      </c>
      <c r="D20" s="309">
        <v>1686560.19</v>
      </c>
      <c r="E20" s="309">
        <v>33795.160000000003</v>
      </c>
      <c r="F20" s="309">
        <v>182104.94</v>
      </c>
      <c r="G20" s="309">
        <v>197264.76</v>
      </c>
      <c r="H20" s="309">
        <v>5102.25</v>
      </c>
      <c r="I20" s="309">
        <v>781137</v>
      </c>
      <c r="J20" s="309">
        <v>488234.45</v>
      </c>
      <c r="K20" s="308"/>
      <c r="L20" s="273"/>
      <c r="M20" s="273"/>
      <c r="N20" s="273"/>
      <c r="O20" s="309"/>
      <c r="P20" s="309"/>
      <c r="Q20" s="309"/>
      <c r="R20" s="309"/>
      <c r="S20" s="309"/>
    </row>
    <row r="21" spans="1:19" ht="18" customHeight="1">
      <c r="A21" s="301" t="s">
        <v>299</v>
      </c>
      <c r="B21" s="877">
        <v>2947961.3464639783</v>
      </c>
      <c r="C21" s="309">
        <v>1786770.68</v>
      </c>
      <c r="D21" s="309">
        <v>1660443.92</v>
      </c>
      <c r="E21" s="309">
        <v>32325.200000000001</v>
      </c>
      <c r="F21" s="309">
        <v>185745.1</v>
      </c>
      <c r="G21" s="309">
        <v>188822.2</v>
      </c>
      <c r="H21" s="309">
        <v>4957.3500000000004</v>
      </c>
      <c r="I21" s="309">
        <v>749340.81646397791</v>
      </c>
      <c r="J21" s="309">
        <v>497525.39</v>
      </c>
      <c r="K21" s="308"/>
      <c r="L21" s="273"/>
      <c r="M21" s="273"/>
      <c r="N21" s="273"/>
      <c r="O21" s="309"/>
      <c r="P21" s="309"/>
      <c r="Q21" s="309"/>
      <c r="R21" s="309"/>
      <c r="S21" s="309"/>
    </row>
    <row r="22" spans="1:19" ht="18" customHeight="1">
      <c r="A22" s="301">
        <v>2021</v>
      </c>
      <c r="B22" s="877">
        <v>3006543.59</v>
      </c>
      <c r="C22" s="309">
        <v>1842269.24</v>
      </c>
      <c r="D22" s="309">
        <v>1705918.9</v>
      </c>
      <c r="E22" s="309">
        <v>33179.49</v>
      </c>
      <c r="F22" s="309">
        <v>191989.67</v>
      </c>
      <c r="G22" s="309">
        <v>192816.94</v>
      </c>
      <c r="H22" s="309">
        <v>4948</v>
      </c>
      <c r="I22" s="309">
        <v>741340.25000000023</v>
      </c>
      <c r="J22" s="309">
        <v>504112.04</v>
      </c>
      <c r="K22" s="308"/>
      <c r="L22" s="273"/>
      <c r="M22" s="273"/>
      <c r="N22" s="273"/>
      <c r="O22" s="309"/>
      <c r="P22" s="309"/>
      <c r="Q22" s="309"/>
      <c r="R22" s="309"/>
      <c r="S22" s="309"/>
    </row>
    <row r="23" spans="1:19" ht="18" customHeight="1">
      <c r="A23" s="301" t="s">
        <v>396</v>
      </c>
      <c r="B23" s="877">
        <v>2982120.9522694014</v>
      </c>
      <c r="C23" s="309">
        <v>1882830.34</v>
      </c>
      <c r="D23" s="309">
        <v>1746956.37</v>
      </c>
      <c r="E23" s="309">
        <v>33550.53</v>
      </c>
      <c r="F23" s="309">
        <v>190648.30851147603</v>
      </c>
      <c r="G23" s="309">
        <v>197599.48</v>
      </c>
      <c r="H23" s="309">
        <v>4929.25</v>
      </c>
      <c r="I23" s="309">
        <v>672563.04375792516</v>
      </c>
      <c r="J23" s="309">
        <v>510961.58</v>
      </c>
      <c r="K23" s="308"/>
      <c r="L23" s="273"/>
      <c r="M23" s="273"/>
      <c r="N23" s="273"/>
      <c r="O23" s="309"/>
      <c r="P23" s="309"/>
      <c r="Q23" s="309"/>
      <c r="R23" s="309"/>
      <c r="S23" s="309"/>
    </row>
    <row r="24" spans="1:19" ht="18" customHeight="1">
      <c r="A24" s="301" t="s">
        <v>459</v>
      </c>
      <c r="B24" s="877">
        <v>3248140.3016347717</v>
      </c>
      <c r="C24" s="309">
        <v>1909853.7644416189</v>
      </c>
      <c r="D24" s="309">
        <v>1773561.2509211074</v>
      </c>
      <c r="E24" s="309">
        <v>33704.609870369277</v>
      </c>
      <c r="F24" s="309">
        <v>215433.28011889715</v>
      </c>
      <c r="G24" s="309">
        <v>204033.54360476354</v>
      </c>
      <c r="H24" s="309">
        <v>4940.9882384516059</v>
      </c>
      <c r="I24" s="309">
        <v>678174.04448667099</v>
      </c>
      <c r="J24" s="309">
        <v>510630.00285438937</v>
      </c>
      <c r="K24" s="308"/>
      <c r="L24" s="273"/>
      <c r="M24" s="273"/>
      <c r="N24" s="273"/>
      <c r="O24" s="309"/>
      <c r="P24" s="309"/>
      <c r="Q24" s="309"/>
      <c r="R24" s="309"/>
      <c r="S24" s="309"/>
    </row>
    <row r="25" spans="1:19" ht="18" customHeight="1" thickBot="1">
      <c r="A25" s="559" t="s">
        <v>462</v>
      </c>
      <c r="B25" s="878">
        <v>3125549.1481016721</v>
      </c>
      <c r="C25" s="310">
        <v>1958864.622967486</v>
      </c>
      <c r="D25" s="310">
        <v>1813165.389879161</v>
      </c>
      <c r="E25" s="310">
        <v>33639.562626535073</v>
      </c>
      <c r="F25" s="310">
        <v>226139.38217455015</v>
      </c>
      <c r="G25" s="310">
        <v>210511.35613743606</v>
      </c>
      <c r="H25" s="310">
        <v>4951.9427489497693</v>
      </c>
      <c r="I25" s="310">
        <v>685779.95700000005</v>
      </c>
      <c r="J25" s="310">
        <v>523375.81465513736</v>
      </c>
      <c r="K25" s="308"/>
      <c r="L25" s="273"/>
      <c r="M25" s="273"/>
      <c r="N25" s="273"/>
      <c r="O25" s="309"/>
      <c r="P25" s="309"/>
      <c r="Q25" s="309"/>
      <c r="R25" s="309"/>
      <c r="S25" s="309"/>
    </row>
    <row r="26" spans="1:19" ht="9" customHeight="1">
      <c r="A26" s="492" t="s">
        <v>333</v>
      </c>
      <c r="B26" s="493"/>
      <c r="C26" s="494"/>
      <c r="D26" s="495" t="s">
        <v>334</v>
      </c>
      <c r="E26" s="494"/>
      <c r="F26" s="495"/>
      <c r="G26" s="493"/>
      <c r="H26" s="495"/>
      <c r="I26" s="495"/>
      <c r="J26" s="493"/>
      <c r="N26" s="273"/>
      <c r="O26" s="309"/>
      <c r="P26" s="309"/>
      <c r="Q26" s="309"/>
      <c r="R26" s="309"/>
      <c r="S26" s="309"/>
    </row>
    <row r="27" spans="1:19" ht="9" customHeight="1">
      <c r="A27" s="449" t="s">
        <v>330</v>
      </c>
      <c r="B27" s="493"/>
      <c r="C27" s="496"/>
      <c r="D27" s="494"/>
      <c r="E27" s="494"/>
      <c r="F27" s="497"/>
      <c r="G27" s="494"/>
      <c r="H27" s="497"/>
      <c r="I27" s="270"/>
      <c r="J27" s="493"/>
    </row>
    <row r="28" spans="1:19" ht="9" customHeight="1">
      <c r="A28" s="498" t="s">
        <v>304</v>
      </c>
      <c r="B28" s="493"/>
      <c r="C28" s="494"/>
      <c r="D28" s="494"/>
      <c r="E28" s="494"/>
      <c r="F28" s="494"/>
      <c r="G28" s="494"/>
      <c r="H28" s="494"/>
      <c r="I28" s="278"/>
      <c r="J28" s="494"/>
      <c r="K28" s="273"/>
      <c r="L28" s="273"/>
      <c r="M28" s="273"/>
    </row>
    <row r="29" spans="1:19" ht="9" customHeight="1">
      <c r="A29" s="451" t="s">
        <v>303</v>
      </c>
      <c r="B29" s="493"/>
      <c r="C29" s="493"/>
      <c r="D29" s="499"/>
      <c r="E29" s="494"/>
      <c r="F29" s="494"/>
      <c r="G29" s="494"/>
      <c r="H29" s="494"/>
      <c r="I29" s="278"/>
      <c r="J29" s="494"/>
      <c r="K29" s="273"/>
      <c r="L29" s="273"/>
      <c r="M29" s="273"/>
    </row>
    <row r="30" spans="1:19" ht="79" customHeight="1">
      <c r="B30" s="274"/>
      <c r="E30" s="273"/>
      <c r="F30" s="273"/>
      <c r="G30" s="273"/>
      <c r="H30" s="273"/>
      <c r="I30" s="278"/>
      <c r="J30" s="273"/>
      <c r="K30" s="273"/>
      <c r="L30" s="273"/>
      <c r="M30" s="273"/>
    </row>
    <row r="31" spans="1:19" ht="13.25" customHeight="1">
      <c r="A31" s="285" t="s">
        <v>463</v>
      </c>
      <c r="B31" s="285"/>
      <c r="C31" s="285"/>
      <c r="D31" s="286"/>
      <c r="E31" s="286"/>
      <c r="F31" s="286"/>
      <c r="G31" s="286"/>
      <c r="H31" s="286"/>
      <c r="I31" s="286"/>
      <c r="J31" s="286"/>
      <c r="K31" s="286"/>
      <c r="L31" s="286"/>
      <c r="M31" s="286"/>
    </row>
    <row r="32" spans="1:19" ht="13.25" customHeight="1">
      <c r="A32" s="288" t="s">
        <v>352</v>
      </c>
      <c r="B32" s="289"/>
      <c r="C32" s="289"/>
      <c r="D32" s="287"/>
      <c r="E32" s="287"/>
      <c r="F32" s="287"/>
      <c r="G32" s="287"/>
      <c r="H32" s="287"/>
      <c r="I32" s="287"/>
      <c r="J32" s="287"/>
      <c r="K32" s="287"/>
      <c r="L32" s="287"/>
      <c r="M32" s="287"/>
    </row>
    <row r="33" spans="1:18" ht="4.25" customHeight="1" thickBot="1">
      <c r="A33" s="272"/>
      <c r="B33" s="881"/>
      <c r="C33" s="272"/>
      <c r="D33" s="272"/>
      <c r="E33" s="272"/>
      <c r="F33" s="272"/>
      <c r="G33" s="272"/>
      <c r="H33" s="272"/>
      <c r="I33" s="272"/>
      <c r="J33" s="272"/>
      <c r="K33" s="272"/>
      <c r="L33" s="272"/>
    </row>
    <row r="34" spans="1:18" ht="16" customHeight="1">
      <c r="A34" s="1033" t="s">
        <v>108</v>
      </c>
      <c r="B34" s="750" t="s">
        <v>122</v>
      </c>
      <c r="C34" s="750" t="s">
        <v>171</v>
      </c>
      <c r="D34" s="1034" t="s">
        <v>111</v>
      </c>
      <c r="E34" s="1034"/>
      <c r="F34" s="1034"/>
      <c r="G34" s="1034"/>
      <c r="H34" s="1034"/>
      <c r="I34" s="1034"/>
      <c r="J34" s="1036" t="s">
        <v>250</v>
      </c>
      <c r="K34" s="1032" t="s">
        <v>408</v>
      </c>
      <c r="L34" s="1032"/>
      <c r="M34" s="750"/>
    </row>
    <row r="35" spans="1:18" ht="16" customHeight="1">
      <c r="A35" s="1034"/>
      <c r="B35" s="753" t="s">
        <v>130</v>
      </c>
      <c r="C35" s="752" t="s">
        <v>172</v>
      </c>
      <c r="D35" s="751" t="s">
        <v>251</v>
      </c>
      <c r="E35" s="751" t="s">
        <v>252</v>
      </c>
      <c r="F35" s="751" t="s">
        <v>253</v>
      </c>
      <c r="G35" s="751" t="s">
        <v>254</v>
      </c>
      <c r="H35" s="751" t="s">
        <v>255</v>
      </c>
      <c r="I35" s="751" t="s">
        <v>8</v>
      </c>
      <c r="J35" s="1037"/>
      <c r="K35" s="752" t="s">
        <v>609</v>
      </c>
      <c r="L35" s="998" t="s">
        <v>610</v>
      </c>
      <c r="M35" s="757"/>
    </row>
    <row r="36" spans="1:18" ht="4.25" customHeight="1">
      <c r="B36" s="686"/>
    </row>
    <row r="37" spans="1:18" ht="18" customHeight="1">
      <c r="A37" s="301">
        <v>2007</v>
      </c>
      <c r="B37" s="879">
        <v>28481.901000000002</v>
      </c>
      <c r="C37" s="337">
        <f t="shared" ref="C37:C51" si="0">D37+F37+G37+H37+I37</f>
        <v>38.654377968240247</v>
      </c>
      <c r="D37" s="337">
        <f>C8/B37</f>
        <v>27.346377968240247</v>
      </c>
      <c r="E37" s="337">
        <f>D8/B37</f>
        <v>24.747186994295078</v>
      </c>
      <c r="F37" s="337">
        <v>1.1879999999999999</v>
      </c>
      <c r="G37" s="337">
        <v>4.05</v>
      </c>
      <c r="H37" s="337">
        <v>5.835</v>
      </c>
      <c r="I37" s="337">
        <v>0.23499999999999999</v>
      </c>
      <c r="J37" s="337">
        <v>15.336</v>
      </c>
      <c r="K37" s="337">
        <v>9.0449999999999999</v>
      </c>
      <c r="L37" s="307">
        <v>144</v>
      </c>
      <c r="M37" s="307"/>
      <c r="N37" s="982"/>
      <c r="O37" s="298"/>
      <c r="P37" s="273"/>
      <c r="R37" s="1000"/>
    </row>
    <row r="38" spans="1:18" ht="18" customHeight="1">
      <c r="A38" s="301">
        <v>2008</v>
      </c>
      <c r="B38" s="879">
        <v>28807.034</v>
      </c>
      <c r="C38" s="337">
        <f t="shared" si="0"/>
        <v>41.929780997724372</v>
      </c>
      <c r="D38" s="337">
        <f>C9/B38</f>
        <v>30.758780997724376</v>
      </c>
      <c r="E38" s="337">
        <f t="shared" ref="E38:E54" si="1">D9/B38</f>
        <v>28.322603430814848</v>
      </c>
      <c r="F38" s="337">
        <v>1.159</v>
      </c>
      <c r="G38" s="337">
        <v>4.03</v>
      </c>
      <c r="H38" s="337">
        <v>5.758</v>
      </c>
      <c r="I38" s="337">
        <v>0.224</v>
      </c>
      <c r="J38" s="337">
        <v>14.888999999999999</v>
      </c>
      <c r="K38" s="337">
        <v>9.2530000000000001</v>
      </c>
      <c r="L38" s="307">
        <v>147</v>
      </c>
      <c r="M38" s="307"/>
      <c r="N38" s="982"/>
      <c r="O38" s="298"/>
      <c r="P38" s="273"/>
      <c r="R38" s="1000"/>
    </row>
    <row r="39" spans="1:18" ht="18" customHeight="1">
      <c r="A39" s="301">
        <v>2009</v>
      </c>
      <c r="B39" s="879">
        <v>29132.012999999999</v>
      </c>
      <c r="C39" s="337">
        <f t="shared" si="0"/>
        <v>44.431044814616833</v>
      </c>
      <c r="D39" s="337">
        <f t="shared" ref="D39:D54" si="2">C10/B39</f>
        <v>33.42004481461683</v>
      </c>
      <c r="E39" s="337">
        <f t="shared" si="1"/>
        <v>30.355531559044685</v>
      </c>
      <c r="F39" s="337">
        <v>1.149</v>
      </c>
      <c r="G39" s="337">
        <v>3.9809999999999999</v>
      </c>
      <c r="H39" s="337">
        <v>5.6689999999999996</v>
      </c>
      <c r="I39" s="337">
        <v>0.21199999999999999</v>
      </c>
      <c r="J39" s="337">
        <v>16.398</v>
      </c>
      <c r="K39" s="337">
        <v>9.2240000000000002</v>
      </c>
      <c r="L39" s="307">
        <v>146</v>
      </c>
      <c r="M39" s="307"/>
      <c r="N39" s="982"/>
      <c r="O39" s="298"/>
      <c r="P39" s="273"/>
      <c r="R39" s="1000"/>
    </row>
    <row r="40" spans="1:18" ht="18" customHeight="1">
      <c r="A40" s="301">
        <v>2010</v>
      </c>
      <c r="B40" s="879">
        <v>29461.933000000001</v>
      </c>
      <c r="C40" s="337">
        <f t="shared" si="0"/>
        <v>46.229054773629414</v>
      </c>
      <c r="D40" s="337">
        <f t="shared" si="2"/>
        <v>35.011054773629411</v>
      </c>
      <c r="E40" s="337">
        <f t="shared" si="1"/>
        <v>32.287248769454465</v>
      </c>
      <c r="F40" s="337">
        <v>1.143</v>
      </c>
      <c r="G40" s="337">
        <v>4.03</v>
      </c>
      <c r="H40" s="337">
        <v>5.8369999999999997</v>
      </c>
      <c r="I40" s="337">
        <v>0.20799999999999999</v>
      </c>
      <c r="J40" s="337">
        <v>17.885000000000002</v>
      </c>
      <c r="K40" s="337">
        <v>9.6769999999999996</v>
      </c>
      <c r="L40" s="307">
        <v>154</v>
      </c>
      <c r="M40" s="307"/>
      <c r="N40" s="982"/>
      <c r="O40" s="298"/>
      <c r="P40" s="273"/>
      <c r="R40" s="1000"/>
    </row>
    <row r="41" spans="1:18" ht="18" customHeight="1">
      <c r="A41" s="301">
        <v>2011</v>
      </c>
      <c r="B41" s="879">
        <v>29797.694</v>
      </c>
      <c r="C41" s="337">
        <f t="shared" si="0"/>
        <v>49.105601158599725</v>
      </c>
      <c r="D41" s="337">
        <f t="shared" si="2"/>
        <v>37.690601158599726</v>
      </c>
      <c r="E41" s="337">
        <f t="shared" si="1"/>
        <v>33.883526356099907</v>
      </c>
      <c r="F41" s="337">
        <v>1.1830000000000001</v>
      </c>
      <c r="G41" s="337">
        <v>4.0279999999999996</v>
      </c>
      <c r="H41" s="337">
        <v>5.9969999999999999</v>
      </c>
      <c r="I41" s="337">
        <v>0.20699999999999999</v>
      </c>
      <c r="J41" s="337">
        <v>18.943999999999999</v>
      </c>
      <c r="K41" s="337">
        <v>10.66</v>
      </c>
      <c r="L41" s="307">
        <v>169</v>
      </c>
      <c r="M41" s="307"/>
      <c r="N41" s="982"/>
      <c r="O41" s="298"/>
      <c r="P41" s="273"/>
      <c r="R41" s="1000"/>
    </row>
    <row r="42" spans="1:18" ht="18" customHeight="1">
      <c r="A42" s="301">
        <v>2012</v>
      </c>
      <c r="B42" s="879">
        <v>30135.875</v>
      </c>
      <c r="C42" s="337">
        <f t="shared" si="0"/>
        <v>52.286279139895548</v>
      </c>
      <c r="D42" s="337">
        <f t="shared" si="2"/>
        <v>40.689279139895554</v>
      </c>
      <c r="E42" s="337">
        <f t="shared" si="1"/>
        <v>36.282552937321384</v>
      </c>
      <c r="F42" s="337">
        <v>1.1719999999999999</v>
      </c>
      <c r="G42" s="337">
        <v>4.1100000000000003</v>
      </c>
      <c r="H42" s="337">
        <v>6.1050000000000004</v>
      </c>
      <c r="I42" s="337">
        <v>0.21</v>
      </c>
      <c r="J42" s="337">
        <v>19.309000000000001</v>
      </c>
      <c r="K42" s="337">
        <v>10.42</v>
      </c>
      <c r="L42" s="307">
        <v>165</v>
      </c>
      <c r="M42" s="307"/>
      <c r="N42" s="1008"/>
      <c r="O42" s="977"/>
      <c r="P42" s="273"/>
      <c r="R42" s="1000"/>
    </row>
    <row r="43" spans="1:18" ht="18" customHeight="1">
      <c r="A43" s="301">
        <v>2013</v>
      </c>
      <c r="B43" s="879">
        <v>30475.144</v>
      </c>
      <c r="C43" s="337">
        <f t="shared" si="0"/>
        <v>53.542188851609694</v>
      </c>
      <c r="D43" s="337">
        <f t="shared" si="2"/>
        <v>41.630188851609695</v>
      </c>
      <c r="E43" s="337">
        <f t="shared" si="1"/>
        <v>38.580293500828084</v>
      </c>
      <c r="F43" s="337">
        <v>1.145</v>
      </c>
      <c r="G43" s="337">
        <v>4.3</v>
      </c>
      <c r="H43" s="337">
        <v>6.2560000000000002</v>
      </c>
      <c r="I43" s="337">
        <v>0.21099999999999999</v>
      </c>
      <c r="J43" s="337">
        <v>18.437999999999999</v>
      </c>
      <c r="K43" s="337">
        <v>11.478</v>
      </c>
      <c r="L43" s="307">
        <v>182</v>
      </c>
      <c r="M43" s="307"/>
      <c r="N43" s="982"/>
      <c r="O43" s="298"/>
      <c r="P43" s="273"/>
      <c r="R43" s="1000"/>
    </row>
    <row r="44" spans="1:18" ht="18" customHeight="1">
      <c r="A44" s="301">
        <v>2014</v>
      </c>
      <c r="B44" s="879">
        <v>30814.174999999999</v>
      </c>
      <c r="C44" s="337">
        <f t="shared" si="0"/>
        <v>55.48721954911985</v>
      </c>
      <c r="D44" s="337">
        <f t="shared" si="2"/>
        <v>43.273219549119851</v>
      </c>
      <c r="E44" s="337">
        <f t="shared" si="1"/>
        <v>40.018345777552057</v>
      </c>
      <c r="F44" s="337">
        <v>1.117</v>
      </c>
      <c r="G44" s="337">
        <v>4.5309999999999997</v>
      </c>
      <c r="H44" s="337">
        <v>6.3659999999999997</v>
      </c>
      <c r="I44" s="337">
        <v>0.2</v>
      </c>
      <c r="J44" s="337">
        <v>19.459</v>
      </c>
      <c r="K44" s="337">
        <v>11.638</v>
      </c>
      <c r="L44" s="307">
        <v>185</v>
      </c>
      <c r="M44" s="307"/>
      <c r="N44" s="982"/>
      <c r="O44" s="298"/>
      <c r="P44" s="273"/>
      <c r="R44" s="1000"/>
    </row>
    <row r="45" spans="1:18" ht="18" customHeight="1">
      <c r="A45" s="301">
        <v>2015</v>
      </c>
      <c r="B45" s="879">
        <v>31151.643</v>
      </c>
      <c r="C45" s="337">
        <f t="shared" si="0"/>
        <v>58.558697446519915</v>
      </c>
      <c r="D45" s="337">
        <f t="shared" si="2"/>
        <v>46.265697446519916</v>
      </c>
      <c r="E45" s="337">
        <f t="shared" si="1"/>
        <v>42.691986101664043</v>
      </c>
      <c r="F45" s="337">
        <v>1.1120000000000001</v>
      </c>
      <c r="G45" s="337">
        <v>4.71</v>
      </c>
      <c r="H45" s="337">
        <v>6.2809999999999997</v>
      </c>
      <c r="I45" s="337">
        <v>0.19</v>
      </c>
      <c r="J45" s="337">
        <v>20.23</v>
      </c>
      <c r="K45" s="337">
        <v>12.398999999999999</v>
      </c>
      <c r="L45" s="307">
        <v>197</v>
      </c>
      <c r="M45" s="307"/>
      <c r="N45" s="982"/>
      <c r="O45" s="1007"/>
      <c r="P45" s="273"/>
      <c r="R45" s="1000"/>
    </row>
    <row r="46" spans="1:18" ht="18" customHeight="1">
      <c r="A46" s="301">
        <v>2016</v>
      </c>
      <c r="B46" s="879">
        <v>31488.625</v>
      </c>
      <c r="C46" s="337">
        <f t="shared" si="0"/>
        <v>61.47654928962443</v>
      </c>
      <c r="D46" s="337">
        <f t="shared" si="2"/>
        <v>48.92154928962443</v>
      </c>
      <c r="E46" s="337">
        <f t="shared" si="1"/>
        <v>44.635617147461979</v>
      </c>
      <c r="F46" s="337">
        <v>1.079</v>
      </c>
      <c r="G46" s="337">
        <v>5.0250000000000004</v>
      </c>
      <c r="H46" s="337">
        <v>6.266</v>
      </c>
      <c r="I46" s="337">
        <v>0.185</v>
      </c>
      <c r="J46" s="337">
        <v>21.765999999999998</v>
      </c>
      <c r="K46" s="337">
        <v>12.734</v>
      </c>
      <c r="L46" s="307">
        <v>202</v>
      </c>
      <c r="M46" s="307"/>
      <c r="N46" s="982"/>
      <c r="O46" s="1007"/>
      <c r="P46" s="273"/>
      <c r="R46" s="1000"/>
    </row>
    <row r="47" spans="1:18" ht="18" customHeight="1">
      <c r="A47" s="301" t="s">
        <v>178</v>
      </c>
      <c r="B47" s="879">
        <v>31826.018</v>
      </c>
      <c r="C47" s="337">
        <f t="shared" si="0"/>
        <v>63.407958771845095</v>
      </c>
      <c r="D47" s="337">
        <f t="shared" si="2"/>
        <v>50.895958771845095</v>
      </c>
      <c r="E47" s="337">
        <f t="shared" si="1"/>
        <v>46.861036149731326</v>
      </c>
      <c r="F47" s="337">
        <v>1.048</v>
      </c>
      <c r="G47" s="337">
        <v>5.2560000000000002</v>
      </c>
      <c r="H47" s="337">
        <v>6.0389999999999997</v>
      </c>
      <c r="I47" s="337">
        <v>0.16900000000000001</v>
      </c>
      <c r="J47" s="337">
        <v>21.065999999999999</v>
      </c>
      <c r="K47" s="337">
        <v>13.05</v>
      </c>
      <c r="L47" s="307">
        <v>207</v>
      </c>
      <c r="M47" s="307"/>
      <c r="N47" s="982"/>
      <c r="O47" s="1007"/>
      <c r="P47" s="273"/>
      <c r="R47" s="1000"/>
    </row>
    <row r="48" spans="1:18" ht="18" customHeight="1">
      <c r="A48" s="301" t="s">
        <v>180</v>
      </c>
      <c r="B48" s="879">
        <v>32162.184000000001</v>
      </c>
      <c r="C48" s="337">
        <f t="shared" si="0"/>
        <v>66.963056736694256</v>
      </c>
      <c r="D48" s="337">
        <f t="shared" si="2"/>
        <v>54.311056736694248</v>
      </c>
      <c r="E48" s="337">
        <f t="shared" si="1"/>
        <v>50.28716737644433</v>
      </c>
      <c r="F48" s="337">
        <v>1.0469999999999999</v>
      </c>
      <c r="G48" s="337">
        <v>5.3869999999999996</v>
      </c>
      <c r="H48" s="337">
        <v>6.0620000000000003</v>
      </c>
      <c r="I48" s="337">
        <v>0.156</v>
      </c>
      <c r="J48" s="337">
        <v>20.015999999999998</v>
      </c>
      <c r="K48" s="337">
        <v>14.061</v>
      </c>
      <c r="L48" s="307">
        <v>223</v>
      </c>
      <c r="M48" s="307"/>
      <c r="N48" s="982"/>
      <c r="O48" s="1007"/>
      <c r="P48" s="273"/>
      <c r="R48" s="1000"/>
    </row>
    <row r="49" spans="1:18" ht="18" customHeight="1">
      <c r="A49" s="301" t="s">
        <v>296</v>
      </c>
      <c r="B49" s="879">
        <v>32495.51</v>
      </c>
      <c r="C49" s="337">
        <f t="shared" si="0"/>
        <v>68.891713800460423</v>
      </c>
      <c r="D49" s="337">
        <f t="shared" si="2"/>
        <v>56.01971380046043</v>
      </c>
      <c r="E49" s="337">
        <f t="shared" si="1"/>
        <v>51.901330060676074</v>
      </c>
      <c r="F49" s="337">
        <v>1.04</v>
      </c>
      <c r="G49" s="337">
        <v>5.6040000000000001</v>
      </c>
      <c r="H49" s="337">
        <v>6.0709999999999997</v>
      </c>
      <c r="I49" s="337">
        <v>0.157</v>
      </c>
      <c r="J49" s="337">
        <f>I20/B49</f>
        <v>24.038305599758246</v>
      </c>
      <c r="K49" s="337">
        <v>15.025</v>
      </c>
      <c r="L49" s="307">
        <v>238</v>
      </c>
      <c r="M49" s="307"/>
      <c r="N49" s="982"/>
      <c r="O49" s="1007"/>
      <c r="P49" s="273"/>
      <c r="R49" s="1000"/>
    </row>
    <row r="50" spans="1:18" ht="18" customHeight="1">
      <c r="A50" s="301">
        <v>2020</v>
      </c>
      <c r="B50" s="879">
        <v>32824.358</v>
      </c>
      <c r="C50" s="337">
        <f t="shared" si="0"/>
        <v>66.982049801613783</v>
      </c>
      <c r="D50" s="337">
        <f t="shared" si="2"/>
        <v>54.43429175370315</v>
      </c>
      <c r="E50" s="337">
        <f t="shared" si="1"/>
        <v>50.585724174711963</v>
      </c>
      <c r="F50" s="337">
        <v>0.98499999999999999</v>
      </c>
      <c r="G50" s="965">
        <v>5.6587580479106405</v>
      </c>
      <c r="H50" s="337">
        <v>5.7530000000000001</v>
      </c>
      <c r="I50" s="337">
        <v>0.151</v>
      </c>
      <c r="J50" s="337">
        <f t="shared" ref="J50:J54" si="3">I21/B50</f>
        <v>22.828803428965095</v>
      </c>
      <c r="K50" s="337">
        <v>15.157</v>
      </c>
      <c r="L50" s="307">
        <v>241</v>
      </c>
      <c r="M50" s="307"/>
      <c r="N50" s="982"/>
      <c r="O50" s="1007"/>
      <c r="P50" s="273"/>
      <c r="R50" s="1000"/>
    </row>
    <row r="51" spans="1:18" ht="18" customHeight="1">
      <c r="A51" s="301">
        <v>2021</v>
      </c>
      <c r="B51" s="879">
        <v>33149.016000000003</v>
      </c>
      <c r="C51" s="337">
        <f t="shared" si="0"/>
        <v>68.334363260978847</v>
      </c>
      <c r="D51" s="337">
        <f t="shared" si="2"/>
        <v>55.575382388424437</v>
      </c>
      <c r="E51" s="337">
        <v>51.46212786527358</v>
      </c>
      <c r="F51" s="337">
        <v>1.0009999999999999</v>
      </c>
      <c r="G51" s="965">
        <v>5.7917155067287664</v>
      </c>
      <c r="H51" s="337">
        <v>5.8170000000000002</v>
      </c>
      <c r="I51" s="337">
        <v>0.14926536582564018</v>
      </c>
      <c r="J51" s="337">
        <f t="shared" si="3"/>
        <v>22.363868960695552</v>
      </c>
      <c r="K51" s="337">
        <v>15.207000000000001</v>
      </c>
      <c r="L51" s="307">
        <v>241</v>
      </c>
      <c r="M51" s="307"/>
      <c r="N51" s="982"/>
      <c r="O51" s="1007"/>
      <c r="P51" s="273"/>
      <c r="R51" s="1000"/>
    </row>
    <row r="52" spans="1:18" ht="18" customHeight="1">
      <c r="A52" s="301" t="s">
        <v>396</v>
      </c>
      <c r="B52" s="879">
        <v>33470.569000000003</v>
      </c>
      <c r="C52" s="337">
        <f>D52+F52+G52+H52+I52</f>
        <v>69.002648521197102</v>
      </c>
      <c r="D52" s="337">
        <v>56.253311379319541</v>
      </c>
      <c r="E52" s="337">
        <v>52.193805548988422</v>
      </c>
      <c r="F52" s="337">
        <f>E23/B52</f>
        <v>1.0023889943430599</v>
      </c>
      <c r="G52" s="965">
        <v>5.6959984310836189</v>
      </c>
      <c r="H52" s="337">
        <v>5.9036785421843287</v>
      </c>
      <c r="I52" s="337">
        <v>0.14727117426656236</v>
      </c>
      <c r="J52" s="337">
        <v>20.094162240203477</v>
      </c>
      <c r="K52" s="337">
        <v>15.266</v>
      </c>
      <c r="L52" s="307">
        <v>242</v>
      </c>
      <c r="M52" s="307"/>
      <c r="N52" s="982"/>
      <c r="O52" s="1007"/>
      <c r="P52" s="273"/>
      <c r="R52" s="1000"/>
    </row>
    <row r="53" spans="1:18" ht="18" customHeight="1">
      <c r="A53" s="301" t="s">
        <v>459</v>
      </c>
      <c r="B53" s="879">
        <v>33725.843999999997</v>
      </c>
      <c r="C53" s="337">
        <f>D53+F53+G53+H53+I53</f>
        <v>70.212214296967659</v>
      </c>
      <c r="D53" s="337">
        <v>56.628790800361266</v>
      </c>
      <c r="E53" s="337">
        <v>52.587601689704414</v>
      </c>
      <c r="F53" s="965">
        <v>0.9993703899706492</v>
      </c>
      <c r="G53" s="965">
        <v>6.3877802470680098</v>
      </c>
      <c r="H53" s="337">
        <v>6.0497683498969979</v>
      </c>
      <c r="I53" s="337">
        <v>0.14650450967073222</v>
      </c>
      <c r="J53" s="337">
        <v>20.108438041955928</v>
      </c>
      <c r="K53" s="965">
        <v>14.916750489624516</v>
      </c>
      <c r="L53" s="307">
        <v>237</v>
      </c>
      <c r="M53" s="307"/>
      <c r="N53" s="982"/>
      <c r="O53" s="1007"/>
      <c r="P53" s="273"/>
      <c r="R53" s="1000"/>
    </row>
    <row r="54" spans="1:18" ht="18" customHeight="1" thickBot="1">
      <c r="A54" s="559" t="s">
        <v>462</v>
      </c>
      <c r="B54" s="880">
        <v>34038.457000000002</v>
      </c>
      <c r="C54" s="338">
        <f>D54+F54+G54+H54+I54</f>
        <v>71.510493752844241</v>
      </c>
      <c r="D54" s="338">
        <f t="shared" si="2"/>
        <v>57.548572867668057</v>
      </c>
      <c r="E54" s="338">
        <f t="shared" si="1"/>
        <v>53.2681428502814</v>
      </c>
      <c r="F54" s="338">
        <f>E25/B54</f>
        <v>0.98828106769161339</v>
      </c>
      <c r="G54" s="338">
        <f>F25/B54</f>
        <v>6.6436437519641425</v>
      </c>
      <c r="H54" s="338">
        <f>G25/B54</f>
        <v>6.1845152421990237</v>
      </c>
      <c r="I54" s="338">
        <f>H25/B54</f>
        <v>0.14548082332139112</v>
      </c>
      <c r="J54" s="338">
        <f t="shared" si="3"/>
        <v>20.147210462565916</v>
      </c>
      <c r="K54" s="338">
        <f>J25/B54</f>
        <v>15.37601468407153</v>
      </c>
      <c r="L54" s="997">
        <v>244</v>
      </c>
      <c r="M54" s="307"/>
      <c r="N54" s="982"/>
      <c r="O54" s="1007"/>
      <c r="P54" s="273"/>
      <c r="R54" s="1000"/>
    </row>
    <row r="55" spans="1:18" ht="9" customHeight="1">
      <c r="A55" s="492" t="s">
        <v>335</v>
      </c>
      <c r="B55" s="492"/>
      <c r="C55" s="493"/>
      <c r="D55" s="495" t="s">
        <v>336</v>
      </c>
      <c r="E55" s="495"/>
      <c r="F55" s="495"/>
      <c r="G55" s="495"/>
      <c r="H55" s="291"/>
      <c r="I55" s="291"/>
      <c r="J55" s="291"/>
      <c r="K55" s="290"/>
      <c r="L55" s="290"/>
      <c r="M55" s="290"/>
    </row>
    <row r="56" spans="1:18" ht="9" customHeight="1">
      <c r="A56" s="449" t="s">
        <v>330</v>
      </c>
      <c r="B56" s="500"/>
      <c r="C56" s="501"/>
      <c r="D56" s="501"/>
      <c r="E56" s="501"/>
      <c r="F56" s="501"/>
      <c r="G56" s="501"/>
      <c r="H56" s="424"/>
      <c r="I56" s="424"/>
      <c r="J56" s="424"/>
      <c r="K56" s="424"/>
      <c r="L56" s="424"/>
      <c r="M56" s="424"/>
    </row>
    <row r="57" spans="1:18" ht="9" customHeight="1">
      <c r="A57" s="502" t="s">
        <v>304</v>
      </c>
      <c r="B57" s="503"/>
      <c r="C57" s="503"/>
      <c r="D57" s="504"/>
      <c r="E57" s="580"/>
      <c r="F57" s="577"/>
      <c r="G57" s="577"/>
      <c r="H57" s="578"/>
      <c r="I57" s="578"/>
      <c r="J57" s="578"/>
      <c r="K57" s="579"/>
      <c r="L57" s="579"/>
      <c r="M57" s="579"/>
    </row>
    <row r="58" spans="1:18" ht="9" customHeight="1">
      <c r="A58" s="451" t="s">
        <v>303</v>
      </c>
      <c r="B58" s="503"/>
      <c r="C58" s="503"/>
      <c r="D58" s="503"/>
      <c r="E58" s="503"/>
      <c r="F58" s="503"/>
      <c r="G58" s="503"/>
      <c r="H58" s="292"/>
      <c r="I58" s="292"/>
      <c r="J58" s="292"/>
      <c r="K58" s="293"/>
      <c r="L58" s="293"/>
      <c r="M58" s="293"/>
    </row>
    <row r="59" spans="1:18" ht="13.25" customHeight="1">
      <c r="A59" s="505"/>
      <c r="B59" s="503"/>
      <c r="C59" s="503"/>
      <c r="D59" s="503"/>
      <c r="E59" s="503"/>
      <c r="F59" s="503"/>
      <c r="G59" s="503"/>
      <c r="H59" s="276"/>
      <c r="I59" s="276"/>
      <c r="J59" s="276"/>
      <c r="K59" s="278"/>
      <c r="L59" s="278"/>
      <c r="M59" s="278"/>
    </row>
    <row r="60" spans="1:18" ht="13.25" customHeight="1">
      <c r="A60" s="505"/>
      <c r="B60" s="280"/>
      <c r="C60" s="506"/>
      <c r="D60" s="506"/>
      <c r="E60" s="584"/>
      <c r="F60" s="584"/>
      <c r="G60" s="584"/>
      <c r="H60" s="584"/>
      <c r="I60" s="584"/>
      <c r="J60" s="584"/>
      <c r="K60" s="585"/>
      <c r="L60" s="585"/>
      <c r="M60" s="585"/>
    </row>
    <row r="61" spans="1:18" ht="13.25" customHeight="1">
      <c r="A61" s="507"/>
      <c r="B61" s="280"/>
      <c r="C61" s="506"/>
      <c r="D61" s="506"/>
      <c r="E61" s="506"/>
      <c r="F61" s="506"/>
      <c r="G61" s="506"/>
      <c r="H61" s="280"/>
      <c r="I61" s="280"/>
      <c r="J61" s="280"/>
      <c r="K61" s="278"/>
      <c r="L61" s="278"/>
      <c r="M61" s="278"/>
    </row>
    <row r="62" spans="1:18" ht="13.25" customHeight="1">
      <c r="A62" s="275"/>
      <c r="B62" s="280"/>
      <c r="C62" s="280"/>
      <c r="D62" s="280"/>
      <c r="E62" s="280"/>
      <c r="F62" s="280"/>
      <c r="G62" s="280"/>
      <c r="H62" s="280"/>
      <c r="I62" s="280"/>
      <c r="J62" s="280"/>
      <c r="K62" s="278"/>
      <c r="L62" s="278"/>
      <c r="M62" s="278"/>
    </row>
    <row r="63" spans="1:18" ht="13.25" customHeight="1">
      <c r="A63" s="275"/>
      <c r="B63" s="280"/>
      <c r="C63" s="280"/>
      <c r="D63" s="280"/>
      <c r="E63" s="280"/>
      <c r="F63" s="280"/>
      <c r="G63" s="280"/>
      <c r="H63" s="280"/>
      <c r="I63" s="280"/>
      <c r="J63" s="280"/>
      <c r="K63" s="278"/>
      <c r="L63" s="278"/>
      <c r="M63" s="278"/>
    </row>
    <row r="64" spans="1:18" ht="13.25" customHeight="1">
      <c r="A64" s="277"/>
      <c r="B64" s="280"/>
      <c r="C64" s="280"/>
      <c r="D64" s="280"/>
      <c r="E64" s="280"/>
      <c r="F64" s="280"/>
      <c r="G64" s="280"/>
      <c r="H64" s="280"/>
      <c r="I64" s="280"/>
      <c r="J64" s="280"/>
      <c r="K64" s="278"/>
      <c r="L64" s="278"/>
      <c r="M64" s="278"/>
    </row>
    <row r="65" spans="1:10" ht="13.25" customHeight="1">
      <c r="A65" s="282"/>
      <c r="B65" s="280"/>
      <c r="C65" s="280"/>
      <c r="D65" s="280"/>
      <c r="E65" s="280"/>
      <c r="F65" s="280"/>
      <c r="G65" s="280"/>
      <c r="H65" s="280"/>
      <c r="I65" s="280"/>
      <c r="J65" s="280"/>
    </row>
    <row r="66" spans="1:10" ht="13.25" customHeight="1">
      <c r="A66" s="281"/>
      <c r="B66" s="280"/>
      <c r="C66" s="280"/>
      <c r="D66" s="280"/>
      <c r="E66" s="280"/>
      <c r="F66" s="280"/>
      <c r="G66" s="280"/>
      <c r="H66" s="280"/>
      <c r="I66" s="280"/>
      <c r="J66" s="280"/>
    </row>
    <row r="67" spans="1:10" ht="13.25" customHeight="1">
      <c r="A67" s="281"/>
      <c r="B67" s="280"/>
      <c r="C67" s="280"/>
      <c r="D67" s="280"/>
      <c r="E67" s="280"/>
      <c r="F67" s="280"/>
      <c r="G67" s="280"/>
      <c r="H67" s="280"/>
      <c r="I67" s="280"/>
      <c r="J67" s="280"/>
    </row>
  </sheetData>
  <mergeCells count="8">
    <mergeCell ref="K34:L34"/>
    <mergeCell ref="A5:A6"/>
    <mergeCell ref="C5:H5"/>
    <mergeCell ref="I5:I6"/>
    <mergeCell ref="J5:J6"/>
    <mergeCell ref="D34:I34"/>
    <mergeCell ref="A34:A35"/>
    <mergeCell ref="J34:J35"/>
  </mergeCells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syncVertical="1" syncRef="A1" transitionEvaluation="1" codeName="Hoja95">
    <tabColor theme="9" tint="0.59999389629810485"/>
  </sheetPr>
  <dimension ref="A1:BX52"/>
  <sheetViews>
    <sheetView showGridLines="0" zoomScaleNormal="100" workbookViewId="0">
      <selection activeCell="I8" sqref="I8"/>
    </sheetView>
  </sheetViews>
  <sheetFormatPr baseColWidth="10" defaultColWidth="9.796875" defaultRowHeight="15" customHeight="1"/>
  <cols>
    <col min="1" max="1" width="7.19921875" style="311" customWidth="1"/>
    <col min="2" max="9" width="11.796875" style="311" customWidth="1"/>
    <col min="10" max="12" width="10" style="311" customWidth="1"/>
    <col min="13" max="256" width="9.796875" style="311"/>
    <col min="257" max="257" width="9" style="311" customWidth="1"/>
    <col min="258" max="258" width="11" style="311" customWidth="1"/>
    <col min="259" max="259" width="10.796875" style="311" customWidth="1"/>
    <col min="260" max="260" width="9" style="311" customWidth="1"/>
    <col min="261" max="261" width="9.796875" style="311"/>
    <col min="262" max="263" width="10" style="311" customWidth="1"/>
    <col min="264" max="264" width="1.796875" style="311" customWidth="1"/>
    <col min="265" max="265" width="9" style="311" customWidth="1"/>
    <col min="266" max="266" width="0" style="311" hidden="1" customWidth="1"/>
    <col min="267" max="267" width="1.3984375" style="311" customWidth="1"/>
    <col min="268" max="512" width="9.796875" style="311"/>
    <col min="513" max="513" width="9" style="311" customWidth="1"/>
    <col min="514" max="514" width="11" style="311" customWidth="1"/>
    <col min="515" max="515" width="10.796875" style="311" customWidth="1"/>
    <col min="516" max="516" width="9" style="311" customWidth="1"/>
    <col min="517" max="517" width="9.796875" style="311"/>
    <col min="518" max="519" width="10" style="311" customWidth="1"/>
    <col min="520" max="520" width="1.796875" style="311" customWidth="1"/>
    <col min="521" max="521" width="9" style="311" customWidth="1"/>
    <col min="522" max="522" width="0" style="311" hidden="1" customWidth="1"/>
    <col min="523" max="523" width="1.3984375" style="311" customWidth="1"/>
    <col min="524" max="768" width="9.796875" style="311"/>
    <col min="769" max="769" width="9" style="311" customWidth="1"/>
    <col min="770" max="770" width="11" style="311" customWidth="1"/>
    <col min="771" max="771" width="10.796875" style="311" customWidth="1"/>
    <col min="772" max="772" width="9" style="311" customWidth="1"/>
    <col min="773" max="773" width="9.796875" style="311"/>
    <col min="774" max="775" width="10" style="311" customWidth="1"/>
    <col min="776" max="776" width="1.796875" style="311" customWidth="1"/>
    <col min="777" max="777" width="9" style="311" customWidth="1"/>
    <col min="778" max="778" width="0" style="311" hidden="1" customWidth="1"/>
    <col min="779" max="779" width="1.3984375" style="311" customWidth="1"/>
    <col min="780" max="1024" width="9.796875" style="311"/>
    <col min="1025" max="1025" width="9" style="311" customWidth="1"/>
    <col min="1026" max="1026" width="11" style="311" customWidth="1"/>
    <col min="1027" max="1027" width="10.796875" style="311" customWidth="1"/>
    <col min="1028" max="1028" width="9" style="311" customWidth="1"/>
    <col min="1029" max="1029" width="9.796875" style="311"/>
    <col min="1030" max="1031" width="10" style="311" customWidth="1"/>
    <col min="1032" max="1032" width="1.796875" style="311" customWidth="1"/>
    <col min="1033" max="1033" width="9" style="311" customWidth="1"/>
    <col min="1034" max="1034" width="0" style="311" hidden="1" customWidth="1"/>
    <col min="1035" max="1035" width="1.3984375" style="311" customWidth="1"/>
    <col min="1036" max="1280" width="9.796875" style="311"/>
    <col min="1281" max="1281" width="9" style="311" customWidth="1"/>
    <col min="1282" max="1282" width="11" style="311" customWidth="1"/>
    <col min="1283" max="1283" width="10.796875" style="311" customWidth="1"/>
    <col min="1284" max="1284" width="9" style="311" customWidth="1"/>
    <col min="1285" max="1285" width="9.796875" style="311"/>
    <col min="1286" max="1287" width="10" style="311" customWidth="1"/>
    <col min="1288" max="1288" width="1.796875" style="311" customWidth="1"/>
    <col min="1289" max="1289" width="9" style="311" customWidth="1"/>
    <col min="1290" max="1290" width="0" style="311" hidden="1" customWidth="1"/>
    <col min="1291" max="1291" width="1.3984375" style="311" customWidth="1"/>
    <col min="1292" max="1536" width="9.796875" style="311"/>
    <col min="1537" max="1537" width="9" style="311" customWidth="1"/>
    <col min="1538" max="1538" width="11" style="311" customWidth="1"/>
    <col min="1539" max="1539" width="10.796875" style="311" customWidth="1"/>
    <col min="1540" max="1540" width="9" style="311" customWidth="1"/>
    <col min="1541" max="1541" width="9.796875" style="311"/>
    <col min="1542" max="1543" width="10" style="311" customWidth="1"/>
    <col min="1544" max="1544" width="1.796875" style="311" customWidth="1"/>
    <col min="1545" max="1545" width="9" style="311" customWidth="1"/>
    <col min="1546" max="1546" width="0" style="311" hidden="1" customWidth="1"/>
    <col min="1547" max="1547" width="1.3984375" style="311" customWidth="1"/>
    <col min="1548" max="1792" width="9.796875" style="311"/>
    <col min="1793" max="1793" width="9" style="311" customWidth="1"/>
    <col min="1794" max="1794" width="11" style="311" customWidth="1"/>
    <col min="1795" max="1795" width="10.796875" style="311" customWidth="1"/>
    <col min="1796" max="1796" width="9" style="311" customWidth="1"/>
    <col min="1797" max="1797" width="9.796875" style="311"/>
    <col min="1798" max="1799" width="10" style="311" customWidth="1"/>
    <col min="1800" max="1800" width="1.796875" style="311" customWidth="1"/>
    <col min="1801" max="1801" width="9" style="311" customWidth="1"/>
    <col min="1802" max="1802" width="0" style="311" hidden="1" customWidth="1"/>
    <col min="1803" max="1803" width="1.3984375" style="311" customWidth="1"/>
    <col min="1804" max="2048" width="9.796875" style="311"/>
    <col min="2049" max="2049" width="9" style="311" customWidth="1"/>
    <col min="2050" max="2050" width="11" style="311" customWidth="1"/>
    <col min="2051" max="2051" width="10.796875" style="311" customWidth="1"/>
    <col min="2052" max="2052" width="9" style="311" customWidth="1"/>
    <col min="2053" max="2053" width="9.796875" style="311"/>
    <col min="2054" max="2055" width="10" style="311" customWidth="1"/>
    <col min="2056" max="2056" width="1.796875" style="311" customWidth="1"/>
    <col min="2057" max="2057" width="9" style="311" customWidth="1"/>
    <col min="2058" max="2058" width="0" style="311" hidden="1" customWidth="1"/>
    <col min="2059" max="2059" width="1.3984375" style="311" customWidth="1"/>
    <col min="2060" max="2304" width="9.796875" style="311"/>
    <col min="2305" max="2305" width="9" style="311" customWidth="1"/>
    <col min="2306" max="2306" width="11" style="311" customWidth="1"/>
    <col min="2307" max="2307" width="10.796875" style="311" customWidth="1"/>
    <col min="2308" max="2308" width="9" style="311" customWidth="1"/>
    <col min="2309" max="2309" width="9.796875" style="311"/>
    <col min="2310" max="2311" width="10" style="311" customWidth="1"/>
    <col min="2312" max="2312" width="1.796875" style="311" customWidth="1"/>
    <col min="2313" max="2313" width="9" style="311" customWidth="1"/>
    <col min="2314" max="2314" width="0" style="311" hidden="1" customWidth="1"/>
    <col min="2315" max="2315" width="1.3984375" style="311" customWidth="1"/>
    <col min="2316" max="2560" width="9.796875" style="311"/>
    <col min="2561" max="2561" width="9" style="311" customWidth="1"/>
    <col min="2562" max="2562" width="11" style="311" customWidth="1"/>
    <col min="2563" max="2563" width="10.796875" style="311" customWidth="1"/>
    <col min="2564" max="2564" width="9" style="311" customWidth="1"/>
    <col min="2565" max="2565" width="9.796875" style="311"/>
    <col min="2566" max="2567" width="10" style="311" customWidth="1"/>
    <col min="2568" max="2568" width="1.796875" style="311" customWidth="1"/>
    <col min="2569" max="2569" width="9" style="311" customWidth="1"/>
    <col min="2570" max="2570" width="0" style="311" hidden="1" customWidth="1"/>
    <col min="2571" max="2571" width="1.3984375" style="311" customWidth="1"/>
    <col min="2572" max="2816" width="9.796875" style="311"/>
    <col min="2817" max="2817" width="9" style="311" customWidth="1"/>
    <col min="2818" max="2818" width="11" style="311" customWidth="1"/>
    <col min="2819" max="2819" width="10.796875" style="311" customWidth="1"/>
    <col min="2820" max="2820" width="9" style="311" customWidth="1"/>
    <col min="2821" max="2821" width="9.796875" style="311"/>
    <col min="2822" max="2823" width="10" style="311" customWidth="1"/>
    <col min="2824" max="2824" width="1.796875" style="311" customWidth="1"/>
    <col min="2825" max="2825" width="9" style="311" customWidth="1"/>
    <col min="2826" max="2826" width="0" style="311" hidden="1" customWidth="1"/>
    <col min="2827" max="2827" width="1.3984375" style="311" customWidth="1"/>
    <col min="2828" max="3072" width="9.796875" style="311"/>
    <col min="3073" max="3073" width="9" style="311" customWidth="1"/>
    <col min="3074" max="3074" width="11" style="311" customWidth="1"/>
    <col min="3075" max="3075" width="10.796875" style="311" customWidth="1"/>
    <col min="3076" max="3076" width="9" style="311" customWidth="1"/>
    <col min="3077" max="3077" width="9.796875" style="311"/>
    <col min="3078" max="3079" width="10" style="311" customWidth="1"/>
    <col min="3080" max="3080" width="1.796875" style="311" customWidth="1"/>
    <col min="3081" max="3081" width="9" style="311" customWidth="1"/>
    <col min="3082" max="3082" width="0" style="311" hidden="1" customWidth="1"/>
    <col min="3083" max="3083" width="1.3984375" style="311" customWidth="1"/>
    <col min="3084" max="3328" width="9.796875" style="311"/>
    <col min="3329" max="3329" width="9" style="311" customWidth="1"/>
    <col min="3330" max="3330" width="11" style="311" customWidth="1"/>
    <col min="3331" max="3331" width="10.796875" style="311" customWidth="1"/>
    <col min="3332" max="3332" width="9" style="311" customWidth="1"/>
    <col min="3333" max="3333" width="9.796875" style="311"/>
    <col min="3334" max="3335" width="10" style="311" customWidth="1"/>
    <col min="3336" max="3336" width="1.796875" style="311" customWidth="1"/>
    <col min="3337" max="3337" width="9" style="311" customWidth="1"/>
    <col min="3338" max="3338" width="0" style="311" hidden="1" customWidth="1"/>
    <col min="3339" max="3339" width="1.3984375" style="311" customWidth="1"/>
    <col min="3340" max="3584" width="9.796875" style="311"/>
    <col min="3585" max="3585" width="9" style="311" customWidth="1"/>
    <col min="3586" max="3586" width="11" style="311" customWidth="1"/>
    <col min="3587" max="3587" width="10.796875" style="311" customWidth="1"/>
    <col min="3588" max="3588" width="9" style="311" customWidth="1"/>
    <col min="3589" max="3589" width="9.796875" style="311"/>
    <col min="3590" max="3591" width="10" style="311" customWidth="1"/>
    <col min="3592" max="3592" width="1.796875" style="311" customWidth="1"/>
    <col min="3593" max="3593" width="9" style="311" customWidth="1"/>
    <col min="3594" max="3594" width="0" style="311" hidden="1" customWidth="1"/>
    <col min="3595" max="3595" width="1.3984375" style="311" customWidth="1"/>
    <col min="3596" max="3840" width="9.796875" style="311"/>
    <col min="3841" max="3841" width="9" style="311" customWidth="1"/>
    <col min="3842" max="3842" width="11" style="311" customWidth="1"/>
    <col min="3843" max="3843" width="10.796875" style="311" customWidth="1"/>
    <col min="3844" max="3844" width="9" style="311" customWidth="1"/>
    <col min="3845" max="3845" width="9.796875" style="311"/>
    <col min="3846" max="3847" width="10" style="311" customWidth="1"/>
    <col min="3848" max="3848" width="1.796875" style="311" customWidth="1"/>
    <col min="3849" max="3849" width="9" style="311" customWidth="1"/>
    <col min="3850" max="3850" width="0" style="311" hidden="1" customWidth="1"/>
    <col min="3851" max="3851" width="1.3984375" style="311" customWidth="1"/>
    <col min="3852" max="4096" width="9.796875" style="311"/>
    <col min="4097" max="4097" width="9" style="311" customWidth="1"/>
    <col min="4098" max="4098" width="11" style="311" customWidth="1"/>
    <col min="4099" max="4099" width="10.796875" style="311" customWidth="1"/>
    <col min="4100" max="4100" width="9" style="311" customWidth="1"/>
    <col min="4101" max="4101" width="9.796875" style="311"/>
    <col min="4102" max="4103" width="10" style="311" customWidth="1"/>
    <col min="4104" max="4104" width="1.796875" style="311" customWidth="1"/>
    <col min="4105" max="4105" width="9" style="311" customWidth="1"/>
    <col min="4106" max="4106" width="0" style="311" hidden="1" customWidth="1"/>
    <col min="4107" max="4107" width="1.3984375" style="311" customWidth="1"/>
    <col min="4108" max="4352" width="9.796875" style="311"/>
    <col min="4353" max="4353" width="9" style="311" customWidth="1"/>
    <col min="4354" max="4354" width="11" style="311" customWidth="1"/>
    <col min="4355" max="4355" width="10.796875" style="311" customWidth="1"/>
    <col min="4356" max="4356" width="9" style="311" customWidth="1"/>
    <col min="4357" max="4357" width="9.796875" style="311"/>
    <col min="4358" max="4359" width="10" style="311" customWidth="1"/>
    <col min="4360" max="4360" width="1.796875" style="311" customWidth="1"/>
    <col min="4361" max="4361" width="9" style="311" customWidth="1"/>
    <col min="4362" max="4362" width="0" style="311" hidden="1" customWidth="1"/>
    <col min="4363" max="4363" width="1.3984375" style="311" customWidth="1"/>
    <col min="4364" max="4608" width="9.796875" style="311"/>
    <col min="4609" max="4609" width="9" style="311" customWidth="1"/>
    <col min="4610" max="4610" width="11" style="311" customWidth="1"/>
    <col min="4611" max="4611" width="10.796875" style="311" customWidth="1"/>
    <col min="4612" max="4612" width="9" style="311" customWidth="1"/>
    <col min="4613" max="4613" width="9.796875" style="311"/>
    <col min="4614" max="4615" width="10" style="311" customWidth="1"/>
    <col min="4616" max="4616" width="1.796875" style="311" customWidth="1"/>
    <col min="4617" max="4617" width="9" style="311" customWidth="1"/>
    <col min="4618" max="4618" width="0" style="311" hidden="1" customWidth="1"/>
    <col min="4619" max="4619" width="1.3984375" style="311" customWidth="1"/>
    <col min="4620" max="4864" width="9.796875" style="311"/>
    <col min="4865" max="4865" width="9" style="311" customWidth="1"/>
    <col min="4866" max="4866" width="11" style="311" customWidth="1"/>
    <col min="4867" max="4867" width="10.796875" style="311" customWidth="1"/>
    <col min="4868" max="4868" width="9" style="311" customWidth="1"/>
    <col min="4869" max="4869" width="9.796875" style="311"/>
    <col min="4870" max="4871" width="10" style="311" customWidth="1"/>
    <col min="4872" max="4872" width="1.796875" style="311" customWidth="1"/>
    <col min="4873" max="4873" width="9" style="311" customWidth="1"/>
    <col min="4874" max="4874" width="0" style="311" hidden="1" customWidth="1"/>
    <col min="4875" max="4875" width="1.3984375" style="311" customWidth="1"/>
    <col min="4876" max="5120" width="9.796875" style="311"/>
    <col min="5121" max="5121" width="9" style="311" customWidth="1"/>
    <col min="5122" max="5122" width="11" style="311" customWidth="1"/>
    <col min="5123" max="5123" width="10.796875" style="311" customWidth="1"/>
    <col min="5124" max="5124" width="9" style="311" customWidth="1"/>
    <col min="5125" max="5125" width="9.796875" style="311"/>
    <col min="5126" max="5127" width="10" style="311" customWidth="1"/>
    <col min="5128" max="5128" width="1.796875" style="311" customWidth="1"/>
    <col min="5129" max="5129" width="9" style="311" customWidth="1"/>
    <col min="5130" max="5130" width="0" style="311" hidden="1" customWidth="1"/>
    <col min="5131" max="5131" width="1.3984375" style="311" customWidth="1"/>
    <col min="5132" max="5376" width="9.796875" style="311"/>
    <col min="5377" max="5377" width="9" style="311" customWidth="1"/>
    <col min="5378" max="5378" width="11" style="311" customWidth="1"/>
    <col min="5379" max="5379" width="10.796875" style="311" customWidth="1"/>
    <col min="5380" max="5380" width="9" style="311" customWidth="1"/>
    <col min="5381" max="5381" width="9.796875" style="311"/>
    <col min="5382" max="5383" width="10" style="311" customWidth="1"/>
    <col min="5384" max="5384" width="1.796875" style="311" customWidth="1"/>
    <col min="5385" max="5385" width="9" style="311" customWidth="1"/>
    <col min="5386" max="5386" width="0" style="311" hidden="1" customWidth="1"/>
    <col min="5387" max="5387" width="1.3984375" style="311" customWidth="1"/>
    <col min="5388" max="5632" width="9.796875" style="311"/>
    <col min="5633" max="5633" width="9" style="311" customWidth="1"/>
    <col min="5634" max="5634" width="11" style="311" customWidth="1"/>
    <col min="5635" max="5635" width="10.796875" style="311" customWidth="1"/>
    <col min="5636" max="5636" width="9" style="311" customWidth="1"/>
    <col min="5637" max="5637" width="9.796875" style="311"/>
    <col min="5638" max="5639" width="10" style="311" customWidth="1"/>
    <col min="5640" max="5640" width="1.796875" style="311" customWidth="1"/>
    <col min="5641" max="5641" width="9" style="311" customWidth="1"/>
    <col min="5642" max="5642" width="0" style="311" hidden="1" customWidth="1"/>
    <col min="5643" max="5643" width="1.3984375" style="311" customWidth="1"/>
    <col min="5644" max="5888" width="9.796875" style="311"/>
    <col min="5889" max="5889" width="9" style="311" customWidth="1"/>
    <col min="5890" max="5890" width="11" style="311" customWidth="1"/>
    <col min="5891" max="5891" width="10.796875" style="311" customWidth="1"/>
    <col min="5892" max="5892" width="9" style="311" customWidth="1"/>
    <col min="5893" max="5893" width="9.796875" style="311"/>
    <col min="5894" max="5895" width="10" style="311" customWidth="1"/>
    <col min="5896" max="5896" width="1.796875" style="311" customWidth="1"/>
    <col min="5897" max="5897" width="9" style="311" customWidth="1"/>
    <col min="5898" max="5898" width="0" style="311" hidden="1" customWidth="1"/>
    <col min="5899" max="5899" width="1.3984375" style="311" customWidth="1"/>
    <col min="5900" max="6144" width="9.796875" style="311"/>
    <col min="6145" max="6145" width="9" style="311" customWidth="1"/>
    <col min="6146" max="6146" width="11" style="311" customWidth="1"/>
    <col min="6147" max="6147" width="10.796875" style="311" customWidth="1"/>
    <col min="6148" max="6148" width="9" style="311" customWidth="1"/>
    <col min="6149" max="6149" width="9.796875" style="311"/>
    <col min="6150" max="6151" width="10" style="311" customWidth="1"/>
    <col min="6152" max="6152" width="1.796875" style="311" customWidth="1"/>
    <col min="6153" max="6153" width="9" style="311" customWidth="1"/>
    <col min="6154" max="6154" width="0" style="311" hidden="1" customWidth="1"/>
    <col min="6155" max="6155" width="1.3984375" style="311" customWidth="1"/>
    <col min="6156" max="6400" width="9.796875" style="311"/>
    <col min="6401" max="6401" width="9" style="311" customWidth="1"/>
    <col min="6402" max="6402" width="11" style="311" customWidth="1"/>
    <col min="6403" max="6403" width="10.796875" style="311" customWidth="1"/>
    <col min="6404" max="6404" width="9" style="311" customWidth="1"/>
    <col min="6405" max="6405" width="9.796875" style="311"/>
    <col min="6406" max="6407" width="10" style="311" customWidth="1"/>
    <col min="6408" max="6408" width="1.796875" style="311" customWidth="1"/>
    <col min="6409" max="6409" width="9" style="311" customWidth="1"/>
    <col min="6410" max="6410" width="0" style="311" hidden="1" customWidth="1"/>
    <col min="6411" max="6411" width="1.3984375" style="311" customWidth="1"/>
    <col min="6412" max="6656" width="9.796875" style="311"/>
    <col min="6657" max="6657" width="9" style="311" customWidth="1"/>
    <col min="6658" max="6658" width="11" style="311" customWidth="1"/>
    <col min="6659" max="6659" width="10.796875" style="311" customWidth="1"/>
    <col min="6660" max="6660" width="9" style="311" customWidth="1"/>
    <col min="6661" max="6661" width="9.796875" style="311"/>
    <col min="6662" max="6663" width="10" style="311" customWidth="1"/>
    <col min="6664" max="6664" width="1.796875" style="311" customWidth="1"/>
    <col min="6665" max="6665" width="9" style="311" customWidth="1"/>
    <col min="6666" max="6666" width="0" style="311" hidden="1" customWidth="1"/>
    <col min="6667" max="6667" width="1.3984375" style="311" customWidth="1"/>
    <col min="6668" max="6912" width="9.796875" style="311"/>
    <col min="6913" max="6913" width="9" style="311" customWidth="1"/>
    <col min="6914" max="6914" width="11" style="311" customWidth="1"/>
    <col min="6915" max="6915" width="10.796875" style="311" customWidth="1"/>
    <col min="6916" max="6916" width="9" style="311" customWidth="1"/>
    <col min="6917" max="6917" width="9.796875" style="311"/>
    <col min="6918" max="6919" width="10" style="311" customWidth="1"/>
    <col min="6920" max="6920" width="1.796875" style="311" customWidth="1"/>
    <col min="6921" max="6921" width="9" style="311" customWidth="1"/>
    <col min="6922" max="6922" width="0" style="311" hidden="1" customWidth="1"/>
    <col min="6923" max="6923" width="1.3984375" style="311" customWidth="1"/>
    <col min="6924" max="7168" width="9.796875" style="311"/>
    <col min="7169" max="7169" width="9" style="311" customWidth="1"/>
    <col min="7170" max="7170" width="11" style="311" customWidth="1"/>
    <col min="7171" max="7171" width="10.796875" style="311" customWidth="1"/>
    <col min="7172" max="7172" width="9" style="311" customWidth="1"/>
    <col min="7173" max="7173" width="9.796875" style="311"/>
    <col min="7174" max="7175" width="10" style="311" customWidth="1"/>
    <col min="7176" max="7176" width="1.796875" style="311" customWidth="1"/>
    <col min="7177" max="7177" width="9" style="311" customWidth="1"/>
    <col min="7178" max="7178" width="0" style="311" hidden="1" customWidth="1"/>
    <col min="7179" max="7179" width="1.3984375" style="311" customWidth="1"/>
    <col min="7180" max="7424" width="9.796875" style="311"/>
    <col min="7425" max="7425" width="9" style="311" customWidth="1"/>
    <col min="7426" max="7426" width="11" style="311" customWidth="1"/>
    <col min="7427" max="7427" width="10.796875" style="311" customWidth="1"/>
    <col min="7428" max="7428" width="9" style="311" customWidth="1"/>
    <col min="7429" max="7429" width="9.796875" style="311"/>
    <col min="7430" max="7431" width="10" style="311" customWidth="1"/>
    <col min="7432" max="7432" width="1.796875" style="311" customWidth="1"/>
    <col min="7433" max="7433" width="9" style="311" customWidth="1"/>
    <col min="7434" max="7434" width="0" style="311" hidden="1" customWidth="1"/>
    <col min="7435" max="7435" width="1.3984375" style="311" customWidth="1"/>
    <col min="7436" max="7680" width="9.796875" style="311"/>
    <col min="7681" max="7681" width="9" style="311" customWidth="1"/>
    <col min="7682" max="7682" width="11" style="311" customWidth="1"/>
    <col min="7683" max="7683" width="10.796875" style="311" customWidth="1"/>
    <col min="7684" max="7684" width="9" style="311" customWidth="1"/>
    <col min="7685" max="7685" width="9.796875" style="311"/>
    <col min="7686" max="7687" width="10" style="311" customWidth="1"/>
    <col min="7688" max="7688" width="1.796875" style="311" customWidth="1"/>
    <col min="7689" max="7689" width="9" style="311" customWidth="1"/>
    <col min="7690" max="7690" width="0" style="311" hidden="1" customWidth="1"/>
    <col min="7691" max="7691" width="1.3984375" style="311" customWidth="1"/>
    <col min="7692" max="7936" width="9.796875" style="311"/>
    <col min="7937" max="7937" width="9" style="311" customWidth="1"/>
    <col min="7938" max="7938" width="11" style="311" customWidth="1"/>
    <col min="7939" max="7939" width="10.796875" style="311" customWidth="1"/>
    <col min="7940" max="7940" width="9" style="311" customWidth="1"/>
    <col min="7941" max="7941" width="9.796875" style="311"/>
    <col min="7942" max="7943" width="10" style="311" customWidth="1"/>
    <col min="7944" max="7944" width="1.796875" style="311" customWidth="1"/>
    <col min="7945" max="7945" width="9" style="311" customWidth="1"/>
    <col min="7946" max="7946" width="0" style="311" hidden="1" customWidth="1"/>
    <col min="7947" max="7947" width="1.3984375" style="311" customWidth="1"/>
    <col min="7948" max="8192" width="9.796875" style="311"/>
    <col min="8193" max="8193" width="9" style="311" customWidth="1"/>
    <col min="8194" max="8194" width="11" style="311" customWidth="1"/>
    <col min="8195" max="8195" width="10.796875" style="311" customWidth="1"/>
    <col min="8196" max="8196" width="9" style="311" customWidth="1"/>
    <col min="8197" max="8197" width="9.796875" style="311"/>
    <col min="8198" max="8199" width="10" style="311" customWidth="1"/>
    <col min="8200" max="8200" width="1.796875" style="311" customWidth="1"/>
    <col min="8201" max="8201" width="9" style="311" customWidth="1"/>
    <col min="8202" max="8202" width="0" style="311" hidden="1" customWidth="1"/>
    <col min="8203" max="8203" width="1.3984375" style="311" customWidth="1"/>
    <col min="8204" max="8448" width="9.796875" style="311"/>
    <col min="8449" max="8449" width="9" style="311" customWidth="1"/>
    <col min="8450" max="8450" width="11" style="311" customWidth="1"/>
    <col min="8451" max="8451" width="10.796875" style="311" customWidth="1"/>
    <col min="8452" max="8452" width="9" style="311" customWidth="1"/>
    <col min="8453" max="8453" width="9.796875" style="311"/>
    <col min="8454" max="8455" width="10" style="311" customWidth="1"/>
    <col min="8456" max="8456" width="1.796875" style="311" customWidth="1"/>
    <col min="8457" max="8457" width="9" style="311" customWidth="1"/>
    <col min="8458" max="8458" width="0" style="311" hidden="1" customWidth="1"/>
    <col min="8459" max="8459" width="1.3984375" style="311" customWidth="1"/>
    <col min="8460" max="8704" width="9.796875" style="311"/>
    <col min="8705" max="8705" width="9" style="311" customWidth="1"/>
    <col min="8706" max="8706" width="11" style="311" customWidth="1"/>
    <col min="8707" max="8707" width="10.796875" style="311" customWidth="1"/>
    <col min="8708" max="8708" width="9" style="311" customWidth="1"/>
    <col min="8709" max="8709" width="9.796875" style="311"/>
    <col min="8710" max="8711" width="10" style="311" customWidth="1"/>
    <col min="8712" max="8712" width="1.796875" style="311" customWidth="1"/>
    <col min="8713" max="8713" width="9" style="311" customWidth="1"/>
    <col min="8714" max="8714" width="0" style="311" hidden="1" customWidth="1"/>
    <col min="8715" max="8715" width="1.3984375" style="311" customWidth="1"/>
    <col min="8716" max="8960" width="9.796875" style="311"/>
    <col min="8961" max="8961" width="9" style="311" customWidth="1"/>
    <col min="8962" max="8962" width="11" style="311" customWidth="1"/>
    <col min="8963" max="8963" width="10.796875" style="311" customWidth="1"/>
    <col min="8964" max="8964" width="9" style="311" customWidth="1"/>
    <col min="8965" max="8965" width="9.796875" style="311"/>
    <col min="8966" max="8967" width="10" style="311" customWidth="1"/>
    <col min="8968" max="8968" width="1.796875" style="311" customWidth="1"/>
    <col min="8969" max="8969" width="9" style="311" customWidth="1"/>
    <col min="8970" max="8970" width="0" style="311" hidden="1" customWidth="1"/>
    <col min="8971" max="8971" width="1.3984375" style="311" customWidth="1"/>
    <col min="8972" max="9216" width="9.796875" style="311"/>
    <col min="9217" max="9217" width="9" style="311" customWidth="1"/>
    <col min="9218" max="9218" width="11" style="311" customWidth="1"/>
    <col min="9219" max="9219" width="10.796875" style="311" customWidth="1"/>
    <col min="9220" max="9220" width="9" style="311" customWidth="1"/>
    <col min="9221" max="9221" width="9.796875" style="311"/>
    <col min="9222" max="9223" width="10" style="311" customWidth="1"/>
    <col min="9224" max="9224" width="1.796875" style="311" customWidth="1"/>
    <col min="9225" max="9225" width="9" style="311" customWidth="1"/>
    <col min="9226" max="9226" width="0" style="311" hidden="1" customWidth="1"/>
    <col min="9227" max="9227" width="1.3984375" style="311" customWidth="1"/>
    <col min="9228" max="9472" width="9.796875" style="311"/>
    <col min="9473" max="9473" width="9" style="311" customWidth="1"/>
    <col min="9474" max="9474" width="11" style="311" customWidth="1"/>
    <col min="9475" max="9475" width="10.796875" style="311" customWidth="1"/>
    <col min="9476" max="9476" width="9" style="311" customWidth="1"/>
    <col min="9477" max="9477" width="9.796875" style="311"/>
    <col min="9478" max="9479" width="10" style="311" customWidth="1"/>
    <col min="9480" max="9480" width="1.796875" style="311" customWidth="1"/>
    <col min="9481" max="9481" width="9" style="311" customWidth="1"/>
    <col min="9482" max="9482" width="0" style="311" hidden="1" customWidth="1"/>
    <col min="9483" max="9483" width="1.3984375" style="311" customWidth="1"/>
    <col min="9484" max="9728" width="9.796875" style="311"/>
    <col min="9729" max="9729" width="9" style="311" customWidth="1"/>
    <col min="9730" max="9730" width="11" style="311" customWidth="1"/>
    <col min="9731" max="9731" width="10.796875" style="311" customWidth="1"/>
    <col min="9732" max="9732" width="9" style="311" customWidth="1"/>
    <col min="9733" max="9733" width="9.796875" style="311"/>
    <col min="9734" max="9735" width="10" style="311" customWidth="1"/>
    <col min="9736" max="9736" width="1.796875" style="311" customWidth="1"/>
    <col min="9737" max="9737" width="9" style="311" customWidth="1"/>
    <col min="9738" max="9738" width="0" style="311" hidden="1" customWidth="1"/>
    <col min="9739" max="9739" width="1.3984375" style="311" customWidth="1"/>
    <col min="9740" max="9984" width="9.796875" style="311"/>
    <col min="9985" max="9985" width="9" style="311" customWidth="1"/>
    <col min="9986" max="9986" width="11" style="311" customWidth="1"/>
    <col min="9987" max="9987" width="10.796875" style="311" customWidth="1"/>
    <col min="9988" max="9988" width="9" style="311" customWidth="1"/>
    <col min="9989" max="9989" width="9.796875" style="311"/>
    <col min="9990" max="9991" width="10" style="311" customWidth="1"/>
    <col min="9992" max="9992" width="1.796875" style="311" customWidth="1"/>
    <col min="9993" max="9993" width="9" style="311" customWidth="1"/>
    <col min="9994" max="9994" width="0" style="311" hidden="1" customWidth="1"/>
    <col min="9995" max="9995" width="1.3984375" style="311" customWidth="1"/>
    <col min="9996" max="10240" width="9.796875" style="311"/>
    <col min="10241" max="10241" width="9" style="311" customWidth="1"/>
    <col min="10242" max="10242" width="11" style="311" customWidth="1"/>
    <col min="10243" max="10243" width="10.796875" style="311" customWidth="1"/>
    <col min="10244" max="10244" width="9" style="311" customWidth="1"/>
    <col min="10245" max="10245" width="9.796875" style="311"/>
    <col min="10246" max="10247" width="10" style="311" customWidth="1"/>
    <col min="10248" max="10248" width="1.796875" style="311" customWidth="1"/>
    <col min="10249" max="10249" width="9" style="311" customWidth="1"/>
    <col min="10250" max="10250" width="0" style="311" hidden="1" customWidth="1"/>
    <col min="10251" max="10251" width="1.3984375" style="311" customWidth="1"/>
    <col min="10252" max="10496" width="9.796875" style="311"/>
    <col min="10497" max="10497" width="9" style="311" customWidth="1"/>
    <col min="10498" max="10498" width="11" style="311" customWidth="1"/>
    <col min="10499" max="10499" width="10.796875" style="311" customWidth="1"/>
    <col min="10500" max="10500" width="9" style="311" customWidth="1"/>
    <col min="10501" max="10501" width="9.796875" style="311"/>
    <col min="10502" max="10503" width="10" style="311" customWidth="1"/>
    <col min="10504" max="10504" width="1.796875" style="311" customWidth="1"/>
    <col min="10505" max="10505" width="9" style="311" customWidth="1"/>
    <col min="10506" max="10506" width="0" style="311" hidden="1" customWidth="1"/>
    <col min="10507" max="10507" width="1.3984375" style="311" customWidth="1"/>
    <col min="10508" max="10752" width="9.796875" style="311"/>
    <col min="10753" max="10753" width="9" style="311" customWidth="1"/>
    <col min="10754" max="10754" width="11" style="311" customWidth="1"/>
    <col min="10755" max="10755" width="10.796875" style="311" customWidth="1"/>
    <col min="10756" max="10756" width="9" style="311" customWidth="1"/>
    <col min="10757" max="10757" width="9.796875" style="311"/>
    <col min="10758" max="10759" width="10" style="311" customWidth="1"/>
    <col min="10760" max="10760" width="1.796875" style="311" customWidth="1"/>
    <col min="10761" max="10761" width="9" style="311" customWidth="1"/>
    <col min="10762" max="10762" width="0" style="311" hidden="1" customWidth="1"/>
    <col min="10763" max="10763" width="1.3984375" style="311" customWidth="1"/>
    <col min="10764" max="11008" width="9.796875" style="311"/>
    <col min="11009" max="11009" width="9" style="311" customWidth="1"/>
    <col min="11010" max="11010" width="11" style="311" customWidth="1"/>
    <col min="11011" max="11011" width="10.796875" style="311" customWidth="1"/>
    <col min="11012" max="11012" width="9" style="311" customWidth="1"/>
    <col min="11013" max="11013" width="9.796875" style="311"/>
    <col min="11014" max="11015" width="10" style="311" customWidth="1"/>
    <col min="11016" max="11016" width="1.796875" style="311" customWidth="1"/>
    <col min="11017" max="11017" width="9" style="311" customWidth="1"/>
    <col min="11018" max="11018" width="0" style="311" hidden="1" customWidth="1"/>
    <col min="11019" max="11019" width="1.3984375" style="311" customWidth="1"/>
    <col min="11020" max="11264" width="9.796875" style="311"/>
    <col min="11265" max="11265" width="9" style="311" customWidth="1"/>
    <col min="11266" max="11266" width="11" style="311" customWidth="1"/>
    <col min="11267" max="11267" width="10.796875" style="311" customWidth="1"/>
    <col min="11268" max="11268" width="9" style="311" customWidth="1"/>
    <col min="11269" max="11269" width="9.796875" style="311"/>
    <col min="11270" max="11271" width="10" style="311" customWidth="1"/>
    <col min="11272" max="11272" width="1.796875" style="311" customWidth="1"/>
    <col min="11273" max="11273" width="9" style="311" customWidth="1"/>
    <col min="11274" max="11274" width="0" style="311" hidden="1" customWidth="1"/>
    <col min="11275" max="11275" width="1.3984375" style="311" customWidth="1"/>
    <col min="11276" max="11520" width="9.796875" style="311"/>
    <col min="11521" max="11521" width="9" style="311" customWidth="1"/>
    <col min="11522" max="11522" width="11" style="311" customWidth="1"/>
    <col min="11523" max="11523" width="10.796875" style="311" customWidth="1"/>
    <col min="11524" max="11524" width="9" style="311" customWidth="1"/>
    <col min="11525" max="11525" width="9.796875" style="311"/>
    <col min="11526" max="11527" width="10" style="311" customWidth="1"/>
    <col min="11528" max="11528" width="1.796875" style="311" customWidth="1"/>
    <col min="11529" max="11529" width="9" style="311" customWidth="1"/>
    <col min="11530" max="11530" width="0" style="311" hidden="1" customWidth="1"/>
    <col min="11531" max="11531" width="1.3984375" style="311" customWidth="1"/>
    <col min="11532" max="11776" width="9.796875" style="311"/>
    <col min="11777" max="11777" width="9" style="311" customWidth="1"/>
    <col min="11778" max="11778" width="11" style="311" customWidth="1"/>
    <col min="11779" max="11779" width="10.796875" style="311" customWidth="1"/>
    <col min="11780" max="11780" width="9" style="311" customWidth="1"/>
    <col min="11781" max="11781" width="9.796875" style="311"/>
    <col min="11782" max="11783" width="10" style="311" customWidth="1"/>
    <col min="11784" max="11784" width="1.796875" style="311" customWidth="1"/>
    <col min="11785" max="11785" width="9" style="311" customWidth="1"/>
    <col min="11786" max="11786" width="0" style="311" hidden="1" customWidth="1"/>
    <col min="11787" max="11787" width="1.3984375" style="311" customWidth="1"/>
    <col min="11788" max="12032" width="9.796875" style="311"/>
    <col min="12033" max="12033" width="9" style="311" customWidth="1"/>
    <col min="12034" max="12034" width="11" style="311" customWidth="1"/>
    <col min="12035" max="12035" width="10.796875" style="311" customWidth="1"/>
    <col min="12036" max="12036" width="9" style="311" customWidth="1"/>
    <col min="12037" max="12037" width="9.796875" style="311"/>
    <col min="12038" max="12039" width="10" style="311" customWidth="1"/>
    <col min="12040" max="12040" width="1.796875" style="311" customWidth="1"/>
    <col min="12041" max="12041" width="9" style="311" customWidth="1"/>
    <col min="12042" max="12042" width="0" style="311" hidden="1" customWidth="1"/>
    <col min="12043" max="12043" width="1.3984375" style="311" customWidth="1"/>
    <col min="12044" max="12288" width="9.796875" style="311"/>
    <col min="12289" max="12289" width="9" style="311" customWidth="1"/>
    <col min="12290" max="12290" width="11" style="311" customWidth="1"/>
    <col min="12291" max="12291" width="10.796875" style="311" customWidth="1"/>
    <col min="12292" max="12292" width="9" style="311" customWidth="1"/>
    <col min="12293" max="12293" width="9.796875" style="311"/>
    <col min="12294" max="12295" width="10" style="311" customWidth="1"/>
    <col min="12296" max="12296" width="1.796875" style="311" customWidth="1"/>
    <col min="12297" max="12297" width="9" style="311" customWidth="1"/>
    <col min="12298" max="12298" width="0" style="311" hidden="1" customWidth="1"/>
    <col min="12299" max="12299" width="1.3984375" style="311" customWidth="1"/>
    <col min="12300" max="12544" width="9.796875" style="311"/>
    <col min="12545" max="12545" width="9" style="311" customWidth="1"/>
    <col min="12546" max="12546" width="11" style="311" customWidth="1"/>
    <col min="12547" max="12547" width="10.796875" style="311" customWidth="1"/>
    <col min="12548" max="12548" width="9" style="311" customWidth="1"/>
    <col min="12549" max="12549" width="9.796875" style="311"/>
    <col min="12550" max="12551" width="10" style="311" customWidth="1"/>
    <col min="12552" max="12552" width="1.796875" style="311" customWidth="1"/>
    <col min="12553" max="12553" width="9" style="311" customWidth="1"/>
    <col min="12554" max="12554" width="0" style="311" hidden="1" customWidth="1"/>
    <col min="12555" max="12555" width="1.3984375" style="311" customWidth="1"/>
    <col min="12556" max="12800" width="9.796875" style="311"/>
    <col min="12801" max="12801" width="9" style="311" customWidth="1"/>
    <col min="12802" max="12802" width="11" style="311" customWidth="1"/>
    <col min="12803" max="12803" width="10.796875" style="311" customWidth="1"/>
    <col min="12804" max="12804" width="9" style="311" customWidth="1"/>
    <col min="12805" max="12805" width="9.796875" style="311"/>
    <col min="12806" max="12807" width="10" style="311" customWidth="1"/>
    <col min="12808" max="12808" width="1.796875" style="311" customWidth="1"/>
    <col min="12809" max="12809" width="9" style="311" customWidth="1"/>
    <col min="12810" max="12810" width="0" style="311" hidden="1" customWidth="1"/>
    <col min="12811" max="12811" width="1.3984375" style="311" customWidth="1"/>
    <col min="12812" max="13056" width="9.796875" style="311"/>
    <col min="13057" max="13057" width="9" style="311" customWidth="1"/>
    <col min="13058" max="13058" width="11" style="311" customWidth="1"/>
    <col min="13059" max="13059" width="10.796875" style="311" customWidth="1"/>
    <col min="13060" max="13060" width="9" style="311" customWidth="1"/>
    <col min="13061" max="13061" width="9.796875" style="311"/>
    <col min="13062" max="13063" width="10" style="311" customWidth="1"/>
    <col min="13064" max="13064" width="1.796875" style="311" customWidth="1"/>
    <col min="13065" max="13065" width="9" style="311" customWidth="1"/>
    <col min="13066" max="13066" width="0" style="311" hidden="1" customWidth="1"/>
    <col min="13067" max="13067" width="1.3984375" style="311" customWidth="1"/>
    <col min="13068" max="13312" width="9.796875" style="311"/>
    <col min="13313" max="13313" width="9" style="311" customWidth="1"/>
    <col min="13314" max="13314" width="11" style="311" customWidth="1"/>
    <col min="13315" max="13315" width="10.796875" style="311" customWidth="1"/>
    <col min="13316" max="13316" width="9" style="311" customWidth="1"/>
    <col min="13317" max="13317" width="9.796875" style="311"/>
    <col min="13318" max="13319" width="10" style="311" customWidth="1"/>
    <col min="13320" max="13320" width="1.796875" style="311" customWidth="1"/>
    <col min="13321" max="13321" width="9" style="311" customWidth="1"/>
    <col min="13322" max="13322" width="0" style="311" hidden="1" customWidth="1"/>
    <col min="13323" max="13323" width="1.3984375" style="311" customWidth="1"/>
    <col min="13324" max="13568" width="9.796875" style="311"/>
    <col min="13569" max="13569" width="9" style="311" customWidth="1"/>
    <col min="13570" max="13570" width="11" style="311" customWidth="1"/>
    <col min="13571" max="13571" width="10.796875" style="311" customWidth="1"/>
    <col min="13572" max="13572" width="9" style="311" customWidth="1"/>
    <col min="13573" max="13573" width="9.796875" style="311"/>
    <col min="13574" max="13575" width="10" style="311" customWidth="1"/>
    <col min="13576" max="13576" width="1.796875" style="311" customWidth="1"/>
    <col min="13577" max="13577" width="9" style="311" customWidth="1"/>
    <col min="13578" max="13578" width="0" style="311" hidden="1" customWidth="1"/>
    <col min="13579" max="13579" width="1.3984375" style="311" customWidth="1"/>
    <col min="13580" max="13824" width="9.796875" style="311"/>
    <col min="13825" max="13825" width="9" style="311" customWidth="1"/>
    <col min="13826" max="13826" width="11" style="311" customWidth="1"/>
    <col min="13827" max="13827" width="10.796875" style="311" customWidth="1"/>
    <col min="13828" max="13828" width="9" style="311" customWidth="1"/>
    <col min="13829" max="13829" width="9.796875" style="311"/>
    <col min="13830" max="13831" width="10" style="311" customWidth="1"/>
    <col min="13832" max="13832" width="1.796875" style="311" customWidth="1"/>
    <col min="13833" max="13833" width="9" style="311" customWidth="1"/>
    <col min="13834" max="13834" width="0" style="311" hidden="1" customWidth="1"/>
    <col min="13835" max="13835" width="1.3984375" style="311" customWidth="1"/>
    <col min="13836" max="14080" width="9.796875" style="311"/>
    <col min="14081" max="14081" width="9" style="311" customWidth="1"/>
    <col min="14082" max="14082" width="11" style="311" customWidth="1"/>
    <col min="14083" max="14083" width="10.796875" style="311" customWidth="1"/>
    <col min="14084" max="14084" width="9" style="311" customWidth="1"/>
    <col min="14085" max="14085" width="9.796875" style="311"/>
    <col min="14086" max="14087" width="10" style="311" customWidth="1"/>
    <col min="14088" max="14088" width="1.796875" style="311" customWidth="1"/>
    <col min="14089" max="14089" width="9" style="311" customWidth="1"/>
    <col min="14090" max="14090" width="0" style="311" hidden="1" customWidth="1"/>
    <col min="14091" max="14091" width="1.3984375" style="311" customWidth="1"/>
    <col min="14092" max="14336" width="9.796875" style="311"/>
    <col min="14337" max="14337" width="9" style="311" customWidth="1"/>
    <col min="14338" max="14338" width="11" style="311" customWidth="1"/>
    <col min="14339" max="14339" width="10.796875" style="311" customWidth="1"/>
    <col min="14340" max="14340" width="9" style="311" customWidth="1"/>
    <col min="14341" max="14341" width="9.796875" style="311"/>
    <col min="14342" max="14343" width="10" style="311" customWidth="1"/>
    <col min="14344" max="14344" width="1.796875" style="311" customWidth="1"/>
    <col min="14345" max="14345" width="9" style="311" customWidth="1"/>
    <col min="14346" max="14346" width="0" style="311" hidden="1" customWidth="1"/>
    <col min="14347" max="14347" width="1.3984375" style="311" customWidth="1"/>
    <col min="14348" max="14592" width="9.796875" style="311"/>
    <col min="14593" max="14593" width="9" style="311" customWidth="1"/>
    <col min="14594" max="14594" width="11" style="311" customWidth="1"/>
    <col min="14595" max="14595" width="10.796875" style="311" customWidth="1"/>
    <col min="14596" max="14596" width="9" style="311" customWidth="1"/>
    <col min="14597" max="14597" width="9.796875" style="311"/>
    <col min="14598" max="14599" width="10" style="311" customWidth="1"/>
    <col min="14600" max="14600" width="1.796875" style="311" customWidth="1"/>
    <col min="14601" max="14601" width="9" style="311" customWidth="1"/>
    <col min="14602" max="14602" width="0" style="311" hidden="1" customWidth="1"/>
    <col min="14603" max="14603" width="1.3984375" style="311" customWidth="1"/>
    <col min="14604" max="14848" width="9.796875" style="311"/>
    <col min="14849" max="14849" width="9" style="311" customWidth="1"/>
    <col min="14850" max="14850" width="11" style="311" customWidth="1"/>
    <col min="14851" max="14851" width="10.796875" style="311" customWidth="1"/>
    <col min="14852" max="14852" width="9" style="311" customWidth="1"/>
    <col min="14853" max="14853" width="9.796875" style="311"/>
    <col min="14854" max="14855" width="10" style="311" customWidth="1"/>
    <col min="14856" max="14856" width="1.796875" style="311" customWidth="1"/>
    <col min="14857" max="14857" width="9" style="311" customWidth="1"/>
    <col min="14858" max="14858" width="0" style="311" hidden="1" customWidth="1"/>
    <col min="14859" max="14859" width="1.3984375" style="311" customWidth="1"/>
    <col min="14860" max="15104" width="9.796875" style="311"/>
    <col min="15105" max="15105" width="9" style="311" customWidth="1"/>
    <col min="15106" max="15106" width="11" style="311" customWidth="1"/>
    <col min="15107" max="15107" width="10.796875" style="311" customWidth="1"/>
    <col min="15108" max="15108" width="9" style="311" customWidth="1"/>
    <col min="15109" max="15109" width="9.796875" style="311"/>
    <col min="15110" max="15111" width="10" style="311" customWidth="1"/>
    <col min="15112" max="15112" width="1.796875" style="311" customWidth="1"/>
    <col min="15113" max="15113" width="9" style="311" customWidth="1"/>
    <col min="15114" max="15114" width="0" style="311" hidden="1" customWidth="1"/>
    <col min="15115" max="15115" width="1.3984375" style="311" customWidth="1"/>
    <col min="15116" max="15360" width="9.796875" style="311"/>
    <col min="15361" max="15361" width="9" style="311" customWidth="1"/>
    <col min="15362" max="15362" width="11" style="311" customWidth="1"/>
    <col min="15363" max="15363" width="10.796875" style="311" customWidth="1"/>
    <col min="15364" max="15364" width="9" style="311" customWidth="1"/>
    <col min="15365" max="15365" width="9.796875" style="311"/>
    <col min="15366" max="15367" width="10" style="311" customWidth="1"/>
    <col min="15368" max="15368" width="1.796875" style="311" customWidth="1"/>
    <col min="15369" max="15369" width="9" style="311" customWidth="1"/>
    <col min="15370" max="15370" width="0" style="311" hidden="1" customWidth="1"/>
    <col min="15371" max="15371" width="1.3984375" style="311" customWidth="1"/>
    <col min="15372" max="15616" width="9.796875" style="311"/>
    <col min="15617" max="15617" width="9" style="311" customWidth="1"/>
    <col min="15618" max="15618" width="11" style="311" customWidth="1"/>
    <col min="15619" max="15619" width="10.796875" style="311" customWidth="1"/>
    <col min="15620" max="15620" width="9" style="311" customWidth="1"/>
    <col min="15621" max="15621" width="9.796875" style="311"/>
    <col min="15622" max="15623" width="10" style="311" customWidth="1"/>
    <col min="15624" max="15624" width="1.796875" style="311" customWidth="1"/>
    <col min="15625" max="15625" width="9" style="311" customWidth="1"/>
    <col min="15626" max="15626" width="0" style="311" hidden="1" customWidth="1"/>
    <col min="15627" max="15627" width="1.3984375" style="311" customWidth="1"/>
    <col min="15628" max="15872" width="9.796875" style="311"/>
    <col min="15873" max="15873" width="9" style="311" customWidth="1"/>
    <col min="15874" max="15874" width="11" style="311" customWidth="1"/>
    <col min="15875" max="15875" width="10.796875" style="311" customWidth="1"/>
    <col min="15876" max="15876" width="9" style="311" customWidth="1"/>
    <col min="15877" max="15877" width="9.796875" style="311"/>
    <col min="15878" max="15879" width="10" style="311" customWidth="1"/>
    <col min="15880" max="15880" width="1.796875" style="311" customWidth="1"/>
    <col min="15881" max="15881" width="9" style="311" customWidth="1"/>
    <col min="15882" max="15882" width="0" style="311" hidden="1" customWidth="1"/>
    <col min="15883" max="15883" width="1.3984375" style="311" customWidth="1"/>
    <col min="15884" max="16128" width="9.796875" style="311"/>
    <col min="16129" max="16129" width="9" style="311" customWidth="1"/>
    <col min="16130" max="16130" width="11" style="311" customWidth="1"/>
    <col min="16131" max="16131" width="10.796875" style="311" customWidth="1"/>
    <col min="16132" max="16132" width="9" style="311" customWidth="1"/>
    <col min="16133" max="16133" width="9.796875" style="311"/>
    <col min="16134" max="16135" width="10" style="311" customWidth="1"/>
    <col min="16136" max="16136" width="1.796875" style="311" customWidth="1"/>
    <col min="16137" max="16137" width="9" style="311" customWidth="1"/>
    <col min="16138" max="16138" width="0" style="311" hidden="1" customWidth="1"/>
    <col min="16139" max="16139" width="1.3984375" style="311" customWidth="1"/>
    <col min="16140" max="16384" width="9.796875" style="311"/>
  </cols>
  <sheetData>
    <row r="1" spans="1:76" ht="15" customHeight="1">
      <c r="E1" s="306"/>
    </row>
    <row r="3" spans="1:76" ht="13.25" customHeight="1">
      <c r="A3" s="344" t="s">
        <v>523</v>
      </c>
      <c r="B3" s="312"/>
      <c r="C3" s="312"/>
      <c r="D3" s="312"/>
      <c r="E3" s="312"/>
      <c r="F3" s="312"/>
      <c r="G3" s="312"/>
      <c r="H3" s="312"/>
      <c r="I3" s="312"/>
      <c r="J3" s="312"/>
      <c r="K3" s="312"/>
      <c r="BO3" s="1038" t="s">
        <v>110</v>
      </c>
      <c r="BP3" s="1038"/>
      <c r="BQ3" s="1038"/>
      <c r="BR3" s="1038"/>
      <c r="BS3" s="1038"/>
      <c r="BT3" s="1038"/>
      <c r="BU3" s="1038"/>
      <c r="BV3" s="1038"/>
      <c r="BW3" s="1038"/>
      <c r="BX3" s="1038"/>
    </row>
    <row r="4" spans="1:76" ht="13.25" customHeight="1">
      <c r="A4" s="288" t="s">
        <v>257</v>
      </c>
      <c r="J4" s="301"/>
      <c r="K4" s="301"/>
      <c r="BO4" s="313"/>
      <c r="BP4" s="313"/>
      <c r="BQ4" s="313"/>
      <c r="BR4" s="313"/>
      <c r="BS4" s="313"/>
      <c r="BT4" s="313"/>
      <c r="BU4" s="313"/>
      <c r="BV4" s="313"/>
      <c r="BW4" s="313"/>
      <c r="BX4" s="313"/>
    </row>
    <row r="5" spans="1:76" ht="4.25" customHeight="1" thickBot="1">
      <c r="A5" s="333"/>
      <c r="B5" s="333"/>
      <c r="C5" s="333"/>
      <c r="D5" s="333"/>
      <c r="E5" s="333"/>
      <c r="F5" s="333"/>
      <c r="G5" s="333"/>
      <c r="H5" s="333"/>
      <c r="I5" s="333"/>
      <c r="J5" s="312"/>
      <c r="K5" s="301"/>
      <c r="BO5" s="1039" t="s">
        <v>245</v>
      </c>
      <c r="BP5" s="1039"/>
      <c r="BQ5" s="1039"/>
      <c r="BR5" s="1039"/>
      <c r="BS5" s="1039"/>
      <c r="BT5" s="1039"/>
      <c r="BU5" s="1039"/>
      <c r="BV5" s="1039"/>
      <c r="BW5" s="1039"/>
      <c r="BX5" s="1039"/>
    </row>
    <row r="6" spans="1:76" ht="16" customHeight="1">
      <c r="A6" s="1033" t="s">
        <v>107</v>
      </c>
      <c r="B6" s="754"/>
      <c r="C6" s="754"/>
      <c r="D6" s="754"/>
      <c r="E6" s="755" t="s">
        <v>111</v>
      </c>
      <c r="F6" s="754"/>
      <c r="G6" s="754"/>
      <c r="H6" s="1033" t="s">
        <v>256</v>
      </c>
      <c r="I6" s="1033" t="s">
        <v>14</v>
      </c>
      <c r="J6" s="339"/>
      <c r="K6" s="339"/>
      <c r="L6" s="1040"/>
      <c r="M6" s="336"/>
      <c r="BO6" s="306" t="s">
        <v>107</v>
      </c>
      <c r="BP6" s="314"/>
      <c r="BQ6" s="314"/>
      <c r="BR6" s="314"/>
      <c r="BS6" s="315" t="s">
        <v>111</v>
      </c>
      <c r="BT6" s="314"/>
      <c r="BU6" s="314"/>
      <c r="BW6" s="306" t="s">
        <v>112</v>
      </c>
      <c r="BX6" s="306"/>
    </row>
    <row r="7" spans="1:76" ht="16" customHeight="1">
      <c r="A7" s="1034"/>
      <c r="B7" s="751" t="s">
        <v>251</v>
      </c>
      <c r="C7" s="751" t="s">
        <v>252</v>
      </c>
      <c r="D7" s="751" t="s">
        <v>253</v>
      </c>
      <c r="E7" s="751" t="s">
        <v>254</v>
      </c>
      <c r="F7" s="751" t="s">
        <v>255</v>
      </c>
      <c r="G7" s="751" t="s">
        <v>8</v>
      </c>
      <c r="H7" s="1034"/>
      <c r="I7" s="1034"/>
      <c r="J7" s="313"/>
      <c r="K7" s="313"/>
      <c r="L7" s="1040"/>
      <c r="M7" s="336"/>
      <c r="BO7" s="314"/>
      <c r="BP7" s="284" t="s">
        <v>17</v>
      </c>
      <c r="BQ7" s="284" t="s">
        <v>114</v>
      </c>
      <c r="BR7" s="283" t="s">
        <v>12</v>
      </c>
      <c r="BS7" s="284" t="s">
        <v>6</v>
      </c>
      <c r="BT7" s="283" t="s">
        <v>13</v>
      </c>
      <c r="BU7" s="284" t="s">
        <v>8</v>
      </c>
      <c r="BV7" s="284"/>
      <c r="BW7" s="283" t="s">
        <v>113</v>
      </c>
      <c r="BX7" s="283" t="s">
        <v>14</v>
      </c>
    </row>
    <row r="8" spans="1:76" ht="18" customHeight="1">
      <c r="A8" s="684" t="s">
        <v>52</v>
      </c>
      <c r="B8" s="882">
        <f t="shared" ref="B8:G8" si="0">SUM(B9:B20)</f>
        <v>1958864.622967486</v>
      </c>
      <c r="C8" s="882">
        <f t="shared" si="0"/>
        <v>1813165.389879161</v>
      </c>
      <c r="D8" s="882">
        <f t="shared" si="0"/>
        <v>33639.562626535073</v>
      </c>
      <c r="E8" s="882">
        <f t="shared" si="0"/>
        <v>226139.38217455015</v>
      </c>
      <c r="F8" s="882">
        <f t="shared" si="0"/>
        <v>210511.35613743606</v>
      </c>
      <c r="G8" s="882">
        <f t="shared" si="0"/>
        <v>4951.9427489497693</v>
      </c>
      <c r="H8" s="882">
        <f>SUM(H9:H20)</f>
        <v>685779.95699999994</v>
      </c>
      <c r="I8" s="882">
        <f>SUM(I9:I20)</f>
        <v>523375.81465513736</v>
      </c>
      <c r="J8" s="423"/>
      <c r="K8" s="340"/>
      <c r="L8" s="340"/>
      <c r="M8" s="335"/>
      <c r="BO8" s="316" t="s">
        <v>52</v>
      </c>
      <c r="BP8" s="317">
        <f t="shared" ref="BP8:BU8" si="1">SUM(BP9:BP20)</f>
        <v>617417</v>
      </c>
      <c r="BQ8" s="317">
        <f t="shared" si="1"/>
        <v>0</v>
      </c>
      <c r="BR8" s="317">
        <f t="shared" si="1"/>
        <v>31999.5</v>
      </c>
      <c r="BS8" s="317">
        <f t="shared" si="1"/>
        <v>84973.919999999984</v>
      </c>
      <c r="BT8" s="317">
        <f t="shared" si="1"/>
        <v>145475</v>
      </c>
      <c r="BU8" s="317">
        <f t="shared" si="1"/>
        <v>6217.7999999999993</v>
      </c>
      <c r="BV8" s="317"/>
      <c r="BW8" s="317">
        <f>SUM(BW9:BW20)</f>
        <v>325300</v>
      </c>
      <c r="BX8" s="317">
        <f>SUM(BX9:BX20)</f>
        <v>181601</v>
      </c>
    </row>
    <row r="9" spans="1:76" ht="18" customHeight="1">
      <c r="A9" s="306" t="s">
        <v>53</v>
      </c>
      <c r="B9" s="883">
        <v>159665.16446027279</v>
      </c>
      <c r="C9" s="883">
        <v>147380.16465930326</v>
      </c>
      <c r="D9" s="883">
        <v>2428.3655965229223</v>
      </c>
      <c r="E9" s="883">
        <v>16664.946899118993</v>
      </c>
      <c r="F9" s="883">
        <v>16349.818131916234</v>
      </c>
      <c r="G9" s="883">
        <v>383.94363412554998</v>
      </c>
      <c r="H9" s="883">
        <v>60826.126280456054</v>
      </c>
      <c r="I9" s="883">
        <v>42476.779790499997</v>
      </c>
      <c r="J9" s="587"/>
      <c r="K9" s="587"/>
      <c r="L9" s="587"/>
      <c r="M9" s="587"/>
      <c r="N9" s="587"/>
      <c r="O9" s="587"/>
      <c r="P9" s="587"/>
      <c r="Q9" s="587"/>
      <c r="R9" s="587"/>
      <c r="BO9" s="306" t="s">
        <v>75</v>
      </c>
      <c r="BP9" s="298">
        <v>45967</v>
      </c>
      <c r="BQ9" s="298"/>
      <c r="BR9" s="298">
        <v>2297.5</v>
      </c>
      <c r="BS9" s="298">
        <v>6299.45</v>
      </c>
      <c r="BT9" s="298">
        <v>10942</v>
      </c>
      <c r="BU9" s="298">
        <v>490</v>
      </c>
      <c r="BV9" s="298"/>
      <c r="BW9" s="298">
        <v>36000</v>
      </c>
      <c r="BX9" s="298">
        <v>13971</v>
      </c>
    </row>
    <row r="10" spans="1:76" ht="18" customHeight="1">
      <c r="A10" s="306" t="s">
        <v>54</v>
      </c>
      <c r="B10" s="883">
        <v>140803.01012600024</v>
      </c>
      <c r="C10" s="883">
        <v>129612.3594437756</v>
      </c>
      <c r="D10" s="883">
        <v>2571.3588666394812</v>
      </c>
      <c r="E10" s="883">
        <v>17063.265272215289</v>
      </c>
      <c r="F10" s="883">
        <v>16743.325280399997</v>
      </c>
      <c r="G10" s="883">
        <v>390.0634386210171</v>
      </c>
      <c r="H10" s="883">
        <v>56415.963076091022</v>
      </c>
      <c r="I10" s="883">
        <v>41940.477799999993</v>
      </c>
      <c r="J10" s="587"/>
      <c r="K10" s="587"/>
      <c r="L10" s="587"/>
      <c r="M10" s="587"/>
      <c r="N10" s="587"/>
      <c r="O10" s="587"/>
      <c r="P10" s="587"/>
      <c r="Q10" s="587"/>
      <c r="R10" s="587"/>
      <c r="BO10" s="306" t="s">
        <v>76</v>
      </c>
      <c r="BP10" s="298">
        <v>48922</v>
      </c>
      <c r="BQ10" s="298"/>
      <c r="BR10" s="298">
        <v>2329</v>
      </c>
      <c r="BS10" s="298">
        <v>6890.01</v>
      </c>
      <c r="BT10" s="298">
        <v>11392</v>
      </c>
      <c r="BU10" s="298">
        <v>500</v>
      </c>
      <c r="BV10" s="298"/>
      <c r="BW10" s="298">
        <v>28200</v>
      </c>
      <c r="BX10" s="298">
        <v>13892</v>
      </c>
    </row>
    <row r="11" spans="1:76" ht="18" customHeight="1">
      <c r="A11" s="306" t="s">
        <v>55</v>
      </c>
      <c r="B11" s="883">
        <v>152880.29083024419</v>
      </c>
      <c r="C11" s="883">
        <v>141960.70846829849</v>
      </c>
      <c r="D11" s="883">
        <v>2705.7304000000004</v>
      </c>
      <c r="E11" s="883">
        <v>17131.150041666668</v>
      </c>
      <c r="F11" s="883">
        <v>16625.798318500001</v>
      </c>
      <c r="G11" s="883">
        <v>415.99585266666662</v>
      </c>
      <c r="H11" s="883">
        <v>66301.547705551668</v>
      </c>
      <c r="I11" s="883">
        <v>42001.227616050397</v>
      </c>
      <c r="J11" s="587"/>
      <c r="K11" s="587"/>
      <c r="L11" s="587"/>
      <c r="M11" s="587"/>
      <c r="N11" s="587"/>
      <c r="O11" s="587"/>
      <c r="P11" s="587"/>
      <c r="Q11" s="587"/>
      <c r="R11" s="587"/>
      <c r="BO11" s="306" t="s">
        <v>77</v>
      </c>
      <c r="BP11" s="298">
        <v>50546</v>
      </c>
      <c r="BQ11" s="298"/>
      <c r="BR11" s="298">
        <v>2550</v>
      </c>
      <c r="BS11" s="298">
        <v>6877.14</v>
      </c>
      <c r="BT11" s="298">
        <v>11670</v>
      </c>
      <c r="BU11" s="298">
        <v>539</v>
      </c>
      <c r="BV11" s="298"/>
      <c r="BW11" s="298">
        <v>29600</v>
      </c>
      <c r="BX11" s="298">
        <v>13866</v>
      </c>
    </row>
    <row r="12" spans="1:76" ht="18" customHeight="1">
      <c r="A12" s="306" t="s">
        <v>56</v>
      </c>
      <c r="B12" s="883">
        <v>158876.00430614324</v>
      </c>
      <c r="C12" s="883">
        <v>147750.52708692476</v>
      </c>
      <c r="D12" s="883">
        <v>3018.1471014176286</v>
      </c>
      <c r="E12" s="883">
        <v>17549.367321551046</v>
      </c>
      <c r="F12" s="883">
        <v>18106.94976673256</v>
      </c>
      <c r="G12" s="883">
        <v>423.27949965512278</v>
      </c>
      <c r="H12" s="883">
        <v>61635.719035255745</v>
      </c>
      <c r="I12" s="883">
        <v>41643.885800000018</v>
      </c>
      <c r="J12" s="587"/>
      <c r="K12" s="587"/>
      <c r="L12" s="587"/>
      <c r="M12" s="587"/>
      <c r="N12" s="587"/>
      <c r="O12" s="587"/>
      <c r="P12" s="587"/>
      <c r="Q12" s="587"/>
      <c r="R12" s="587"/>
      <c r="BO12" s="306" t="s">
        <v>78</v>
      </c>
      <c r="BP12" s="298">
        <v>49120</v>
      </c>
      <c r="BQ12" s="298"/>
      <c r="BR12" s="298">
        <v>3012</v>
      </c>
      <c r="BS12" s="298">
        <v>7264.02</v>
      </c>
      <c r="BT12" s="298">
        <v>12385</v>
      </c>
      <c r="BU12" s="298">
        <v>520</v>
      </c>
      <c r="BV12" s="298"/>
      <c r="BW12" s="298">
        <v>23800</v>
      </c>
      <c r="BX12" s="298">
        <v>15832</v>
      </c>
    </row>
    <row r="13" spans="1:76" ht="18" customHeight="1">
      <c r="A13" s="306" t="s">
        <v>57</v>
      </c>
      <c r="B13" s="883">
        <v>167906.73856322392</v>
      </c>
      <c r="C13" s="883">
        <v>157147.28482672834</v>
      </c>
      <c r="D13" s="883">
        <v>3114.5689690545778</v>
      </c>
      <c r="E13" s="883">
        <v>17622.056399897418</v>
      </c>
      <c r="F13" s="883">
        <v>18101.936130572027</v>
      </c>
      <c r="G13" s="883">
        <v>438.97931251323968</v>
      </c>
      <c r="H13" s="883">
        <v>59633.041227022775</v>
      </c>
      <c r="I13" s="883">
        <v>42712.702700000002</v>
      </c>
      <c r="J13" s="587"/>
      <c r="K13" s="587"/>
      <c r="L13" s="587"/>
      <c r="M13" s="587"/>
      <c r="N13" s="587"/>
      <c r="O13" s="587"/>
      <c r="P13" s="587"/>
      <c r="Q13" s="587"/>
      <c r="R13" s="587"/>
      <c r="BO13" s="306" t="s">
        <v>79</v>
      </c>
      <c r="BP13" s="298">
        <v>52577</v>
      </c>
      <c r="BQ13" s="298"/>
      <c r="BR13" s="298">
        <v>3181</v>
      </c>
      <c r="BS13" s="298">
        <v>7132</v>
      </c>
      <c r="BT13" s="298">
        <v>12536</v>
      </c>
      <c r="BU13" s="298">
        <v>515</v>
      </c>
      <c r="BV13" s="298"/>
      <c r="BW13" s="298">
        <v>27800</v>
      </c>
      <c r="BX13" s="298">
        <v>15061</v>
      </c>
    </row>
    <row r="14" spans="1:76" ht="18" customHeight="1">
      <c r="A14" s="306" t="s">
        <v>58</v>
      </c>
      <c r="B14" s="883">
        <v>164367.28503310171</v>
      </c>
      <c r="C14" s="883">
        <v>153948.14652492679</v>
      </c>
      <c r="D14" s="883">
        <v>3141.4320861400001</v>
      </c>
      <c r="E14" s="883">
        <v>17440.192772738697</v>
      </c>
      <c r="F14" s="883">
        <v>18371.664093030759</v>
      </c>
      <c r="G14" s="883">
        <v>454.08653425</v>
      </c>
      <c r="H14" s="883">
        <v>51590.357650218932</v>
      </c>
      <c r="I14" s="883">
        <v>42335.928000000007</v>
      </c>
      <c r="J14" s="587"/>
      <c r="K14" s="587"/>
      <c r="L14" s="587"/>
      <c r="M14" s="587"/>
      <c r="N14" s="587"/>
      <c r="O14" s="587"/>
      <c r="P14" s="587"/>
      <c r="Q14" s="587"/>
      <c r="R14" s="587"/>
      <c r="BO14" s="306" t="s">
        <v>80</v>
      </c>
      <c r="BP14" s="298">
        <v>52595</v>
      </c>
      <c r="BQ14" s="298"/>
      <c r="BR14" s="298">
        <v>3247</v>
      </c>
      <c r="BS14" s="298">
        <v>7283</v>
      </c>
      <c r="BT14" s="298">
        <v>12799</v>
      </c>
      <c r="BU14" s="298">
        <v>531</v>
      </c>
      <c r="BV14" s="298"/>
      <c r="BW14" s="298">
        <v>26100</v>
      </c>
      <c r="BX14" s="298">
        <v>15631</v>
      </c>
    </row>
    <row r="15" spans="1:76" ht="18" customHeight="1">
      <c r="A15" s="306" t="s">
        <v>59</v>
      </c>
      <c r="B15" s="883">
        <v>168341.53131179686</v>
      </c>
      <c r="C15" s="883">
        <v>157138.74161986806</v>
      </c>
      <c r="D15" s="883">
        <v>3085.0530237991998</v>
      </c>
      <c r="E15" s="883">
        <v>21075.70441300319</v>
      </c>
      <c r="F15" s="883">
        <v>18710.498794397819</v>
      </c>
      <c r="G15" s="883">
        <v>452.71225149697113</v>
      </c>
      <c r="H15" s="883">
        <v>52378.646916278638</v>
      </c>
      <c r="I15" s="883">
        <v>42329.661000000015</v>
      </c>
      <c r="J15" s="587"/>
      <c r="K15" s="587"/>
      <c r="L15" s="587"/>
      <c r="M15" s="587"/>
      <c r="N15" s="587"/>
      <c r="O15" s="587"/>
      <c r="P15" s="587"/>
      <c r="Q15" s="587"/>
      <c r="R15" s="587"/>
      <c r="BO15" s="306" t="s">
        <v>81</v>
      </c>
      <c r="BP15" s="298">
        <v>50656</v>
      </c>
      <c r="BQ15" s="298"/>
      <c r="BR15" s="298">
        <v>3037</v>
      </c>
      <c r="BS15" s="298">
        <v>7173.07</v>
      </c>
      <c r="BT15" s="298">
        <v>12739</v>
      </c>
      <c r="BU15" s="298">
        <v>517</v>
      </c>
      <c r="BV15" s="298"/>
      <c r="BW15" s="298">
        <v>25600</v>
      </c>
      <c r="BX15" s="298">
        <v>15460</v>
      </c>
    </row>
    <row r="16" spans="1:76" ht="18" customHeight="1">
      <c r="A16" s="306" t="s">
        <v>60</v>
      </c>
      <c r="B16" s="883">
        <v>168400.77137724811</v>
      </c>
      <c r="C16" s="883">
        <v>155793.51255396972</v>
      </c>
      <c r="D16" s="883">
        <v>2984.5771789300779</v>
      </c>
      <c r="E16" s="883">
        <v>20830.450691484581</v>
      </c>
      <c r="F16" s="883">
        <v>17977.764638845922</v>
      </c>
      <c r="G16" s="883">
        <v>428.14652057291823</v>
      </c>
      <c r="H16" s="883">
        <v>51547.741232318534</v>
      </c>
      <c r="I16" s="883">
        <v>42920.089900000014</v>
      </c>
      <c r="J16" s="587"/>
      <c r="K16" s="587"/>
      <c r="L16" s="587"/>
      <c r="M16" s="587"/>
      <c r="N16" s="587"/>
      <c r="O16" s="587"/>
      <c r="P16" s="587"/>
      <c r="Q16" s="587"/>
      <c r="R16" s="587"/>
      <c r="BO16" s="306" t="s">
        <v>82</v>
      </c>
      <c r="BP16" s="298">
        <v>52402</v>
      </c>
      <c r="BQ16" s="298"/>
      <c r="BR16" s="298">
        <v>2799</v>
      </c>
      <c r="BS16" s="298">
        <v>7036</v>
      </c>
      <c r="BT16" s="298">
        <v>12539</v>
      </c>
      <c r="BU16" s="298">
        <v>531</v>
      </c>
      <c r="BV16" s="298"/>
      <c r="BW16" s="298">
        <v>26500</v>
      </c>
      <c r="BX16" s="298">
        <v>15509</v>
      </c>
    </row>
    <row r="17" spans="1:76" ht="18" customHeight="1">
      <c r="A17" s="306" t="s">
        <v>61</v>
      </c>
      <c r="B17" s="883">
        <v>164854.73047997282</v>
      </c>
      <c r="C17" s="883">
        <v>151806.33134753394</v>
      </c>
      <c r="D17" s="883">
        <v>2779.3159639999999</v>
      </c>
      <c r="E17" s="883">
        <v>19446.992821956512</v>
      </c>
      <c r="F17" s="883">
        <v>17636.741408219998</v>
      </c>
      <c r="G17" s="883">
        <v>389.95810799999992</v>
      </c>
      <c r="H17" s="883">
        <v>51760.802080874564</v>
      </c>
      <c r="I17" s="883">
        <v>42314.230099999986</v>
      </c>
      <c r="J17" s="587"/>
      <c r="K17" s="587"/>
      <c r="L17" s="587"/>
      <c r="M17" s="587"/>
      <c r="N17" s="587"/>
      <c r="O17" s="587"/>
      <c r="P17" s="587"/>
      <c r="Q17" s="587"/>
      <c r="R17" s="587"/>
      <c r="BO17" s="306" t="s">
        <v>83</v>
      </c>
      <c r="BP17" s="298">
        <v>53163</v>
      </c>
      <c r="BQ17" s="298"/>
      <c r="BR17" s="298">
        <v>2618</v>
      </c>
      <c r="BS17" s="298">
        <v>7105.38</v>
      </c>
      <c r="BT17" s="298">
        <v>12041.5</v>
      </c>
      <c r="BU17" s="298">
        <v>519</v>
      </c>
      <c r="BV17" s="298"/>
      <c r="BW17" s="298">
        <v>25800</v>
      </c>
      <c r="BX17" s="298">
        <v>15501</v>
      </c>
    </row>
    <row r="18" spans="1:76" ht="18" customHeight="1">
      <c r="A18" s="306" t="s">
        <v>62</v>
      </c>
      <c r="B18" s="883">
        <v>170095.01895507943</v>
      </c>
      <c r="C18" s="883">
        <v>156448.06659681658</v>
      </c>
      <c r="D18" s="883">
        <v>2632.767950031187</v>
      </c>
      <c r="E18" s="883">
        <v>19336.934165417755</v>
      </c>
      <c r="F18" s="883">
        <v>16897.372711405835</v>
      </c>
      <c r="G18" s="883">
        <v>373.78544804828363</v>
      </c>
      <c r="H18" s="883">
        <v>55095.050009902523</v>
      </c>
      <c r="I18" s="883">
        <v>42557.230835317088</v>
      </c>
      <c r="J18" s="587"/>
      <c r="K18" s="587"/>
      <c r="L18" s="587"/>
      <c r="M18" s="587"/>
      <c r="N18" s="587"/>
      <c r="O18" s="587"/>
      <c r="P18" s="587"/>
      <c r="Q18" s="587"/>
      <c r="R18" s="587"/>
      <c r="BO18" s="306" t="s">
        <v>84</v>
      </c>
      <c r="BP18" s="298">
        <v>51559</v>
      </c>
      <c r="BQ18" s="298"/>
      <c r="BR18" s="298">
        <v>2325</v>
      </c>
      <c r="BS18" s="298">
        <v>6985.01</v>
      </c>
      <c r="BT18" s="298">
        <v>12554.5</v>
      </c>
      <c r="BU18" s="298">
        <v>493</v>
      </c>
      <c r="BV18" s="298"/>
      <c r="BW18" s="298">
        <v>23800</v>
      </c>
      <c r="BX18" s="298">
        <v>15767</v>
      </c>
    </row>
    <row r="19" spans="1:76" ht="18" customHeight="1">
      <c r="A19" s="306" t="s">
        <v>63</v>
      </c>
      <c r="B19" s="883">
        <v>163585.54914946528</v>
      </c>
      <c r="C19" s="883">
        <v>150557.74333949253</v>
      </c>
      <c r="D19" s="883">
        <v>2549.7692919999995</v>
      </c>
      <c r="E19" s="883">
        <v>19498.782009749997</v>
      </c>
      <c r="F19" s="883">
        <v>17076.128522167579</v>
      </c>
      <c r="G19" s="883">
        <v>384.77718100000004</v>
      </c>
      <c r="H19" s="883">
        <v>58642.346986960969</v>
      </c>
      <c r="I19" s="883">
        <v>42517.345977196805</v>
      </c>
      <c r="J19" s="587"/>
      <c r="K19" s="587"/>
      <c r="L19" s="587"/>
      <c r="M19" s="587"/>
      <c r="N19" s="587"/>
      <c r="O19" s="587"/>
      <c r="P19" s="587"/>
      <c r="Q19" s="587"/>
      <c r="R19" s="587"/>
      <c r="BO19" s="306" t="s">
        <v>85</v>
      </c>
      <c r="BP19" s="298">
        <v>52680</v>
      </c>
      <c r="BQ19" s="298"/>
      <c r="BR19" s="298">
        <v>2301</v>
      </c>
      <c r="BS19" s="298">
        <v>7307.39</v>
      </c>
      <c r="BT19" s="298">
        <v>11820.5</v>
      </c>
      <c r="BU19" s="298">
        <v>529.4</v>
      </c>
      <c r="BV19" s="298"/>
      <c r="BW19" s="298">
        <v>23800</v>
      </c>
      <c r="BX19" s="298">
        <v>15834</v>
      </c>
    </row>
    <row r="20" spans="1:76" ht="18" customHeight="1" thickBot="1">
      <c r="A20" s="319" t="s">
        <v>64</v>
      </c>
      <c r="B20" s="884">
        <v>179088.5283749371</v>
      </c>
      <c r="C20" s="884">
        <v>163621.803411523</v>
      </c>
      <c r="D20" s="884">
        <v>2628.4761979999994</v>
      </c>
      <c r="E20" s="884">
        <v>22479.539365749999</v>
      </c>
      <c r="F20" s="884">
        <v>17913.358341247309</v>
      </c>
      <c r="G20" s="884">
        <v>416.21496800000011</v>
      </c>
      <c r="H20" s="884">
        <v>59952.614799068535</v>
      </c>
      <c r="I20" s="884">
        <v>57626.255136072992</v>
      </c>
      <c r="J20" s="587"/>
      <c r="K20" s="587"/>
      <c r="L20" s="587"/>
      <c r="M20" s="587"/>
      <c r="N20" s="587"/>
      <c r="O20" s="587"/>
      <c r="P20" s="587"/>
      <c r="Q20" s="587"/>
      <c r="R20" s="587"/>
      <c r="BO20" s="319" t="s">
        <v>86</v>
      </c>
      <c r="BP20" s="320">
        <v>57230</v>
      </c>
      <c r="BQ20" s="320"/>
      <c r="BR20" s="320">
        <v>2303</v>
      </c>
      <c r="BS20" s="320">
        <v>7621.45</v>
      </c>
      <c r="BT20" s="320">
        <v>12056.5</v>
      </c>
      <c r="BU20" s="320">
        <v>533.4</v>
      </c>
      <c r="BV20" s="320"/>
      <c r="BW20" s="320">
        <v>28300</v>
      </c>
      <c r="BX20" s="320">
        <v>15277</v>
      </c>
    </row>
    <row r="21" spans="1:76" ht="9" customHeight="1">
      <c r="A21" s="508" t="s">
        <v>333</v>
      </c>
      <c r="B21" s="509"/>
      <c r="C21" s="509"/>
      <c r="D21" s="510" t="s">
        <v>337</v>
      </c>
      <c r="E21" s="509"/>
      <c r="F21" s="509"/>
      <c r="G21" s="510"/>
      <c r="H21" s="509"/>
      <c r="I21" s="509"/>
      <c r="M21" s="298"/>
      <c r="BO21" s="321" t="s">
        <v>115</v>
      </c>
      <c r="BR21" s="321" t="s">
        <v>246</v>
      </c>
      <c r="BU21" s="321" t="s">
        <v>116</v>
      </c>
      <c r="BW21" s="308"/>
    </row>
    <row r="22" spans="1:76" ht="9" customHeight="1">
      <c r="A22" s="449" t="s">
        <v>330</v>
      </c>
      <c r="B22" s="509"/>
      <c r="C22" s="509"/>
      <c r="D22" s="508"/>
      <c r="E22" s="509"/>
      <c r="F22" s="509"/>
      <c r="G22" s="510"/>
      <c r="H22" s="509"/>
      <c r="I22" s="509"/>
      <c r="M22" s="298"/>
      <c r="BO22" s="321"/>
      <c r="BR22" s="321"/>
      <c r="BU22" s="321"/>
      <c r="BW22" s="308"/>
    </row>
    <row r="23" spans="1:76" ht="9" customHeight="1">
      <c r="A23" s="498" t="s">
        <v>304</v>
      </c>
      <c r="B23" s="493"/>
      <c r="C23" s="494"/>
      <c r="D23" s="494"/>
      <c r="E23" s="511"/>
      <c r="F23" s="511"/>
      <c r="G23" s="511"/>
      <c r="H23" s="511"/>
      <c r="I23" s="512"/>
      <c r="M23" s="298"/>
      <c r="BO23" s="297"/>
      <c r="BW23" s="308"/>
    </row>
    <row r="24" spans="1:76" ht="9" customHeight="1">
      <c r="A24" s="451" t="s">
        <v>303</v>
      </c>
      <c r="B24" s="493"/>
      <c r="C24" s="493"/>
      <c r="D24" s="499"/>
      <c r="E24" s="511"/>
      <c r="F24" s="511"/>
      <c r="G24" s="511"/>
      <c r="H24" s="511"/>
      <c r="I24" s="512"/>
      <c r="M24" s="298"/>
      <c r="BO24" s="297"/>
      <c r="BW24" s="308"/>
    </row>
    <row r="25" spans="1:76" ht="126" customHeight="1">
      <c r="A25" s="508"/>
      <c r="B25" s="511"/>
      <c r="C25" s="511"/>
      <c r="D25" s="511"/>
      <c r="E25" s="511"/>
      <c r="F25" s="511"/>
      <c r="G25" s="511"/>
      <c r="H25" s="511"/>
      <c r="I25" s="512"/>
      <c r="M25" s="298"/>
      <c r="BO25" s="297"/>
      <c r="BW25" s="308"/>
    </row>
    <row r="26" spans="1:76" ht="13.25" customHeight="1">
      <c r="A26" s="344" t="s">
        <v>522</v>
      </c>
      <c r="B26" s="312"/>
      <c r="C26" s="312"/>
      <c r="D26" s="312"/>
      <c r="E26" s="312"/>
      <c r="F26" s="312"/>
      <c r="G26" s="312"/>
      <c r="H26" s="312"/>
      <c r="I26" s="312"/>
      <c r="J26" s="312"/>
      <c r="K26" s="312"/>
      <c r="M26" s="298"/>
      <c r="BO26" s="1038" t="s">
        <v>247</v>
      </c>
      <c r="BP26" s="1038"/>
      <c r="BQ26" s="1038"/>
      <c r="BR26" s="1038"/>
      <c r="BS26" s="1038"/>
      <c r="BT26" s="1038"/>
      <c r="BU26" s="1038"/>
      <c r="BV26" s="1038"/>
      <c r="BW26" s="1038"/>
      <c r="BX26" s="1038"/>
    </row>
    <row r="27" spans="1:76" ht="13.25" customHeight="1">
      <c r="A27" s="288" t="s">
        <v>257</v>
      </c>
      <c r="J27" s="301"/>
      <c r="K27" s="301"/>
      <c r="M27" s="298"/>
      <c r="BO27" s="313"/>
      <c r="BP27" s="313"/>
      <c r="BQ27" s="313"/>
      <c r="BR27" s="313"/>
      <c r="BS27" s="313"/>
      <c r="BT27" s="313"/>
      <c r="BU27" s="313"/>
      <c r="BV27" s="313"/>
      <c r="BW27" s="313"/>
      <c r="BX27" s="313"/>
    </row>
    <row r="28" spans="1:76" ht="4.25" customHeight="1" thickBot="1">
      <c r="A28" s="333"/>
      <c r="B28" s="333"/>
      <c r="C28" s="333"/>
      <c r="D28" s="333"/>
      <c r="E28" s="333"/>
      <c r="F28" s="333"/>
      <c r="G28" s="333"/>
      <c r="H28" s="333"/>
      <c r="I28" s="333"/>
      <c r="J28" s="312"/>
      <c r="K28" s="301"/>
      <c r="M28" s="298"/>
      <c r="BO28" s="1039" t="s">
        <v>245</v>
      </c>
      <c r="BP28" s="1039"/>
      <c r="BQ28" s="1039"/>
      <c r="BR28" s="1039"/>
      <c r="BS28" s="1039"/>
      <c r="BT28" s="1039"/>
      <c r="BU28" s="1039"/>
      <c r="BV28" s="1039"/>
      <c r="BW28" s="1039"/>
      <c r="BX28" s="1039"/>
    </row>
    <row r="29" spans="1:76" ht="16" customHeight="1">
      <c r="A29" s="1033" t="s">
        <v>107</v>
      </c>
      <c r="B29" s="754"/>
      <c r="C29" s="754"/>
      <c r="D29" s="754"/>
      <c r="E29" s="755" t="s">
        <v>111</v>
      </c>
      <c r="F29" s="754"/>
      <c r="G29" s="754"/>
      <c r="H29" s="1033" t="s">
        <v>256</v>
      </c>
      <c r="I29" s="1033" t="s">
        <v>14</v>
      </c>
      <c r="J29" s="339"/>
      <c r="K29" s="339"/>
      <c r="L29" s="1040"/>
      <c r="M29" s="298"/>
      <c r="BO29" s="306" t="s">
        <v>107</v>
      </c>
      <c r="BP29" s="314"/>
      <c r="BQ29" s="314"/>
      <c r="BR29" s="314"/>
      <c r="BS29" s="315" t="s">
        <v>111</v>
      </c>
      <c r="BT29" s="314"/>
      <c r="BU29" s="314"/>
      <c r="BW29" s="306" t="s">
        <v>112</v>
      </c>
      <c r="BX29" s="306"/>
    </row>
    <row r="30" spans="1:76" ht="16" customHeight="1">
      <c r="A30" s="1034"/>
      <c r="B30" s="751" t="s">
        <v>251</v>
      </c>
      <c r="C30" s="751" t="s">
        <v>252</v>
      </c>
      <c r="D30" s="751" t="s">
        <v>253</v>
      </c>
      <c r="E30" s="751" t="s">
        <v>254</v>
      </c>
      <c r="F30" s="751" t="s">
        <v>255</v>
      </c>
      <c r="G30" s="751" t="s">
        <v>8</v>
      </c>
      <c r="H30" s="1034"/>
      <c r="I30" s="1034"/>
      <c r="J30" s="313"/>
      <c r="K30" s="313"/>
      <c r="L30" s="1040"/>
      <c r="M30" s="298"/>
      <c r="BO30" s="314"/>
      <c r="BP30" s="284" t="s">
        <v>17</v>
      </c>
      <c r="BQ30" s="284" t="s">
        <v>114</v>
      </c>
      <c r="BR30" s="283" t="s">
        <v>12</v>
      </c>
      <c r="BS30" s="284" t="s">
        <v>6</v>
      </c>
      <c r="BT30" s="283" t="s">
        <v>13</v>
      </c>
      <c r="BU30" s="284" t="s">
        <v>8</v>
      </c>
      <c r="BV30" s="284"/>
      <c r="BW30" s="283" t="s">
        <v>113</v>
      </c>
      <c r="BX30" s="283" t="s">
        <v>14</v>
      </c>
    </row>
    <row r="31" spans="1:76" ht="18" customHeight="1">
      <c r="A31" s="684" t="s">
        <v>52</v>
      </c>
      <c r="B31" s="685">
        <f t="shared" ref="B31:G31" si="2">SUM(B32:B43)</f>
        <v>1880405.9479999999</v>
      </c>
      <c r="C31" s="685">
        <f t="shared" si="2"/>
        <v>1744113.4340000001</v>
      </c>
      <c r="D31" s="685">
        <f t="shared" si="2"/>
        <v>33704.610999999997</v>
      </c>
      <c r="E31" s="685">
        <f t="shared" si="2"/>
        <v>215433.27899999998</v>
      </c>
      <c r="F31" s="685">
        <f t="shared" si="2"/>
        <v>206033.614</v>
      </c>
      <c r="G31" s="685">
        <f t="shared" si="2"/>
        <v>4940.9870000000001</v>
      </c>
      <c r="H31" s="685">
        <f>SUM(H32:H43)</f>
        <v>581143.57300000009</v>
      </c>
      <c r="I31" s="685">
        <f>SUM(I32:I43)</f>
        <v>503080.00300000003</v>
      </c>
      <c r="J31" s="341"/>
      <c r="K31" s="586"/>
      <c r="L31" s="341"/>
      <c r="M31" s="588"/>
      <c r="BO31" s="316" t="s">
        <v>52</v>
      </c>
      <c r="BP31" s="318">
        <f t="shared" ref="BP31:BU31" si="3">SUM(BP32:BP43)</f>
        <v>578248</v>
      </c>
      <c r="BQ31" s="318">
        <f t="shared" si="3"/>
        <v>380402</v>
      </c>
      <c r="BR31" s="318">
        <f t="shared" si="3"/>
        <v>32068</v>
      </c>
      <c r="BS31" s="318">
        <f t="shared" si="3"/>
        <v>94959.5</v>
      </c>
      <c r="BT31" s="318">
        <f t="shared" si="3"/>
        <v>139885</v>
      </c>
      <c r="BU31" s="318">
        <f t="shared" si="3"/>
        <v>6467</v>
      </c>
      <c r="BV31" s="318"/>
      <c r="BW31" s="318">
        <f>SUM(BW32:BW43)</f>
        <v>374700</v>
      </c>
      <c r="BX31" s="318">
        <f>SUM(BX32:BX43)</f>
        <v>152241.59999999998</v>
      </c>
    </row>
    <row r="32" spans="1:76" ht="18" customHeight="1">
      <c r="A32" s="306" t="s">
        <v>53</v>
      </c>
      <c r="B32" s="883">
        <v>151799.32800000001</v>
      </c>
      <c r="C32" s="883">
        <v>140270.639</v>
      </c>
      <c r="D32" s="883">
        <v>2420.29</v>
      </c>
      <c r="E32" s="883">
        <v>15979.227999999999</v>
      </c>
      <c r="F32" s="883">
        <v>15805.861000000001</v>
      </c>
      <c r="G32" s="883">
        <v>388.17700000000002</v>
      </c>
      <c r="H32" s="883">
        <v>51545.269</v>
      </c>
      <c r="I32" s="883">
        <v>41933.523000000001</v>
      </c>
      <c r="J32" s="341"/>
      <c r="K32" s="586"/>
      <c r="L32" s="341"/>
      <c r="M32" s="588"/>
      <c r="N32" s="341"/>
      <c r="O32" s="341"/>
      <c r="P32" s="341"/>
      <c r="Q32" s="341"/>
      <c r="BO32" s="306" t="s">
        <v>75</v>
      </c>
      <c r="BP32" s="298">
        <v>45102</v>
      </c>
      <c r="BQ32" s="298">
        <v>30844</v>
      </c>
      <c r="BR32" s="298">
        <v>2229</v>
      </c>
      <c r="BS32" s="298">
        <v>7225</v>
      </c>
      <c r="BT32" s="298">
        <v>10586</v>
      </c>
      <c r="BU32" s="298">
        <v>524</v>
      </c>
      <c r="BV32" s="298"/>
      <c r="BW32" s="298">
        <v>41900</v>
      </c>
      <c r="BX32" s="298">
        <v>11459</v>
      </c>
    </row>
    <row r="33" spans="1:76" ht="18" customHeight="1">
      <c r="A33" s="306" t="s">
        <v>54</v>
      </c>
      <c r="B33" s="883">
        <v>136741.128</v>
      </c>
      <c r="C33" s="883">
        <v>126115.064</v>
      </c>
      <c r="D33" s="883">
        <v>2555.1570000000002</v>
      </c>
      <c r="E33" s="883">
        <v>16762.133000000002</v>
      </c>
      <c r="F33" s="883">
        <v>16364.199000000001</v>
      </c>
      <c r="G33" s="883">
        <v>394.65600000000001</v>
      </c>
      <c r="H33" s="883">
        <v>47808.008999999998</v>
      </c>
      <c r="I33" s="883">
        <v>40596.851999999999</v>
      </c>
      <c r="J33" s="341"/>
      <c r="K33" s="586"/>
      <c r="L33" s="341"/>
      <c r="M33" s="588"/>
      <c r="N33" s="341"/>
      <c r="O33" s="341"/>
      <c r="P33" s="341"/>
      <c r="Q33" s="341"/>
      <c r="BO33" s="306" t="s">
        <v>76</v>
      </c>
      <c r="BP33" s="298">
        <v>46879</v>
      </c>
      <c r="BQ33" s="298">
        <v>29083</v>
      </c>
      <c r="BR33" s="298">
        <v>2347</v>
      </c>
      <c r="BS33" s="298">
        <v>7309</v>
      </c>
      <c r="BT33" s="298">
        <v>11169</v>
      </c>
      <c r="BU33" s="298">
        <v>568</v>
      </c>
      <c r="BV33" s="298"/>
      <c r="BW33" s="298">
        <v>35300</v>
      </c>
      <c r="BX33" s="298">
        <v>15954</v>
      </c>
    </row>
    <row r="34" spans="1:76" ht="18" customHeight="1">
      <c r="A34" s="306" t="s">
        <v>55</v>
      </c>
      <c r="B34" s="883">
        <v>152356.579</v>
      </c>
      <c r="C34" s="883">
        <v>141557.516</v>
      </c>
      <c r="D34" s="883">
        <v>2692.942</v>
      </c>
      <c r="E34" s="883">
        <v>16793.2</v>
      </c>
      <c r="F34" s="883">
        <v>16645.599999999999</v>
      </c>
      <c r="G34" s="883">
        <v>411.88299999999998</v>
      </c>
      <c r="H34" s="883">
        <v>56185.25</v>
      </c>
      <c r="I34" s="883">
        <v>40957.703000000001</v>
      </c>
      <c r="J34" s="341"/>
      <c r="K34" s="586"/>
      <c r="L34" s="341"/>
      <c r="M34" s="588"/>
      <c r="N34" s="341"/>
      <c r="O34" s="341"/>
      <c r="P34" s="341"/>
      <c r="Q34" s="341"/>
      <c r="BO34" s="306" t="s">
        <v>77</v>
      </c>
      <c r="BP34" s="298">
        <v>48278</v>
      </c>
      <c r="BQ34" s="298">
        <v>28603</v>
      </c>
      <c r="BR34" s="298">
        <v>2513</v>
      </c>
      <c r="BS34" s="298">
        <v>7501</v>
      </c>
      <c r="BT34" s="298">
        <v>11410</v>
      </c>
      <c r="BU34" s="298">
        <v>572</v>
      </c>
      <c r="BV34" s="298"/>
      <c r="BW34" s="298">
        <v>32500</v>
      </c>
      <c r="BX34" s="298">
        <v>12217</v>
      </c>
    </row>
    <row r="35" spans="1:76" ht="18" customHeight="1">
      <c r="A35" s="306" t="s">
        <v>56</v>
      </c>
      <c r="B35" s="883">
        <v>157356.429</v>
      </c>
      <c r="C35" s="883">
        <v>147514.367</v>
      </c>
      <c r="D35" s="883">
        <v>3008.14</v>
      </c>
      <c r="E35" s="883">
        <v>16113.893</v>
      </c>
      <c r="F35" s="883">
        <v>17734.764999999999</v>
      </c>
      <c r="G35" s="883">
        <v>419.27100000000002</v>
      </c>
      <c r="H35" s="883">
        <v>52231.334000000003</v>
      </c>
      <c r="I35" s="883">
        <v>41256.542000000001</v>
      </c>
      <c r="J35" s="341"/>
      <c r="K35" s="586"/>
      <c r="L35" s="341"/>
      <c r="M35" s="588"/>
      <c r="N35" s="341"/>
      <c r="O35" s="341"/>
      <c r="P35" s="341"/>
      <c r="Q35" s="341"/>
      <c r="BO35" s="306" t="s">
        <v>78</v>
      </c>
      <c r="BP35" s="298">
        <v>47609</v>
      </c>
      <c r="BQ35" s="298">
        <v>27196</v>
      </c>
      <c r="BR35" s="298">
        <v>2914</v>
      </c>
      <c r="BS35" s="298">
        <v>7592</v>
      </c>
      <c r="BT35" s="298">
        <v>11593</v>
      </c>
      <c r="BU35" s="298">
        <v>576</v>
      </c>
      <c r="BV35" s="298"/>
      <c r="BW35" s="298">
        <v>30600</v>
      </c>
      <c r="BX35" s="298">
        <v>12738</v>
      </c>
    </row>
    <row r="36" spans="1:76" ht="18" customHeight="1">
      <c r="A36" s="306" t="s">
        <v>57</v>
      </c>
      <c r="B36" s="883">
        <v>160105.791</v>
      </c>
      <c r="C36" s="883">
        <v>150061.432</v>
      </c>
      <c r="D36" s="883">
        <v>3134.5720000000001</v>
      </c>
      <c r="E36" s="883">
        <v>17012.331999999999</v>
      </c>
      <c r="F36" s="883">
        <v>18099.006000000001</v>
      </c>
      <c r="G36" s="883">
        <v>435.404</v>
      </c>
      <c r="H36" s="883">
        <v>50534.224999999999</v>
      </c>
      <c r="I36" s="883">
        <v>41449.169000000002</v>
      </c>
      <c r="J36" s="341"/>
      <c r="K36" s="586"/>
      <c r="L36" s="341"/>
      <c r="M36" s="588"/>
      <c r="N36" s="341"/>
      <c r="O36" s="341"/>
      <c r="P36" s="341"/>
      <c r="Q36" s="341"/>
      <c r="BO36" s="306" t="s">
        <v>79</v>
      </c>
      <c r="BP36" s="298">
        <v>46240</v>
      </c>
      <c r="BQ36" s="298">
        <v>31239</v>
      </c>
      <c r="BR36" s="298">
        <v>3018</v>
      </c>
      <c r="BS36" s="298">
        <v>7816</v>
      </c>
      <c r="BT36" s="298">
        <v>12063</v>
      </c>
      <c r="BU36" s="298">
        <v>565</v>
      </c>
      <c r="BV36" s="298"/>
      <c r="BW36" s="298">
        <v>29100</v>
      </c>
      <c r="BX36" s="298">
        <v>12579</v>
      </c>
    </row>
    <row r="37" spans="1:76" ht="18" customHeight="1">
      <c r="A37" s="306" t="s">
        <v>58</v>
      </c>
      <c r="B37" s="883">
        <v>160332.43799999999</v>
      </c>
      <c r="C37" s="883">
        <v>149186.764</v>
      </c>
      <c r="D37" s="883">
        <v>3173.8809999999999</v>
      </c>
      <c r="E37" s="883">
        <v>17087.071</v>
      </c>
      <c r="F37" s="883">
        <v>18119.319</v>
      </c>
      <c r="G37" s="883">
        <v>453.67200000000003</v>
      </c>
      <c r="H37" s="883">
        <v>43718.695</v>
      </c>
      <c r="I37" s="883">
        <v>41728.252</v>
      </c>
      <c r="J37" s="341"/>
      <c r="K37" s="586"/>
      <c r="L37" s="341"/>
      <c r="M37" s="588"/>
      <c r="N37" s="341"/>
      <c r="O37" s="341"/>
      <c r="P37" s="341"/>
      <c r="Q37" s="341"/>
      <c r="BO37" s="306" t="s">
        <v>80</v>
      </c>
      <c r="BP37" s="298">
        <v>47405</v>
      </c>
      <c r="BQ37" s="298">
        <v>29856</v>
      </c>
      <c r="BR37" s="298">
        <v>3328</v>
      </c>
      <c r="BS37" s="298">
        <v>8014</v>
      </c>
      <c r="BT37" s="298">
        <v>12094</v>
      </c>
      <c r="BU37" s="298">
        <v>548</v>
      </c>
      <c r="BV37" s="298"/>
      <c r="BW37" s="298">
        <v>25900</v>
      </c>
      <c r="BX37" s="298">
        <v>12545</v>
      </c>
    </row>
    <row r="38" spans="1:76" ht="18" customHeight="1">
      <c r="A38" s="306" t="s">
        <v>59</v>
      </c>
      <c r="B38" s="883">
        <v>165267.427</v>
      </c>
      <c r="C38" s="883">
        <v>152827.85500000001</v>
      </c>
      <c r="D38" s="883">
        <v>3110.7379999999998</v>
      </c>
      <c r="E38" s="883">
        <v>20587.493999999999</v>
      </c>
      <c r="F38" s="883">
        <v>18184.268</v>
      </c>
      <c r="G38" s="883">
        <v>448.81400000000002</v>
      </c>
      <c r="H38" s="883">
        <v>44386.707000000002</v>
      </c>
      <c r="I38" s="883">
        <v>41959.75</v>
      </c>
      <c r="J38" s="341"/>
      <c r="K38" s="586"/>
      <c r="L38" s="341"/>
      <c r="M38" s="588"/>
      <c r="N38" s="341"/>
      <c r="O38" s="341"/>
      <c r="P38" s="341"/>
      <c r="Q38" s="341"/>
      <c r="BO38" s="306" t="s">
        <v>81</v>
      </c>
      <c r="BP38" s="298">
        <v>48535</v>
      </c>
      <c r="BQ38" s="298">
        <v>31568</v>
      </c>
      <c r="BR38" s="298">
        <v>3287</v>
      </c>
      <c r="BS38" s="298">
        <v>8529</v>
      </c>
      <c r="BT38" s="298">
        <v>12033</v>
      </c>
      <c r="BU38" s="298">
        <v>517.5</v>
      </c>
      <c r="BV38" s="298"/>
      <c r="BW38" s="298">
        <v>30900</v>
      </c>
      <c r="BX38" s="298">
        <v>12467</v>
      </c>
    </row>
    <row r="39" spans="1:76" ht="18" customHeight="1">
      <c r="A39" s="306" t="s">
        <v>60</v>
      </c>
      <c r="B39" s="883">
        <v>160987.158</v>
      </c>
      <c r="C39" s="883">
        <v>148973.514</v>
      </c>
      <c r="D39" s="883">
        <v>3001.03</v>
      </c>
      <c r="E39" s="883">
        <v>19748.181</v>
      </c>
      <c r="F39" s="883">
        <v>17731.698</v>
      </c>
      <c r="G39" s="883">
        <v>426.54</v>
      </c>
      <c r="H39" s="883">
        <v>43682.580999999998</v>
      </c>
      <c r="I39" s="883">
        <v>42590.324999999997</v>
      </c>
      <c r="J39" s="341"/>
      <c r="K39" s="586"/>
      <c r="L39" s="341"/>
      <c r="M39" s="588"/>
      <c r="N39" s="341"/>
      <c r="O39" s="341"/>
      <c r="P39" s="341"/>
      <c r="Q39" s="341"/>
      <c r="BO39" s="306" t="s">
        <v>82</v>
      </c>
      <c r="BP39" s="298">
        <v>49440</v>
      </c>
      <c r="BQ39" s="298">
        <v>32897</v>
      </c>
      <c r="BR39" s="298">
        <v>2908</v>
      </c>
      <c r="BS39" s="298">
        <v>8113</v>
      </c>
      <c r="BT39" s="298">
        <v>12051</v>
      </c>
      <c r="BU39" s="298">
        <v>513.5</v>
      </c>
      <c r="BV39" s="298"/>
      <c r="BW39" s="298">
        <v>25900</v>
      </c>
      <c r="BX39" s="298">
        <v>12871</v>
      </c>
    </row>
    <row r="40" spans="1:76" ht="18" customHeight="1">
      <c r="A40" s="306" t="s">
        <v>61</v>
      </c>
      <c r="B40" s="883">
        <v>156990.61300000001</v>
      </c>
      <c r="C40" s="883">
        <v>144807.48300000001</v>
      </c>
      <c r="D40" s="883">
        <v>2774.2840000000001</v>
      </c>
      <c r="E40" s="883">
        <v>18633.223000000002</v>
      </c>
      <c r="F40" s="883">
        <v>17145.439999999999</v>
      </c>
      <c r="G40" s="883">
        <v>389.83699999999999</v>
      </c>
      <c r="H40" s="883">
        <v>43863.133000000002</v>
      </c>
      <c r="I40" s="883">
        <v>42455.483999999997</v>
      </c>
      <c r="J40" s="341"/>
      <c r="K40" s="586"/>
      <c r="L40" s="341"/>
      <c r="M40" s="588"/>
      <c r="N40" s="341"/>
      <c r="O40" s="341"/>
      <c r="P40" s="341"/>
      <c r="Q40" s="341"/>
      <c r="BO40" s="306" t="s">
        <v>83</v>
      </c>
      <c r="BP40" s="298">
        <v>47468</v>
      </c>
      <c r="BQ40" s="298">
        <v>34714</v>
      </c>
      <c r="BR40" s="298">
        <v>2681</v>
      </c>
      <c r="BS40" s="298">
        <v>7897</v>
      </c>
      <c r="BT40" s="298">
        <v>11479</v>
      </c>
      <c r="BU40" s="298">
        <v>500.5</v>
      </c>
      <c r="BV40" s="298"/>
      <c r="BW40" s="298">
        <v>25000</v>
      </c>
      <c r="BX40" s="298">
        <v>12209.4</v>
      </c>
    </row>
    <row r="41" spans="1:76" ht="18" customHeight="1">
      <c r="A41" s="306" t="s">
        <v>62</v>
      </c>
      <c r="B41" s="883">
        <v>160670.49</v>
      </c>
      <c r="C41" s="883">
        <v>148445.95000000001</v>
      </c>
      <c r="D41" s="883">
        <v>2626.799</v>
      </c>
      <c r="E41" s="883">
        <v>18216.448</v>
      </c>
      <c r="F41" s="883">
        <v>16343.647000000001</v>
      </c>
      <c r="G41" s="883">
        <v>374.161</v>
      </c>
      <c r="H41" s="883">
        <v>46688.641000000003</v>
      </c>
      <c r="I41" s="883">
        <v>42513.368000000002</v>
      </c>
      <c r="J41" s="341"/>
      <c r="K41" s="586"/>
      <c r="L41" s="341"/>
      <c r="M41" s="588"/>
      <c r="N41" s="341"/>
      <c r="O41" s="341"/>
      <c r="P41" s="341"/>
      <c r="Q41" s="341"/>
      <c r="BO41" s="306" t="s">
        <v>84</v>
      </c>
      <c r="BP41" s="298">
        <v>48550</v>
      </c>
      <c r="BQ41" s="298">
        <v>34277</v>
      </c>
      <c r="BR41" s="298">
        <v>2349</v>
      </c>
      <c r="BS41" s="298">
        <v>7983</v>
      </c>
      <c r="BT41" s="298">
        <v>11607</v>
      </c>
      <c r="BU41" s="298">
        <v>498.5</v>
      </c>
      <c r="BV41" s="298"/>
      <c r="BW41" s="298">
        <v>27200</v>
      </c>
      <c r="BX41" s="298">
        <v>12396.4</v>
      </c>
    </row>
    <row r="42" spans="1:76" ht="18" customHeight="1">
      <c r="A42" s="306" t="s">
        <v>63</v>
      </c>
      <c r="B42" s="883">
        <v>152851.476</v>
      </c>
      <c r="C42" s="883">
        <v>141458.908</v>
      </c>
      <c r="D42" s="883">
        <v>2570.9059999999999</v>
      </c>
      <c r="E42" s="883">
        <v>18276.136999999999</v>
      </c>
      <c r="F42" s="883">
        <v>16654.873</v>
      </c>
      <c r="G42" s="883">
        <v>385.32600000000002</v>
      </c>
      <c r="H42" s="883">
        <v>49694.690999999999</v>
      </c>
      <c r="I42" s="883">
        <v>42756.065000000002</v>
      </c>
      <c r="J42" s="341"/>
      <c r="K42" s="586"/>
      <c r="L42" s="341"/>
      <c r="M42" s="588"/>
      <c r="N42" s="341"/>
      <c r="O42" s="341"/>
      <c r="P42" s="341"/>
      <c r="Q42" s="341"/>
      <c r="BO42" s="306" t="s">
        <v>85</v>
      </c>
      <c r="BP42" s="298">
        <v>47516.5</v>
      </c>
      <c r="BQ42" s="298">
        <v>32600</v>
      </c>
      <c r="BR42" s="298">
        <v>2222.5</v>
      </c>
      <c r="BS42" s="298">
        <v>8324.5</v>
      </c>
      <c r="BT42" s="298">
        <v>11978</v>
      </c>
      <c r="BU42" s="298">
        <v>529.5</v>
      </c>
      <c r="BV42" s="298"/>
      <c r="BW42" s="298">
        <v>31100</v>
      </c>
      <c r="BX42" s="298">
        <v>12726.4</v>
      </c>
    </row>
    <row r="43" spans="1:76" ht="18" customHeight="1" thickBot="1">
      <c r="A43" s="319" t="s">
        <v>64</v>
      </c>
      <c r="B43" s="884">
        <v>164947.09099999999</v>
      </c>
      <c r="C43" s="884">
        <v>152893.94200000001</v>
      </c>
      <c r="D43" s="884">
        <v>2635.8719999999998</v>
      </c>
      <c r="E43" s="884">
        <v>20223.938999999998</v>
      </c>
      <c r="F43" s="884">
        <v>17204.937999999998</v>
      </c>
      <c r="G43" s="884">
        <v>413.24599999999998</v>
      </c>
      <c r="H43" s="884">
        <v>50805.038</v>
      </c>
      <c r="I43" s="884">
        <v>42882.97</v>
      </c>
      <c r="J43" s="341"/>
      <c r="K43" s="586"/>
      <c r="L43" s="341"/>
      <c r="M43" s="588"/>
      <c r="N43" s="341"/>
      <c r="O43" s="341"/>
      <c r="P43" s="341"/>
      <c r="Q43" s="341"/>
      <c r="BO43" s="319" t="s">
        <v>86</v>
      </c>
      <c r="BP43" s="320">
        <v>55225.5</v>
      </c>
      <c r="BQ43" s="320">
        <v>37525</v>
      </c>
      <c r="BR43" s="320">
        <v>2271.5</v>
      </c>
      <c r="BS43" s="320">
        <v>8656</v>
      </c>
      <c r="BT43" s="320">
        <v>11822</v>
      </c>
      <c r="BU43" s="320">
        <v>554.5</v>
      </c>
      <c r="BV43" s="320"/>
      <c r="BW43" s="320">
        <v>39300</v>
      </c>
      <c r="BX43" s="320">
        <v>12079.4</v>
      </c>
    </row>
    <row r="44" spans="1:76" ht="9" customHeight="1">
      <c r="A44" s="508" t="s">
        <v>333</v>
      </c>
      <c r="B44" s="509"/>
      <c r="C44" s="509"/>
      <c r="D44" s="510" t="s">
        <v>337</v>
      </c>
      <c r="E44" s="509"/>
      <c r="F44" s="509"/>
      <c r="G44" s="510"/>
      <c r="H44" s="509"/>
      <c r="I44" s="342"/>
      <c r="J44" s="298"/>
      <c r="K44" s="298"/>
      <c r="L44" s="298"/>
      <c r="M44" s="298"/>
      <c r="BO44" s="306"/>
      <c r="BP44" s="298"/>
      <c r="BQ44" s="298"/>
      <c r="BR44" s="298"/>
      <c r="BS44" s="298"/>
      <c r="BT44" s="298"/>
      <c r="BU44" s="298"/>
      <c r="BV44" s="298"/>
      <c r="BW44" s="298"/>
      <c r="BX44" s="298"/>
    </row>
    <row r="45" spans="1:76" ht="9" customHeight="1">
      <c r="A45" s="498" t="s">
        <v>304</v>
      </c>
      <c r="B45" s="493"/>
      <c r="C45" s="494"/>
      <c r="D45" s="494"/>
      <c r="E45" s="511"/>
      <c r="F45" s="511"/>
      <c r="G45" s="511"/>
      <c r="H45" s="511"/>
      <c r="I45" s="343"/>
      <c r="M45" s="298"/>
      <c r="BO45" s="297"/>
      <c r="BW45" s="308"/>
    </row>
    <row r="46" spans="1:76" ht="9" customHeight="1">
      <c r="A46" s="451" t="s">
        <v>303</v>
      </c>
      <c r="B46" s="493"/>
      <c r="C46" s="493"/>
      <c r="D46" s="499"/>
      <c r="E46" s="511"/>
      <c r="F46" s="511"/>
      <c r="G46" s="511"/>
      <c r="H46" s="511"/>
      <c r="I46" s="343"/>
      <c r="M46" s="298"/>
      <c r="BW46" s="308"/>
    </row>
    <row r="47" spans="1:76" ht="10.25" customHeight="1">
      <c r="A47" s="505"/>
      <c r="B47" s="511"/>
      <c r="C47" s="511"/>
      <c r="D47" s="511"/>
      <c r="E47" s="511"/>
      <c r="F47" s="511"/>
      <c r="G47" s="511"/>
      <c r="H47" s="511"/>
      <c r="I47" s="343"/>
      <c r="M47" s="298"/>
      <c r="BW47" s="308"/>
    </row>
    <row r="48" spans="1:76" ht="15" customHeight="1">
      <c r="A48" s="505"/>
      <c r="B48" s="511"/>
      <c r="C48" s="511"/>
      <c r="D48" s="511"/>
      <c r="E48" s="511"/>
      <c r="F48" s="511"/>
      <c r="G48" s="511"/>
      <c r="H48" s="511"/>
      <c r="M48" s="298"/>
    </row>
    <row r="49" spans="13:13" ht="15" customHeight="1">
      <c r="M49" s="298"/>
    </row>
    <row r="50" spans="13:13" ht="15" customHeight="1">
      <c r="M50" s="298"/>
    </row>
    <row r="51" spans="13:13" ht="15" customHeight="1">
      <c r="M51" s="298"/>
    </row>
    <row r="52" spans="13:13" ht="15" customHeight="1">
      <c r="M52" s="298"/>
    </row>
  </sheetData>
  <mergeCells count="12">
    <mergeCell ref="A29:A30"/>
    <mergeCell ref="I29:I30"/>
    <mergeCell ref="L29:L30"/>
    <mergeCell ref="H29:H30"/>
    <mergeCell ref="H6:H7"/>
    <mergeCell ref="BO26:BX26"/>
    <mergeCell ref="BO28:BX28"/>
    <mergeCell ref="BO3:BX3"/>
    <mergeCell ref="BO5:BX5"/>
    <mergeCell ref="A6:A7"/>
    <mergeCell ref="L6:L7"/>
    <mergeCell ref="I6:I7"/>
  </mergeCells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syncVertical="1" syncRef="A1" transitionEvaluation="1" codeName="Hoja96">
    <tabColor theme="9" tint="0.59999389629810485"/>
  </sheetPr>
  <dimension ref="A1:Q70"/>
  <sheetViews>
    <sheetView showGridLines="0" zoomScaleNormal="100" workbookViewId="0">
      <selection activeCell="D1" sqref="D1"/>
    </sheetView>
  </sheetViews>
  <sheetFormatPr baseColWidth="10" defaultColWidth="9.796875" defaultRowHeight="15" customHeight="1"/>
  <cols>
    <col min="1" max="1" width="7.3984375" style="311" customWidth="1"/>
    <col min="2" max="6" width="9.3984375" style="311" customWidth="1"/>
    <col min="7" max="7" width="9" style="311" customWidth="1"/>
    <col min="8" max="10" width="9.3984375" style="311" customWidth="1"/>
    <col min="11" max="12" width="6.796875" style="311" customWidth="1"/>
    <col min="13" max="14" width="9" style="311" customWidth="1"/>
    <col min="15" max="256" width="9.796875" style="311"/>
    <col min="257" max="257" width="7.3984375" style="311" customWidth="1"/>
    <col min="258" max="258" width="10.796875" style="311" customWidth="1"/>
    <col min="259" max="259" width="11.3984375" style="311" customWidth="1"/>
    <col min="260" max="261" width="10.796875" style="311" customWidth="1"/>
    <col min="262" max="263" width="10.19921875" style="311" customWidth="1"/>
    <col min="264" max="264" width="11.19921875" style="311" customWidth="1"/>
    <col min="265" max="265" width="9.3984375" style="311" customWidth="1"/>
    <col min="266" max="266" width="2" style="311" customWidth="1"/>
    <col min="267" max="267" width="12" style="311" customWidth="1"/>
    <col min="268" max="268" width="12.796875" style="311" customWidth="1"/>
    <col min="269" max="512" width="9.796875" style="311"/>
    <col min="513" max="513" width="7.3984375" style="311" customWidth="1"/>
    <col min="514" max="514" width="10.796875" style="311" customWidth="1"/>
    <col min="515" max="515" width="11.3984375" style="311" customWidth="1"/>
    <col min="516" max="517" width="10.796875" style="311" customWidth="1"/>
    <col min="518" max="519" width="10.19921875" style="311" customWidth="1"/>
    <col min="520" max="520" width="11.19921875" style="311" customWidth="1"/>
    <col min="521" max="521" width="9.3984375" style="311" customWidth="1"/>
    <col min="522" max="522" width="2" style="311" customWidth="1"/>
    <col min="523" max="523" width="12" style="311" customWidth="1"/>
    <col min="524" max="524" width="12.796875" style="311" customWidth="1"/>
    <col min="525" max="768" width="9.796875" style="311"/>
    <col min="769" max="769" width="7.3984375" style="311" customWidth="1"/>
    <col min="770" max="770" width="10.796875" style="311" customWidth="1"/>
    <col min="771" max="771" width="11.3984375" style="311" customWidth="1"/>
    <col min="772" max="773" width="10.796875" style="311" customWidth="1"/>
    <col min="774" max="775" width="10.19921875" style="311" customWidth="1"/>
    <col min="776" max="776" width="11.19921875" style="311" customWidth="1"/>
    <col min="777" max="777" width="9.3984375" style="311" customWidth="1"/>
    <col min="778" max="778" width="2" style="311" customWidth="1"/>
    <col min="779" max="779" width="12" style="311" customWidth="1"/>
    <col min="780" max="780" width="12.796875" style="311" customWidth="1"/>
    <col min="781" max="1024" width="9.796875" style="311"/>
    <col min="1025" max="1025" width="7.3984375" style="311" customWidth="1"/>
    <col min="1026" max="1026" width="10.796875" style="311" customWidth="1"/>
    <col min="1027" max="1027" width="11.3984375" style="311" customWidth="1"/>
    <col min="1028" max="1029" width="10.796875" style="311" customWidth="1"/>
    <col min="1030" max="1031" width="10.19921875" style="311" customWidth="1"/>
    <col min="1032" max="1032" width="11.19921875" style="311" customWidth="1"/>
    <col min="1033" max="1033" width="9.3984375" style="311" customWidth="1"/>
    <col min="1034" max="1034" width="2" style="311" customWidth="1"/>
    <col min="1035" max="1035" width="12" style="311" customWidth="1"/>
    <col min="1036" max="1036" width="12.796875" style="311" customWidth="1"/>
    <col min="1037" max="1280" width="9.796875" style="311"/>
    <col min="1281" max="1281" width="7.3984375" style="311" customWidth="1"/>
    <col min="1282" max="1282" width="10.796875" style="311" customWidth="1"/>
    <col min="1283" max="1283" width="11.3984375" style="311" customWidth="1"/>
    <col min="1284" max="1285" width="10.796875" style="311" customWidth="1"/>
    <col min="1286" max="1287" width="10.19921875" style="311" customWidth="1"/>
    <col min="1288" max="1288" width="11.19921875" style="311" customWidth="1"/>
    <col min="1289" max="1289" width="9.3984375" style="311" customWidth="1"/>
    <col min="1290" max="1290" width="2" style="311" customWidth="1"/>
    <col min="1291" max="1291" width="12" style="311" customWidth="1"/>
    <col min="1292" max="1292" width="12.796875" style="311" customWidth="1"/>
    <col min="1293" max="1536" width="9.796875" style="311"/>
    <col min="1537" max="1537" width="7.3984375" style="311" customWidth="1"/>
    <col min="1538" max="1538" width="10.796875" style="311" customWidth="1"/>
    <col min="1539" max="1539" width="11.3984375" style="311" customWidth="1"/>
    <col min="1540" max="1541" width="10.796875" style="311" customWidth="1"/>
    <col min="1542" max="1543" width="10.19921875" style="311" customWidth="1"/>
    <col min="1544" max="1544" width="11.19921875" style="311" customWidth="1"/>
    <col min="1545" max="1545" width="9.3984375" style="311" customWidth="1"/>
    <col min="1546" max="1546" width="2" style="311" customWidth="1"/>
    <col min="1547" max="1547" width="12" style="311" customWidth="1"/>
    <col min="1548" max="1548" width="12.796875" style="311" customWidth="1"/>
    <col min="1549" max="1792" width="9.796875" style="311"/>
    <col min="1793" max="1793" width="7.3984375" style="311" customWidth="1"/>
    <col min="1794" max="1794" width="10.796875" style="311" customWidth="1"/>
    <col min="1795" max="1795" width="11.3984375" style="311" customWidth="1"/>
    <col min="1796" max="1797" width="10.796875" style="311" customWidth="1"/>
    <col min="1798" max="1799" width="10.19921875" style="311" customWidth="1"/>
    <col min="1800" max="1800" width="11.19921875" style="311" customWidth="1"/>
    <col min="1801" max="1801" width="9.3984375" style="311" customWidth="1"/>
    <col min="1802" max="1802" width="2" style="311" customWidth="1"/>
    <col min="1803" max="1803" width="12" style="311" customWidth="1"/>
    <col min="1804" max="1804" width="12.796875" style="311" customWidth="1"/>
    <col min="1805" max="2048" width="9.796875" style="311"/>
    <col min="2049" max="2049" width="7.3984375" style="311" customWidth="1"/>
    <col min="2050" max="2050" width="10.796875" style="311" customWidth="1"/>
    <col min="2051" max="2051" width="11.3984375" style="311" customWidth="1"/>
    <col min="2052" max="2053" width="10.796875" style="311" customWidth="1"/>
    <col min="2054" max="2055" width="10.19921875" style="311" customWidth="1"/>
    <col min="2056" max="2056" width="11.19921875" style="311" customWidth="1"/>
    <col min="2057" max="2057" width="9.3984375" style="311" customWidth="1"/>
    <col min="2058" max="2058" width="2" style="311" customWidth="1"/>
    <col min="2059" max="2059" width="12" style="311" customWidth="1"/>
    <col min="2060" max="2060" width="12.796875" style="311" customWidth="1"/>
    <col min="2061" max="2304" width="9.796875" style="311"/>
    <col min="2305" max="2305" width="7.3984375" style="311" customWidth="1"/>
    <col min="2306" max="2306" width="10.796875" style="311" customWidth="1"/>
    <col min="2307" max="2307" width="11.3984375" style="311" customWidth="1"/>
    <col min="2308" max="2309" width="10.796875" style="311" customWidth="1"/>
    <col min="2310" max="2311" width="10.19921875" style="311" customWidth="1"/>
    <col min="2312" max="2312" width="11.19921875" style="311" customWidth="1"/>
    <col min="2313" max="2313" width="9.3984375" style="311" customWidth="1"/>
    <col min="2314" max="2314" width="2" style="311" customWidth="1"/>
    <col min="2315" max="2315" width="12" style="311" customWidth="1"/>
    <col min="2316" max="2316" width="12.796875" style="311" customWidth="1"/>
    <col min="2317" max="2560" width="9.796875" style="311"/>
    <col min="2561" max="2561" width="7.3984375" style="311" customWidth="1"/>
    <col min="2562" max="2562" width="10.796875" style="311" customWidth="1"/>
    <col min="2563" max="2563" width="11.3984375" style="311" customWidth="1"/>
    <col min="2564" max="2565" width="10.796875" style="311" customWidth="1"/>
    <col min="2566" max="2567" width="10.19921875" style="311" customWidth="1"/>
    <col min="2568" max="2568" width="11.19921875" style="311" customWidth="1"/>
    <col min="2569" max="2569" width="9.3984375" style="311" customWidth="1"/>
    <col min="2570" max="2570" width="2" style="311" customWidth="1"/>
    <col min="2571" max="2571" width="12" style="311" customWidth="1"/>
    <col min="2572" max="2572" width="12.796875" style="311" customWidth="1"/>
    <col min="2573" max="2816" width="9.796875" style="311"/>
    <col min="2817" max="2817" width="7.3984375" style="311" customWidth="1"/>
    <col min="2818" max="2818" width="10.796875" style="311" customWidth="1"/>
    <col min="2819" max="2819" width="11.3984375" style="311" customWidth="1"/>
    <col min="2820" max="2821" width="10.796875" style="311" customWidth="1"/>
    <col min="2822" max="2823" width="10.19921875" style="311" customWidth="1"/>
    <col min="2824" max="2824" width="11.19921875" style="311" customWidth="1"/>
    <col min="2825" max="2825" width="9.3984375" style="311" customWidth="1"/>
    <col min="2826" max="2826" width="2" style="311" customWidth="1"/>
    <col min="2827" max="2827" width="12" style="311" customWidth="1"/>
    <col min="2828" max="2828" width="12.796875" style="311" customWidth="1"/>
    <col min="2829" max="3072" width="9.796875" style="311"/>
    <col min="3073" max="3073" width="7.3984375" style="311" customWidth="1"/>
    <col min="3074" max="3074" width="10.796875" style="311" customWidth="1"/>
    <col min="3075" max="3075" width="11.3984375" style="311" customWidth="1"/>
    <col min="3076" max="3077" width="10.796875" style="311" customWidth="1"/>
    <col min="3078" max="3079" width="10.19921875" style="311" customWidth="1"/>
    <col min="3080" max="3080" width="11.19921875" style="311" customWidth="1"/>
    <col min="3081" max="3081" width="9.3984375" style="311" customWidth="1"/>
    <col min="3082" max="3082" width="2" style="311" customWidth="1"/>
    <col min="3083" max="3083" width="12" style="311" customWidth="1"/>
    <col min="3084" max="3084" width="12.796875" style="311" customWidth="1"/>
    <col min="3085" max="3328" width="9.796875" style="311"/>
    <col min="3329" max="3329" width="7.3984375" style="311" customWidth="1"/>
    <col min="3330" max="3330" width="10.796875" style="311" customWidth="1"/>
    <col min="3331" max="3331" width="11.3984375" style="311" customWidth="1"/>
    <col min="3332" max="3333" width="10.796875" style="311" customWidth="1"/>
    <col min="3334" max="3335" width="10.19921875" style="311" customWidth="1"/>
    <col min="3336" max="3336" width="11.19921875" style="311" customWidth="1"/>
    <col min="3337" max="3337" width="9.3984375" style="311" customWidth="1"/>
    <col min="3338" max="3338" width="2" style="311" customWidth="1"/>
    <col min="3339" max="3339" width="12" style="311" customWidth="1"/>
    <col min="3340" max="3340" width="12.796875" style="311" customWidth="1"/>
    <col min="3341" max="3584" width="9.796875" style="311"/>
    <col min="3585" max="3585" width="7.3984375" style="311" customWidth="1"/>
    <col min="3586" max="3586" width="10.796875" style="311" customWidth="1"/>
    <col min="3587" max="3587" width="11.3984375" style="311" customWidth="1"/>
    <col min="3588" max="3589" width="10.796875" style="311" customWidth="1"/>
    <col min="3590" max="3591" width="10.19921875" style="311" customWidth="1"/>
    <col min="3592" max="3592" width="11.19921875" style="311" customWidth="1"/>
    <col min="3593" max="3593" width="9.3984375" style="311" customWidth="1"/>
    <col min="3594" max="3594" width="2" style="311" customWidth="1"/>
    <col min="3595" max="3595" width="12" style="311" customWidth="1"/>
    <col min="3596" max="3596" width="12.796875" style="311" customWidth="1"/>
    <col min="3597" max="3840" width="9.796875" style="311"/>
    <col min="3841" max="3841" width="7.3984375" style="311" customWidth="1"/>
    <col min="3842" max="3842" width="10.796875" style="311" customWidth="1"/>
    <col min="3843" max="3843" width="11.3984375" style="311" customWidth="1"/>
    <col min="3844" max="3845" width="10.796875" style="311" customWidth="1"/>
    <col min="3846" max="3847" width="10.19921875" style="311" customWidth="1"/>
    <col min="3848" max="3848" width="11.19921875" style="311" customWidth="1"/>
    <col min="3849" max="3849" width="9.3984375" style="311" customWidth="1"/>
    <col min="3850" max="3850" width="2" style="311" customWidth="1"/>
    <col min="3851" max="3851" width="12" style="311" customWidth="1"/>
    <col min="3852" max="3852" width="12.796875" style="311" customWidth="1"/>
    <col min="3853" max="4096" width="9.796875" style="311"/>
    <col min="4097" max="4097" width="7.3984375" style="311" customWidth="1"/>
    <col min="4098" max="4098" width="10.796875" style="311" customWidth="1"/>
    <col min="4099" max="4099" width="11.3984375" style="311" customWidth="1"/>
    <col min="4100" max="4101" width="10.796875" style="311" customWidth="1"/>
    <col min="4102" max="4103" width="10.19921875" style="311" customWidth="1"/>
    <col min="4104" max="4104" width="11.19921875" style="311" customWidth="1"/>
    <col min="4105" max="4105" width="9.3984375" style="311" customWidth="1"/>
    <col min="4106" max="4106" width="2" style="311" customWidth="1"/>
    <col min="4107" max="4107" width="12" style="311" customWidth="1"/>
    <col min="4108" max="4108" width="12.796875" style="311" customWidth="1"/>
    <col min="4109" max="4352" width="9.796875" style="311"/>
    <col min="4353" max="4353" width="7.3984375" style="311" customWidth="1"/>
    <col min="4354" max="4354" width="10.796875" style="311" customWidth="1"/>
    <col min="4355" max="4355" width="11.3984375" style="311" customWidth="1"/>
    <col min="4356" max="4357" width="10.796875" style="311" customWidth="1"/>
    <col min="4358" max="4359" width="10.19921875" style="311" customWidth="1"/>
    <col min="4360" max="4360" width="11.19921875" style="311" customWidth="1"/>
    <col min="4361" max="4361" width="9.3984375" style="311" customWidth="1"/>
    <col min="4362" max="4362" width="2" style="311" customWidth="1"/>
    <col min="4363" max="4363" width="12" style="311" customWidth="1"/>
    <col min="4364" max="4364" width="12.796875" style="311" customWidth="1"/>
    <col min="4365" max="4608" width="9.796875" style="311"/>
    <col min="4609" max="4609" width="7.3984375" style="311" customWidth="1"/>
    <col min="4610" max="4610" width="10.796875" style="311" customWidth="1"/>
    <col min="4611" max="4611" width="11.3984375" style="311" customWidth="1"/>
    <col min="4612" max="4613" width="10.796875" style="311" customWidth="1"/>
    <col min="4614" max="4615" width="10.19921875" style="311" customWidth="1"/>
    <col min="4616" max="4616" width="11.19921875" style="311" customWidth="1"/>
    <col min="4617" max="4617" width="9.3984375" style="311" customWidth="1"/>
    <col min="4618" max="4618" width="2" style="311" customWidth="1"/>
    <col min="4619" max="4619" width="12" style="311" customWidth="1"/>
    <col min="4620" max="4620" width="12.796875" style="311" customWidth="1"/>
    <col min="4621" max="4864" width="9.796875" style="311"/>
    <col min="4865" max="4865" width="7.3984375" style="311" customWidth="1"/>
    <col min="4866" max="4866" width="10.796875" style="311" customWidth="1"/>
    <col min="4867" max="4867" width="11.3984375" style="311" customWidth="1"/>
    <col min="4868" max="4869" width="10.796875" style="311" customWidth="1"/>
    <col min="4870" max="4871" width="10.19921875" style="311" customWidth="1"/>
    <col min="4872" max="4872" width="11.19921875" style="311" customWidth="1"/>
    <col min="4873" max="4873" width="9.3984375" style="311" customWidth="1"/>
    <col min="4874" max="4874" width="2" style="311" customWidth="1"/>
    <col min="4875" max="4875" width="12" style="311" customWidth="1"/>
    <col min="4876" max="4876" width="12.796875" style="311" customWidth="1"/>
    <col min="4877" max="5120" width="9.796875" style="311"/>
    <col min="5121" max="5121" width="7.3984375" style="311" customWidth="1"/>
    <col min="5122" max="5122" width="10.796875" style="311" customWidth="1"/>
    <col min="5123" max="5123" width="11.3984375" style="311" customWidth="1"/>
    <col min="5124" max="5125" width="10.796875" style="311" customWidth="1"/>
    <col min="5126" max="5127" width="10.19921875" style="311" customWidth="1"/>
    <col min="5128" max="5128" width="11.19921875" style="311" customWidth="1"/>
    <col min="5129" max="5129" width="9.3984375" style="311" customWidth="1"/>
    <col min="5130" max="5130" width="2" style="311" customWidth="1"/>
    <col min="5131" max="5131" width="12" style="311" customWidth="1"/>
    <col min="5132" max="5132" width="12.796875" style="311" customWidth="1"/>
    <col min="5133" max="5376" width="9.796875" style="311"/>
    <col min="5377" max="5377" width="7.3984375" style="311" customWidth="1"/>
    <col min="5378" max="5378" width="10.796875" style="311" customWidth="1"/>
    <col min="5379" max="5379" width="11.3984375" style="311" customWidth="1"/>
    <col min="5380" max="5381" width="10.796875" style="311" customWidth="1"/>
    <col min="5382" max="5383" width="10.19921875" style="311" customWidth="1"/>
    <col min="5384" max="5384" width="11.19921875" style="311" customWidth="1"/>
    <col min="5385" max="5385" width="9.3984375" style="311" customWidth="1"/>
    <col min="5386" max="5386" width="2" style="311" customWidth="1"/>
    <col min="5387" max="5387" width="12" style="311" customWidth="1"/>
    <col min="5388" max="5388" width="12.796875" style="311" customWidth="1"/>
    <col min="5389" max="5632" width="9.796875" style="311"/>
    <col min="5633" max="5633" width="7.3984375" style="311" customWidth="1"/>
    <col min="5634" max="5634" width="10.796875" style="311" customWidth="1"/>
    <col min="5635" max="5635" width="11.3984375" style="311" customWidth="1"/>
    <col min="5636" max="5637" width="10.796875" style="311" customWidth="1"/>
    <col min="5638" max="5639" width="10.19921875" style="311" customWidth="1"/>
    <col min="5640" max="5640" width="11.19921875" style="311" customWidth="1"/>
    <col min="5641" max="5641" width="9.3984375" style="311" customWidth="1"/>
    <col min="5642" max="5642" width="2" style="311" customWidth="1"/>
    <col min="5643" max="5643" width="12" style="311" customWidth="1"/>
    <col min="5644" max="5644" width="12.796875" style="311" customWidth="1"/>
    <col min="5645" max="5888" width="9.796875" style="311"/>
    <col min="5889" max="5889" width="7.3984375" style="311" customWidth="1"/>
    <col min="5890" max="5890" width="10.796875" style="311" customWidth="1"/>
    <col min="5891" max="5891" width="11.3984375" style="311" customWidth="1"/>
    <col min="5892" max="5893" width="10.796875" style="311" customWidth="1"/>
    <col min="5894" max="5895" width="10.19921875" style="311" customWidth="1"/>
    <col min="5896" max="5896" width="11.19921875" style="311" customWidth="1"/>
    <col min="5897" max="5897" width="9.3984375" style="311" customWidth="1"/>
    <col min="5898" max="5898" width="2" style="311" customWidth="1"/>
    <col min="5899" max="5899" width="12" style="311" customWidth="1"/>
    <col min="5900" max="5900" width="12.796875" style="311" customWidth="1"/>
    <col min="5901" max="6144" width="9.796875" style="311"/>
    <col min="6145" max="6145" width="7.3984375" style="311" customWidth="1"/>
    <col min="6146" max="6146" width="10.796875" style="311" customWidth="1"/>
    <col min="6147" max="6147" width="11.3984375" style="311" customWidth="1"/>
    <col min="6148" max="6149" width="10.796875" style="311" customWidth="1"/>
    <col min="6150" max="6151" width="10.19921875" style="311" customWidth="1"/>
    <col min="6152" max="6152" width="11.19921875" style="311" customWidth="1"/>
    <col min="6153" max="6153" width="9.3984375" style="311" customWidth="1"/>
    <col min="6154" max="6154" width="2" style="311" customWidth="1"/>
    <col min="6155" max="6155" width="12" style="311" customWidth="1"/>
    <col min="6156" max="6156" width="12.796875" style="311" customWidth="1"/>
    <col min="6157" max="6400" width="9.796875" style="311"/>
    <col min="6401" max="6401" width="7.3984375" style="311" customWidth="1"/>
    <col min="6402" max="6402" width="10.796875" style="311" customWidth="1"/>
    <col min="6403" max="6403" width="11.3984375" style="311" customWidth="1"/>
    <col min="6404" max="6405" width="10.796875" style="311" customWidth="1"/>
    <col min="6406" max="6407" width="10.19921875" style="311" customWidth="1"/>
    <col min="6408" max="6408" width="11.19921875" style="311" customWidth="1"/>
    <col min="6409" max="6409" width="9.3984375" style="311" customWidth="1"/>
    <col min="6410" max="6410" width="2" style="311" customWidth="1"/>
    <col min="6411" max="6411" width="12" style="311" customWidth="1"/>
    <col min="6412" max="6412" width="12.796875" style="311" customWidth="1"/>
    <col min="6413" max="6656" width="9.796875" style="311"/>
    <col min="6657" max="6657" width="7.3984375" style="311" customWidth="1"/>
    <col min="6658" max="6658" width="10.796875" style="311" customWidth="1"/>
    <col min="6659" max="6659" width="11.3984375" style="311" customWidth="1"/>
    <col min="6660" max="6661" width="10.796875" style="311" customWidth="1"/>
    <col min="6662" max="6663" width="10.19921875" style="311" customWidth="1"/>
    <col min="6664" max="6664" width="11.19921875" style="311" customWidth="1"/>
    <col min="6665" max="6665" width="9.3984375" style="311" customWidth="1"/>
    <col min="6666" max="6666" width="2" style="311" customWidth="1"/>
    <col min="6667" max="6667" width="12" style="311" customWidth="1"/>
    <col min="6668" max="6668" width="12.796875" style="311" customWidth="1"/>
    <col min="6669" max="6912" width="9.796875" style="311"/>
    <col min="6913" max="6913" width="7.3984375" style="311" customWidth="1"/>
    <col min="6914" max="6914" width="10.796875" style="311" customWidth="1"/>
    <col min="6915" max="6915" width="11.3984375" style="311" customWidth="1"/>
    <col min="6916" max="6917" width="10.796875" style="311" customWidth="1"/>
    <col min="6918" max="6919" width="10.19921875" style="311" customWidth="1"/>
    <col min="6920" max="6920" width="11.19921875" style="311" customWidth="1"/>
    <col min="6921" max="6921" width="9.3984375" style="311" customWidth="1"/>
    <col min="6922" max="6922" width="2" style="311" customWidth="1"/>
    <col min="6923" max="6923" width="12" style="311" customWidth="1"/>
    <col min="6924" max="6924" width="12.796875" style="311" customWidth="1"/>
    <col min="6925" max="7168" width="9.796875" style="311"/>
    <col min="7169" max="7169" width="7.3984375" style="311" customWidth="1"/>
    <col min="7170" max="7170" width="10.796875" style="311" customWidth="1"/>
    <col min="7171" max="7171" width="11.3984375" style="311" customWidth="1"/>
    <col min="7172" max="7173" width="10.796875" style="311" customWidth="1"/>
    <col min="7174" max="7175" width="10.19921875" style="311" customWidth="1"/>
    <col min="7176" max="7176" width="11.19921875" style="311" customWidth="1"/>
    <col min="7177" max="7177" width="9.3984375" style="311" customWidth="1"/>
    <col min="7178" max="7178" width="2" style="311" customWidth="1"/>
    <col min="7179" max="7179" width="12" style="311" customWidth="1"/>
    <col min="7180" max="7180" width="12.796875" style="311" customWidth="1"/>
    <col min="7181" max="7424" width="9.796875" style="311"/>
    <col min="7425" max="7425" width="7.3984375" style="311" customWidth="1"/>
    <col min="7426" max="7426" width="10.796875" style="311" customWidth="1"/>
    <col min="7427" max="7427" width="11.3984375" style="311" customWidth="1"/>
    <col min="7428" max="7429" width="10.796875" style="311" customWidth="1"/>
    <col min="7430" max="7431" width="10.19921875" style="311" customWidth="1"/>
    <col min="7432" max="7432" width="11.19921875" style="311" customWidth="1"/>
    <col min="7433" max="7433" width="9.3984375" style="311" customWidth="1"/>
    <col min="7434" max="7434" width="2" style="311" customWidth="1"/>
    <col min="7435" max="7435" width="12" style="311" customWidth="1"/>
    <col min="7436" max="7436" width="12.796875" style="311" customWidth="1"/>
    <col min="7437" max="7680" width="9.796875" style="311"/>
    <col min="7681" max="7681" width="7.3984375" style="311" customWidth="1"/>
    <col min="7682" max="7682" width="10.796875" style="311" customWidth="1"/>
    <col min="7683" max="7683" width="11.3984375" style="311" customWidth="1"/>
    <col min="7684" max="7685" width="10.796875" style="311" customWidth="1"/>
    <col min="7686" max="7687" width="10.19921875" style="311" customWidth="1"/>
    <col min="7688" max="7688" width="11.19921875" style="311" customWidth="1"/>
    <col min="7689" max="7689" width="9.3984375" style="311" customWidth="1"/>
    <col min="7690" max="7690" width="2" style="311" customWidth="1"/>
    <col min="7691" max="7691" width="12" style="311" customWidth="1"/>
    <col min="7692" max="7692" width="12.796875" style="311" customWidth="1"/>
    <col min="7693" max="7936" width="9.796875" style="311"/>
    <col min="7937" max="7937" width="7.3984375" style="311" customWidth="1"/>
    <col min="7938" max="7938" width="10.796875" style="311" customWidth="1"/>
    <col min="7939" max="7939" width="11.3984375" style="311" customWidth="1"/>
    <col min="7940" max="7941" width="10.796875" style="311" customWidth="1"/>
    <col min="7942" max="7943" width="10.19921875" style="311" customWidth="1"/>
    <col min="7944" max="7944" width="11.19921875" style="311" customWidth="1"/>
    <col min="7945" max="7945" width="9.3984375" style="311" customWidth="1"/>
    <col min="7946" max="7946" width="2" style="311" customWidth="1"/>
    <col min="7947" max="7947" width="12" style="311" customWidth="1"/>
    <col min="7948" max="7948" width="12.796875" style="311" customWidth="1"/>
    <col min="7949" max="8192" width="9.796875" style="311"/>
    <col min="8193" max="8193" width="7.3984375" style="311" customWidth="1"/>
    <col min="8194" max="8194" width="10.796875" style="311" customWidth="1"/>
    <col min="8195" max="8195" width="11.3984375" style="311" customWidth="1"/>
    <col min="8196" max="8197" width="10.796875" style="311" customWidth="1"/>
    <col min="8198" max="8199" width="10.19921875" style="311" customWidth="1"/>
    <col min="8200" max="8200" width="11.19921875" style="311" customWidth="1"/>
    <col min="8201" max="8201" width="9.3984375" style="311" customWidth="1"/>
    <col min="8202" max="8202" width="2" style="311" customWidth="1"/>
    <col min="8203" max="8203" width="12" style="311" customWidth="1"/>
    <col min="8204" max="8204" width="12.796875" style="311" customWidth="1"/>
    <col min="8205" max="8448" width="9.796875" style="311"/>
    <col min="8449" max="8449" width="7.3984375" style="311" customWidth="1"/>
    <col min="8450" max="8450" width="10.796875" style="311" customWidth="1"/>
    <col min="8451" max="8451" width="11.3984375" style="311" customWidth="1"/>
    <col min="8452" max="8453" width="10.796875" style="311" customWidth="1"/>
    <col min="8454" max="8455" width="10.19921875" style="311" customWidth="1"/>
    <col min="8456" max="8456" width="11.19921875" style="311" customWidth="1"/>
    <col min="8457" max="8457" width="9.3984375" style="311" customWidth="1"/>
    <col min="8458" max="8458" width="2" style="311" customWidth="1"/>
    <col min="8459" max="8459" width="12" style="311" customWidth="1"/>
    <col min="8460" max="8460" width="12.796875" style="311" customWidth="1"/>
    <col min="8461" max="8704" width="9.796875" style="311"/>
    <col min="8705" max="8705" width="7.3984375" style="311" customWidth="1"/>
    <col min="8706" max="8706" width="10.796875" style="311" customWidth="1"/>
    <col min="8707" max="8707" width="11.3984375" style="311" customWidth="1"/>
    <col min="8708" max="8709" width="10.796875" style="311" customWidth="1"/>
    <col min="8710" max="8711" width="10.19921875" style="311" customWidth="1"/>
    <col min="8712" max="8712" width="11.19921875" style="311" customWidth="1"/>
    <col min="8713" max="8713" width="9.3984375" style="311" customWidth="1"/>
    <col min="8714" max="8714" width="2" style="311" customWidth="1"/>
    <col min="8715" max="8715" width="12" style="311" customWidth="1"/>
    <col min="8716" max="8716" width="12.796875" style="311" customWidth="1"/>
    <col min="8717" max="8960" width="9.796875" style="311"/>
    <col min="8961" max="8961" width="7.3984375" style="311" customWidth="1"/>
    <col min="8962" max="8962" width="10.796875" style="311" customWidth="1"/>
    <col min="8963" max="8963" width="11.3984375" style="311" customWidth="1"/>
    <col min="8964" max="8965" width="10.796875" style="311" customWidth="1"/>
    <col min="8966" max="8967" width="10.19921875" style="311" customWidth="1"/>
    <col min="8968" max="8968" width="11.19921875" style="311" customWidth="1"/>
    <col min="8969" max="8969" width="9.3984375" style="311" customWidth="1"/>
    <col min="8970" max="8970" width="2" style="311" customWidth="1"/>
    <col min="8971" max="8971" width="12" style="311" customWidth="1"/>
    <col min="8972" max="8972" width="12.796875" style="311" customWidth="1"/>
    <col min="8973" max="9216" width="9.796875" style="311"/>
    <col min="9217" max="9217" width="7.3984375" style="311" customWidth="1"/>
    <col min="9218" max="9218" width="10.796875" style="311" customWidth="1"/>
    <col min="9219" max="9219" width="11.3984375" style="311" customWidth="1"/>
    <col min="9220" max="9221" width="10.796875" style="311" customWidth="1"/>
    <col min="9222" max="9223" width="10.19921875" style="311" customWidth="1"/>
    <col min="9224" max="9224" width="11.19921875" style="311" customWidth="1"/>
    <col min="9225" max="9225" width="9.3984375" style="311" customWidth="1"/>
    <col min="9226" max="9226" width="2" style="311" customWidth="1"/>
    <col min="9227" max="9227" width="12" style="311" customWidth="1"/>
    <col min="9228" max="9228" width="12.796875" style="311" customWidth="1"/>
    <col min="9229" max="9472" width="9.796875" style="311"/>
    <col min="9473" max="9473" width="7.3984375" style="311" customWidth="1"/>
    <col min="9474" max="9474" width="10.796875" style="311" customWidth="1"/>
    <col min="9475" max="9475" width="11.3984375" style="311" customWidth="1"/>
    <col min="9476" max="9477" width="10.796875" style="311" customWidth="1"/>
    <col min="9478" max="9479" width="10.19921875" style="311" customWidth="1"/>
    <col min="9480" max="9480" width="11.19921875" style="311" customWidth="1"/>
    <col min="9481" max="9481" width="9.3984375" style="311" customWidth="1"/>
    <col min="9482" max="9482" width="2" style="311" customWidth="1"/>
    <col min="9483" max="9483" width="12" style="311" customWidth="1"/>
    <col min="9484" max="9484" width="12.796875" style="311" customWidth="1"/>
    <col min="9485" max="9728" width="9.796875" style="311"/>
    <col min="9729" max="9729" width="7.3984375" style="311" customWidth="1"/>
    <col min="9730" max="9730" width="10.796875" style="311" customWidth="1"/>
    <col min="9731" max="9731" width="11.3984375" style="311" customWidth="1"/>
    <col min="9732" max="9733" width="10.796875" style="311" customWidth="1"/>
    <col min="9734" max="9735" width="10.19921875" style="311" customWidth="1"/>
    <col min="9736" max="9736" width="11.19921875" style="311" customWidth="1"/>
    <col min="9737" max="9737" width="9.3984375" style="311" customWidth="1"/>
    <col min="9738" max="9738" width="2" style="311" customWidth="1"/>
    <col min="9739" max="9739" width="12" style="311" customWidth="1"/>
    <col min="9740" max="9740" width="12.796875" style="311" customWidth="1"/>
    <col min="9741" max="9984" width="9.796875" style="311"/>
    <col min="9985" max="9985" width="7.3984375" style="311" customWidth="1"/>
    <col min="9986" max="9986" width="10.796875" style="311" customWidth="1"/>
    <col min="9987" max="9987" width="11.3984375" style="311" customWidth="1"/>
    <col min="9988" max="9989" width="10.796875" style="311" customWidth="1"/>
    <col min="9990" max="9991" width="10.19921875" style="311" customWidth="1"/>
    <col min="9992" max="9992" width="11.19921875" style="311" customWidth="1"/>
    <col min="9993" max="9993" width="9.3984375" style="311" customWidth="1"/>
    <col min="9994" max="9994" width="2" style="311" customWidth="1"/>
    <col min="9995" max="9995" width="12" style="311" customWidth="1"/>
    <col min="9996" max="9996" width="12.796875" style="311" customWidth="1"/>
    <col min="9997" max="10240" width="9.796875" style="311"/>
    <col min="10241" max="10241" width="7.3984375" style="311" customWidth="1"/>
    <col min="10242" max="10242" width="10.796875" style="311" customWidth="1"/>
    <col min="10243" max="10243" width="11.3984375" style="311" customWidth="1"/>
    <col min="10244" max="10245" width="10.796875" style="311" customWidth="1"/>
    <col min="10246" max="10247" width="10.19921875" style="311" customWidth="1"/>
    <col min="10248" max="10248" width="11.19921875" style="311" customWidth="1"/>
    <col min="10249" max="10249" width="9.3984375" style="311" customWidth="1"/>
    <col min="10250" max="10250" width="2" style="311" customWidth="1"/>
    <col min="10251" max="10251" width="12" style="311" customWidth="1"/>
    <col min="10252" max="10252" width="12.796875" style="311" customWidth="1"/>
    <col min="10253" max="10496" width="9.796875" style="311"/>
    <col min="10497" max="10497" width="7.3984375" style="311" customWidth="1"/>
    <col min="10498" max="10498" width="10.796875" style="311" customWidth="1"/>
    <col min="10499" max="10499" width="11.3984375" style="311" customWidth="1"/>
    <col min="10500" max="10501" width="10.796875" style="311" customWidth="1"/>
    <col min="10502" max="10503" width="10.19921875" style="311" customWidth="1"/>
    <col min="10504" max="10504" width="11.19921875" style="311" customWidth="1"/>
    <col min="10505" max="10505" width="9.3984375" style="311" customWidth="1"/>
    <col min="10506" max="10506" width="2" style="311" customWidth="1"/>
    <col min="10507" max="10507" width="12" style="311" customWidth="1"/>
    <col min="10508" max="10508" width="12.796875" style="311" customWidth="1"/>
    <col min="10509" max="10752" width="9.796875" style="311"/>
    <col min="10753" max="10753" width="7.3984375" style="311" customWidth="1"/>
    <col min="10754" max="10754" width="10.796875" style="311" customWidth="1"/>
    <col min="10755" max="10755" width="11.3984375" style="311" customWidth="1"/>
    <col min="10756" max="10757" width="10.796875" style="311" customWidth="1"/>
    <col min="10758" max="10759" width="10.19921875" style="311" customWidth="1"/>
    <col min="10760" max="10760" width="11.19921875" style="311" customWidth="1"/>
    <col min="10761" max="10761" width="9.3984375" style="311" customWidth="1"/>
    <col min="10762" max="10762" width="2" style="311" customWidth="1"/>
    <col min="10763" max="10763" width="12" style="311" customWidth="1"/>
    <col min="10764" max="10764" width="12.796875" style="311" customWidth="1"/>
    <col min="10765" max="11008" width="9.796875" style="311"/>
    <col min="11009" max="11009" width="7.3984375" style="311" customWidth="1"/>
    <col min="11010" max="11010" width="10.796875" style="311" customWidth="1"/>
    <col min="11011" max="11011" width="11.3984375" style="311" customWidth="1"/>
    <col min="11012" max="11013" width="10.796875" style="311" customWidth="1"/>
    <col min="11014" max="11015" width="10.19921875" style="311" customWidth="1"/>
    <col min="11016" max="11016" width="11.19921875" style="311" customWidth="1"/>
    <col min="11017" max="11017" width="9.3984375" style="311" customWidth="1"/>
    <col min="11018" max="11018" width="2" style="311" customWidth="1"/>
    <col min="11019" max="11019" width="12" style="311" customWidth="1"/>
    <col min="11020" max="11020" width="12.796875" style="311" customWidth="1"/>
    <col min="11021" max="11264" width="9.796875" style="311"/>
    <col min="11265" max="11265" width="7.3984375" style="311" customWidth="1"/>
    <col min="11266" max="11266" width="10.796875" style="311" customWidth="1"/>
    <col min="11267" max="11267" width="11.3984375" style="311" customWidth="1"/>
    <col min="11268" max="11269" width="10.796875" style="311" customWidth="1"/>
    <col min="11270" max="11271" width="10.19921875" style="311" customWidth="1"/>
    <col min="11272" max="11272" width="11.19921875" style="311" customWidth="1"/>
    <col min="11273" max="11273" width="9.3984375" style="311" customWidth="1"/>
    <col min="11274" max="11274" width="2" style="311" customWidth="1"/>
    <col min="11275" max="11275" width="12" style="311" customWidth="1"/>
    <col min="11276" max="11276" width="12.796875" style="311" customWidth="1"/>
    <col min="11277" max="11520" width="9.796875" style="311"/>
    <col min="11521" max="11521" width="7.3984375" style="311" customWidth="1"/>
    <col min="11522" max="11522" width="10.796875" style="311" customWidth="1"/>
    <col min="11523" max="11523" width="11.3984375" style="311" customWidth="1"/>
    <col min="11524" max="11525" width="10.796875" style="311" customWidth="1"/>
    <col min="11526" max="11527" width="10.19921875" style="311" customWidth="1"/>
    <col min="11528" max="11528" width="11.19921875" style="311" customWidth="1"/>
    <col min="11529" max="11529" width="9.3984375" style="311" customWidth="1"/>
    <col min="11530" max="11530" width="2" style="311" customWidth="1"/>
    <col min="11531" max="11531" width="12" style="311" customWidth="1"/>
    <col min="11532" max="11532" width="12.796875" style="311" customWidth="1"/>
    <col min="11533" max="11776" width="9.796875" style="311"/>
    <col min="11777" max="11777" width="7.3984375" style="311" customWidth="1"/>
    <col min="11778" max="11778" width="10.796875" style="311" customWidth="1"/>
    <col min="11779" max="11779" width="11.3984375" style="311" customWidth="1"/>
    <col min="11780" max="11781" width="10.796875" style="311" customWidth="1"/>
    <col min="11782" max="11783" width="10.19921875" style="311" customWidth="1"/>
    <col min="11784" max="11784" width="11.19921875" style="311" customWidth="1"/>
    <col min="11785" max="11785" width="9.3984375" style="311" customWidth="1"/>
    <col min="11786" max="11786" width="2" style="311" customWidth="1"/>
    <col min="11787" max="11787" width="12" style="311" customWidth="1"/>
    <col min="11788" max="11788" width="12.796875" style="311" customWidth="1"/>
    <col min="11789" max="12032" width="9.796875" style="311"/>
    <col min="12033" max="12033" width="7.3984375" style="311" customWidth="1"/>
    <col min="12034" max="12034" width="10.796875" style="311" customWidth="1"/>
    <col min="12035" max="12035" width="11.3984375" style="311" customWidth="1"/>
    <col min="12036" max="12037" width="10.796875" style="311" customWidth="1"/>
    <col min="12038" max="12039" width="10.19921875" style="311" customWidth="1"/>
    <col min="12040" max="12040" width="11.19921875" style="311" customWidth="1"/>
    <col min="12041" max="12041" width="9.3984375" style="311" customWidth="1"/>
    <col min="12042" max="12042" width="2" style="311" customWidth="1"/>
    <col min="12043" max="12043" width="12" style="311" customWidth="1"/>
    <col min="12044" max="12044" width="12.796875" style="311" customWidth="1"/>
    <col min="12045" max="12288" width="9.796875" style="311"/>
    <col min="12289" max="12289" width="7.3984375" style="311" customWidth="1"/>
    <col min="12290" max="12290" width="10.796875" style="311" customWidth="1"/>
    <col min="12291" max="12291" width="11.3984375" style="311" customWidth="1"/>
    <col min="12292" max="12293" width="10.796875" style="311" customWidth="1"/>
    <col min="12294" max="12295" width="10.19921875" style="311" customWidth="1"/>
    <col min="12296" max="12296" width="11.19921875" style="311" customWidth="1"/>
    <col min="12297" max="12297" width="9.3984375" style="311" customWidth="1"/>
    <col min="12298" max="12298" width="2" style="311" customWidth="1"/>
    <col min="12299" max="12299" width="12" style="311" customWidth="1"/>
    <col min="12300" max="12300" width="12.796875" style="311" customWidth="1"/>
    <col min="12301" max="12544" width="9.796875" style="311"/>
    <col min="12545" max="12545" width="7.3984375" style="311" customWidth="1"/>
    <col min="12546" max="12546" width="10.796875" style="311" customWidth="1"/>
    <col min="12547" max="12547" width="11.3984375" style="311" customWidth="1"/>
    <col min="12548" max="12549" width="10.796875" style="311" customWidth="1"/>
    <col min="12550" max="12551" width="10.19921875" style="311" customWidth="1"/>
    <col min="12552" max="12552" width="11.19921875" style="311" customWidth="1"/>
    <col min="12553" max="12553" width="9.3984375" style="311" customWidth="1"/>
    <col min="12554" max="12554" width="2" style="311" customWidth="1"/>
    <col min="12555" max="12555" width="12" style="311" customWidth="1"/>
    <col min="12556" max="12556" width="12.796875" style="311" customWidth="1"/>
    <col min="12557" max="12800" width="9.796875" style="311"/>
    <col min="12801" max="12801" width="7.3984375" style="311" customWidth="1"/>
    <col min="12802" max="12802" width="10.796875" style="311" customWidth="1"/>
    <col min="12803" max="12803" width="11.3984375" style="311" customWidth="1"/>
    <col min="12804" max="12805" width="10.796875" style="311" customWidth="1"/>
    <col min="12806" max="12807" width="10.19921875" style="311" customWidth="1"/>
    <col min="12808" max="12808" width="11.19921875" style="311" customWidth="1"/>
    <col min="12809" max="12809" width="9.3984375" style="311" customWidth="1"/>
    <col min="12810" max="12810" width="2" style="311" customWidth="1"/>
    <col min="12811" max="12811" width="12" style="311" customWidth="1"/>
    <col min="12812" max="12812" width="12.796875" style="311" customWidth="1"/>
    <col min="12813" max="13056" width="9.796875" style="311"/>
    <col min="13057" max="13057" width="7.3984375" style="311" customWidth="1"/>
    <col min="13058" max="13058" width="10.796875" style="311" customWidth="1"/>
    <col min="13059" max="13059" width="11.3984375" style="311" customWidth="1"/>
    <col min="13060" max="13061" width="10.796875" style="311" customWidth="1"/>
    <col min="13062" max="13063" width="10.19921875" style="311" customWidth="1"/>
    <col min="13064" max="13064" width="11.19921875" style="311" customWidth="1"/>
    <col min="13065" max="13065" width="9.3984375" style="311" customWidth="1"/>
    <col min="13066" max="13066" width="2" style="311" customWidth="1"/>
    <col min="13067" max="13067" width="12" style="311" customWidth="1"/>
    <col min="13068" max="13068" width="12.796875" style="311" customWidth="1"/>
    <col min="13069" max="13312" width="9.796875" style="311"/>
    <col min="13313" max="13313" width="7.3984375" style="311" customWidth="1"/>
    <col min="13314" max="13314" width="10.796875" style="311" customWidth="1"/>
    <col min="13315" max="13315" width="11.3984375" style="311" customWidth="1"/>
    <col min="13316" max="13317" width="10.796875" style="311" customWidth="1"/>
    <col min="13318" max="13319" width="10.19921875" style="311" customWidth="1"/>
    <col min="13320" max="13320" width="11.19921875" style="311" customWidth="1"/>
    <col min="13321" max="13321" width="9.3984375" style="311" customWidth="1"/>
    <col min="13322" max="13322" width="2" style="311" customWidth="1"/>
    <col min="13323" max="13323" width="12" style="311" customWidth="1"/>
    <col min="13324" max="13324" width="12.796875" style="311" customWidth="1"/>
    <col min="13325" max="13568" width="9.796875" style="311"/>
    <col min="13569" max="13569" width="7.3984375" style="311" customWidth="1"/>
    <col min="13570" max="13570" width="10.796875" style="311" customWidth="1"/>
    <col min="13571" max="13571" width="11.3984375" style="311" customWidth="1"/>
    <col min="13572" max="13573" width="10.796875" style="311" customWidth="1"/>
    <col min="13574" max="13575" width="10.19921875" style="311" customWidth="1"/>
    <col min="13576" max="13576" width="11.19921875" style="311" customWidth="1"/>
    <col min="13577" max="13577" width="9.3984375" style="311" customWidth="1"/>
    <col min="13578" max="13578" width="2" style="311" customWidth="1"/>
    <col min="13579" max="13579" width="12" style="311" customWidth="1"/>
    <col min="13580" max="13580" width="12.796875" style="311" customWidth="1"/>
    <col min="13581" max="13824" width="9.796875" style="311"/>
    <col min="13825" max="13825" width="7.3984375" style="311" customWidth="1"/>
    <col min="13826" max="13826" width="10.796875" style="311" customWidth="1"/>
    <col min="13827" max="13827" width="11.3984375" style="311" customWidth="1"/>
    <col min="13828" max="13829" width="10.796875" style="311" customWidth="1"/>
    <col min="13830" max="13831" width="10.19921875" style="311" customWidth="1"/>
    <col min="13832" max="13832" width="11.19921875" style="311" customWidth="1"/>
    <col min="13833" max="13833" width="9.3984375" style="311" customWidth="1"/>
    <col min="13834" max="13834" width="2" style="311" customWidth="1"/>
    <col min="13835" max="13835" width="12" style="311" customWidth="1"/>
    <col min="13836" max="13836" width="12.796875" style="311" customWidth="1"/>
    <col min="13837" max="14080" width="9.796875" style="311"/>
    <col min="14081" max="14081" width="7.3984375" style="311" customWidth="1"/>
    <col min="14082" max="14082" width="10.796875" style="311" customWidth="1"/>
    <col min="14083" max="14083" width="11.3984375" style="311" customWidth="1"/>
    <col min="14084" max="14085" width="10.796875" style="311" customWidth="1"/>
    <col min="14086" max="14087" width="10.19921875" style="311" customWidth="1"/>
    <col min="14088" max="14088" width="11.19921875" style="311" customWidth="1"/>
    <col min="14089" max="14089" width="9.3984375" style="311" customWidth="1"/>
    <col min="14090" max="14090" width="2" style="311" customWidth="1"/>
    <col min="14091" max="14091" width="12" style="311" customWidth="1"/>
    <col min="14092" max="14092" width="12.796875" style="311" customWidth="1"/>
    <col min="14093" max="14336" width="9.796875" style="311"/>
    <col min="14337" max="14337" width="7.3984375" style="311" customWidth="1"/>
    <col min="14338" max="14338" width="10.796875" style="311" customWidth="1"/>
    <col min="14339" max="14339" width="11.3984375" style="311" customWidth="1"/>
    <col min="14340" max="14341" width="10.796875" style="311" customWidth="1"/>
    <col min="14342" max="14343" width="10.19921875" style="311" customWidth="1"/>
    <col min="14344" max="14344" width="11.19921875" style="311" customWidth="1"/>
    <col min="14345" max="14345" width="9.3984375" style="311" customWidth="1"/>
    <col min="14346" max="14346" width="2" style="311" customWidth="1"/>
    <col min="14347" max="14347" width="12" style="311" customWidth="1"/>
    <col min="14348" max="14348" width="12.796875" style="311" customWidth="1"/>
    <col min="14349" max="14592" width="9.796875" style="311"/>
    <col min="14593" max="14593" width="7.3984375" style="311" customWidth="1"/>
    <col min="14594" max="14594" width="10.796875" style="311" customWidth="1"/>
    <col min="14595" max="14595" width="11.3984375" style="311" customWidth="1"/>
    <col min="14596" max="14597" width="10.796875" style="311" customWidth="1"/>
    <col min="14598" max="14599" width="10.19921875" style="311" customWidth="1"/>
    <col min="14600" max="14600" width="11.19921875" style="311" customWidth="1"/>
    <col min="14601" max="14601" width="9.3984375" style="311" customWidth="1"/>
    <col min="14602" max="14602" width="2" style="311" customWidth="1"/>
    <col min="14603" max="14603" width="12" style="311" customWidth="1"/>
    <col min="14604" max="14604" width="12.796875" style="311" customWidth="1"/>
    <col min="14605" max="14848" width="9.796875" style="311"/>
    <col min="14849" max="14849" width="7.3984375" style="311" customWidth="1"/>
    <col min="14850" max="14850" width="10.796875" style="311" customWidth="1"/>
    <col min="14851" max="14851" width="11.3984375" style="311" customWidth="1"/>
    <col min="14852" max="14853" width="10.796875" style="311" customWidth="1"/>
    <col min="14854" max="14855" width="10.19921875" style="311" customWidth="1"/>
    <col min="14856" max="14856" width="11.19921875" style="311" customWidth="1"/>
    <col min="14857" max="14857" width="9.3984375" style="311" customWidth="1"/>
    <col min="14858" max="14858" width="2" style="311" customWidth="1"/>
    <col min="14859" max="14859" width="12" style="311" customWidth="1"/>
    <col min="14860" max="14860" width="12.796875" style="311" customWidth="1"/>
    <col min="14861" max="15104" width="9.796875" style="311"/>
    <col min="15105" max="15105" width="7.3984375" style="311" customWidth="1"/>
    <col min="15106" max="15106" width="10.796875" style="311" customWidth="1"/>
    <col min="15107" max="15107" width="11.3984375" style="311" customWidth="1"/>
    <col min="15108" max="15109" width="10.796875" style="311" customWidth="1"/>
    <col min="15110" max="15111" width="10.19921875" style="311" customWidth="1"/>
    <col min="15112" max="15112" width="11.19921875" style="311" customWidth="1"/>
    <col min="15113" max="15113" width="9.3984375" style="311" customWidth="1"/>
    <col min="15114" max="15114" width="2" style="311" customWidth="1"/>
    <col min="15115" max="15115" width="12" style="311" customWidth="1"/>
    <col min="15116" max="15116" width="12.796875" style="311" customWidth="1"/>
    <col min="15117" max="15360" width="9.796875" style="311"/>
    <col min="15361" max="15361" width="7.3984375" style="311" customWidth="1"/>
    <col min="15362" max="15362" width="10.796875" style="311" customWidth="1"/>
    <col min="15363" max="15363" width="11.3984375" style="311" customWidth="1"/>
    <col min="15364" max="15365" width="10.796875" style="311" customWidth="1"/>
    <col min="15366" max="15367" width="10.19921875" style="311" customWidth="1"/>
    <col min="15368" max="15368" width="11.19921875" style="311" customWidth="1"/>
    <col min="15369" max="15369" width="9.3984375" style="311" customWidth="1"/>
    <col min="15370" max="15370" width="2" style="311" customWidth="1"/>
    <col min="15371" max="15371" width="12" style="311" customWidth="1"/>
    <col min="15372" max="15372" width="12.796875" style="311" customWidth="1"/>
    <col min="15373" max="15616" width="9.796875" style="311"/>
    <col min="15617" max="15617" width="7.3984375" style="311" customWidth="1"/>
    <col min="15618" max="15618" width="10.796875" style="311" customWidth="1"/>
    <col min="15619" max="15619" width="11.3984375" style="311" customWidth="1"/>
    <col min="15620" max="15621" width="10.796875" style="311" customWidth="1"/>
    <col min="15622" max="15623" width="10.19921875" style="311" customWidth="1"/>
    <col min="15624" max="15624" width="11.19921875" style="311" customWidth="1"/>
    <col min="15625" max="15625" width="9.3984375" style="311" customWidth="1"/>
    <col min="15626" max="15626" width="2" style="311" customWidth="1"/>
    <col min="15627" max="15627" width="12" style="311" customWidth="1"/>
    <col min="15628" max="15628" width="12.796875" style="311" customWidth="1"/>
    <col min="15629" max="15872" width="9.796875" style="311"/>
    <col min="15873" max="15873" width="7.3984375" style="311" customWidth="1"/>
    <col min="15874" max="15874" width="10.796875" style="311" customWidth="1"/>
    <col min="15875" max="15875" width="11.3984375" style="311" customWidth="1"/>
    <col min="15876" max="15877" width="10.796875" style="311" customWidth="1"/>
    <col min="15878" max="15879" width="10.19921875" style="311" customWidth="1"/>
    <col min="15880" max="15880" width="11.19921875" style="311" customWidth="1"/>
    <col min="15881" max="15881" width="9.3984375" style="311" customWidth="1"/>
    <col min="15882" max="15882" width="2" style="311" customWidth="1"/>
    <col min="15883" max="15883" width="12" style="311" customWidth="1"/>
    <col min="15884" max="15884" width="12.796875" style="311" customWidth="1"/>
    <col min="15885" max="16128" width="9.796875" style="311"/>
    <col min="16129" max="16129" width="7.3984375" style="311" customWidth="1"/>
    <col min="16130" max="16130" width="10.796875" style="311" customWidth="1"/>
    <col min="16131" max="16131" width="11.3984375" style="311" customWidth="1"/>
    <col min="16132" max="16133" width="10.796875" style="311" customWidth="1"/>
    <col min="16134" max="16135" width="10.19921875" style="311" customWidth="1"/>
    <col min="16136" max="16136" width="11.19921875" style="311" customWidth="1"/>
    <col min="16137" max="16137" width="9.3984375" style="311" customWidth="1"/>
    <col min="16138" max="16138" width="2" style="311" customWidth="1"/>
    <col min="16139" max="16139" width="12" style="311" customWidth="1"/>
    <col min="16140" max="16140" width="12.796875" style="311" customWidth="1"/>
    <col min="16141" max="16384" width="9.796875" style="311"/>
  </cols>
  <sheetData>
    <row r="1" spans="1:11" ht="15" customHeight="1">
      <c r="G1" s="306"/>
    </row>
    <row r="2" spans="1:11" ht="14" customHeight="1">
      <c r="A2" s="285" t="s">
        <v>592</v>
      </c>
      <c r="B2" s="344"/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2" customHeight="1">
      <c r="A3" s="344" t="s">
        <v>259</v>
      </c>
      <c r="B3" s="344"/>
      <c r="C3" s="312"/>
      <c r="D3" s="312"/>
      <c r="E3" s="312"/>
      <c r="F3" s="312"/>
      <c r="G3" s="312"/>
      <c r="H3" s="312"/>
      <c r="I3" s="312"/>
      <c r="J3" s="312"/>
      <c r="K3" s="312"/>
    </row>
    <row r="4" spans="1:11" ht="4.25" customHeight="1" thickBot="1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12"/>
    </row>
    <row r="5" spans="1:11" ht="16" customHeight="1">
      <c r="A5" s="1033" t="s">
        <v>108</v>
      </c>
      <c r="B5" s="750" t="s">
        <v>106</v>
      </c>
      <c r="C5" s="1035" t="s">
        <v>111</v>
      </c>
      <c r="D5" s="1035"/>
      <c r="E5" s="1035"/>
      <c r="F5" s="1035"/>
      <c r="G5" s="1035"/>
      <c r="H5" s="1035"/>
      <c r="I5" s="1033" t="s">
        <v>258</v>
      </c>
      <c r="J5" s="1033" t="s">
        <v>14</v>
      </c>
    </row>
    <row r="6" spans="1:11" ht="16" customHeight="1">
      <c r="A6" s="1034"/>
      <c r="B6" s="752" t="s">
        <v>172</v>
      </c>
      <c r="C6" s="751" t="s">
        <v>251</v>
      </c>
      <c r="D6" s="751" t="s">
        <v>252</v>
      </c>
      <c r="E6" s="751" t="s">
        <v>253</v>
      </c>
      <c r="F6" s="751" t="s">
        <v>254</v>
      </c>
      <c r="G6" s="751" t="s">
        <v>255</v>
      </c>
      <c r="H6" s="751" t="s">
        <v>8</v>
      </c>
      <c r="I6" s="1034"/>
      <c r="J6" s="1034"/>
    </row>
    <row r="7" spans="1:11" ht="16" customHeight="1">
      <c r="A7" s="301">
        <v>2007</v>
      </c>
      <c r="B7" s="888">
        <f>(C7+E7+F7+G7+H7)</f>
        <v>609677.38</v>
      </c>
      <c r="C7" s="889">
        <v>508998.28</v>
      </c>
      <c r="D7" s="889">
        <v>478501</v>
      </c>
      <c r="E7" s="889">
        <v>1153.58</v>
      </c>
      <c r="F7" s="889">
        <v>33487.18</v>
      </c>
      <c r="G7" s="889">
        <v>65672.34</v>
      </c>
      <c r="H7" s="889">
        <v>366</v>
      </c>
      <c r="I7" s="889">
        <v>133445.57999999999</v>
      </c>
      <c r="J7" s="889">
        <v>122669</v>
      </c>
    </row>
    <row r="8" spans="1:11" ht="16" customHeight="1">
      <c r="A8" s="301">
        <v>2008</v>
      </c>
      <c r="B8" s="888">
        <f t="shared" ref="B8:B23" si="0">(C8+E8+F8+G8+H8)</f>
        <v>689767.96</v>
      </c>
      <c r="C8" s="889">
        <v>587333.59</v>
      </c>
      <c r="D8" s="889">
        <v>548764.1</v>
      </c>
      <c r="E8" s="889">
        <v>1256.25</v>
      </c>
      <c r="F8" s="889">
        <v>38146.36</v>
      </c>
      <c r="G8" s="889">
        <v>62715.3</v>
      </c>
      <c r="H8" s="889">
        <v>316.45999999999998</v>
      </c>
      <c r="I8" s="889">
        <v>127859.51</v>
      </c>
      <c r="J8" s="889">
        <v>127939.45</v>
      </c>
    </row>
    <row r="9" spans="1:11" ht="16" customHeight="1">
      <c r="A9" s="301">
        <v>2009</v>
      </c>
      <c r="B9" s="888">
        <f t="shared" si="0"/>
        <v>705048.72000000009</v>
      </c>
      <c r="C9" s="889">
        <v>602724.30000000005</v>
      </c>
      <c r="D9" s="889">
        <v>557643.72</v>
      </c>
      <c r="E9" s="889">
        <v>1229.8800000000001</v>
      </c>
      <c r="F9" s="889">
        <v>40646.410000000003</v>
      </c>
      <c r="G9" s="889">
        <v>60125.27</v>
      </c>
      <c r="H9" s="889">
        <v>322.86</v>
      </c>
      <c r="I9" s="889">
        <v>133508.98000000001</v>
      </c>
      <c r="J9" s="889">
        <v>128979.36</v>
      </c>
    </row>
    <row r="10" spans="1:11" ht="16" customHeight="1">
      <c r="A10" s="301">
        <v>2010</v>
      </c>
      <c r="B10" s="888">
        <f t="shared" si="0"/>
        <v>771381.19000000006</v>
      </c>
      <c r="C10" s="889">
        <v>663307.43000000005</v>
      </c>
      <c r="D10" s="889">
        <v>610167.57999999996</v>
      </c>
      <c r="E10" s="889">
        <v>1269.3499999999999</v>
      </c>
      <c r="F10" s="889">
        <v>44333.56</v>
      </c>
      <c r="G10" s="889">
        <v>62068.9</v>
      </c>
      <c r="H10" s="889">
        <v>401.95</v>
      </c>
      <c r="I10" s="889">
        <v>168506.13</v>
      </c>
      <c r="J10" s="889">
        <v>136848.79</v>
      </c>
    </row>
    <row r="11" spans="1:11" ht="16" customHeight="1">
      <c r="A11" s="301">
        <v>2011</v>
      </c>
      <c r="B11" s="888">
        <f t="shared" si="0"/>
        <v>777939.32</v>
      </c>
      <c r="C11" s="889">
        <v>667740.6</v>
      </c>
      <c r="D11" s="889">
        <v>612925.65</v>
      </c>
      <c r="E11" s="889">
        <v>1267.6300000000001</v>
      </c>
      <c r="F11" s="889">
        <v>46587.5</v>
      </c>
      <c r="G11" s="889">
        <v>62003.59</v>
      </c>
      <c r="H11" s="890">
        <v>340</v>
      </c>
      <c r="I11" s="889">
        <v>176538.76</v>
      </c>
      <c r="J11" s="889">
        <v>139128.43</v>
      </c>
    </row>
    <row r="12" spans="1:11" ht="16" customHeight="1">
      <c r="A12" s="301">
        <v>2012</v>
      </c>
      <c r="B12" s="888">
        <f t="shared" si="0"/>
        <v>822534.37</v>
      </c>
      <c r="C12" s="889">
        <v>700273.87</v>
      </c>
      <c r="D12" s="889">
        <v>637376.28</v>
      </c>
      <c r="E12" s="889">
        <v>1186</v>
      </c>
      <c r="F12" s="889">
        <v>52689.49</v>
      </c>
      <c r="G12" s="889">
        <v>68035.33</v>
      </c>
      <c r="H12" s="890">
        <v>349.68</v>
      </c>
      <c r="I12" s="889">
        <v>184190.1</v>
      </c>
      <c r="J12" s="889">
        <v>138170.51999999999</v>
      </c>
    </row>
    <row r="13" spans="1:11" ht="16" customHeight="1">
      <c r="A13" s="301">
        <v>2013</v>
      </c>
      <c r="B13" s="888">
        <f t="shared" si="0"/>
        <v>850232.79000000015</v>
      </c>
      <c r="C13" s="889">
        <v>714462.27</v>
      </c>
      <c r="D13" s="889">
        <v>652363.62</v>
      </c>
      <c r="E13" s="889">
        <v>1326.43</v>
      </c>
      <c r="F13" s="889">
        <v>60667.14</v>
      </c>
      <c r="G13" s="889">
        <v>73428.53</v>
      </c>
      <c r="H13" s="890">
        <v>348.42</v>
      </c>
      <c r="I13" s="889">
        <v>186401.3</v>
      </c>
      <c r="J13" s="889">
        <v>145163.17000000001</v>
      </c>
    </row>
    <row r="14" spans="1:11" ht="16" customHeight="1">
      <c r="A14" s="301">
        <v>2014</v>
      </c>
      <c r="B14" s="888">
        <f t="shared" si="0"/>
        <v>874761.02</v>
      </c>
      <c r="C14" s="889">
        <v>728420.74</v>
      </c>
      <c r="D14" s="889">
        <v>682187.14</v>
      </c>
      <c r="E14" s="889">
        <v>1317.15</v>
      </c>
      <c r="F14" s="889">
        <v>63965.3</v>
      </c>
      <c r="G14" s="889">
        <v>80739.83</v>
      </c>
      <c r="H14" s="890">
        <v>318</v>
      </c>
      <c r="I14" s="889">
        <v>184146</v>
      </c>
      <c r="J14" s="889">
        <v>154210.87</v>
      </c>
    </row>
    <row r="15" spans="1:11" ht="16" customHeight="1">
      <c r="A15" s="301">
        <v>2015</v>
      </c>
      <c r="B15" s="888">
        <f t="shared" si="0"/>
        <v>894186.69000000006</v>
      </c>
      <c r="C15" s="889">
        <v>745684.87</v>
      </c>
      <c r="D15" s="889">
        <v>700033.91</v>
      </c>
      <c r="E15" s="889">
        <v>1204.51</v>
      </c>
      <c r="F15" s="889">
        <v>64345.03</v>
      </c>
      <c r="G15" s="889">
        <v>82705.22</v>
      </c>
      <c r="H15" s="889">
        <v>247.06</v>
      </c>
      <c r="I15" s="889">
        <v>185000</v>
      </c>
      <c r="J15" s="889">
        <v>162226.95000000001</v>
      </c>
    </row>
    <row r="16" spans="1:11" ht="16" customHeight="1">
      <c r="A16" s="301">
        <v>2016</v>
      </c>
      <c r="B16" s="888">
        <f t="shared" si="0"/>
        <v>932355.32</v>
      </c>
      <c r="C16" s="889">
        <v>782264.27</v>
      </c>
      <c r="D16" s="889">
        <v>726536.18</v>
      </c>
      <c r="E16" s="889">
        <v>1179.99</v>
      </c>
      <c r="F16" s="889">
        <v>68999.960000000006</v>
      </c>
      <c r="G16" s="889">
        <v>79667.429999999993</v>
      </c>
      <c r="H16" s="889">
        <v>243.67</v>
      </c>
      <c r="I16" s="889">
        <v>189500</v>
      </c>
      <c r="J16" s="889">
        <v>168411.6</v>
      </c>
    </row>
    <row r="17" spans="1:17" ht="16" customHeight="1">
      <c r="A17" s="301" t="s">
        <v>178</v>
      </c>
      <c r="B17" s="888">
        <f t="shared" si="0"/>
        <v>970299.67999999993</v>
      </c>
      <c r="C17" s="889">
        <v>809019.57</v>
      </c>
      <c r="D17" s="889">
        <v>755692.62</v>
      </c>
      <c r="E17" s="889">
        <v>1067.49</v>
      </c>
      <c r="F17" s="889">
        <v>75933.179999999993</v>
      </c>
      <c r="G17" s="889">
        <v>84069.440000000002</v>
      </c>
      <c r="H17" s="889">
        <v>210</v>
      </c>
      <c r="I17" s="889">
        <v>195000</v>
      </c>
      <c r="J17" s="889">
        <v>174441.33</v>
      </c>
    </row>
    <row r="18" spans="1:17" ht="16" customHeight="1">
      <c r="A18" s="301" t="s">
        <v>180</v>
      </c>
      <c r="B18" s="888">
        <f>(C18+E18+F18+G18+H18)</f>
        <v>1003480.7400000001</v>
      </c>
      <c r="C18" s="889">
        <v>833995.79</v>
      </c>
      <c r="D18" s="889">
        <v>759191.42</v>
      </c>
      <c r="E18" s="889">
        <v>1050.53</v>
      </c>
      <c r="F18" s="889">
        <v>81996.42</v>
      </c>
      <c r="G18" s="889">
        <v>86240.37</v>
      </c>
      <c r="H18" s="889">
        <v>197.63</v>
      </c>
      <c r="I18" s="889">
        <v>198092.34</v>
      </c>
      <c r="J18" s="889">
        <v>185416.09</v>
      </c>
    </row>
    <row r="19" spans="1:17" ht="16" customHeight="1">
      <c r="A19" s="301" t="s">
        <v>296</v>
      </c>
      <c r="B19" s="888">
        <f t="shared" ref="B19:B20" si="1">(C19+E19+F19+G19+H19)</f>
        <v>1030303.59</v>
      </c>
      <c r="C19" s="889">
        <v>856946.58</v>
      </c>
      <c r="D19" s="889">
        <v>772967.2</v>
      </c>
      <c r="E19" s="889">
        <v>1003.54</v>
      </c>
      <c r="F19" s="889">
        <v>86720.01</v>
      </c>
      <c r="G19" s="889">
        <v>85440.74</v>
      </c>
      <c r="H19" s="889">
        <v>192.72</v>
      </c>
      <c r="I19" s="889">
        <v>199500</v>
      </c>
      <c r="J19" s="889">
        <v>195393.77</v>
      </c>
      <c r="K19" s="298"/>
    </row>
    <row r="20" spans="1:17" ht="16" customHeight="1">
      <c r="A20" s="301" t="s">
        <v>299</v>
      </c>
      <c r="B20" s="888">
        <f t="shared" si="1"/>
        <v>1008854.0299999999</v>
      </c>
      <c r="C20" s="889">
        <v>827377.73</v>
      </c>
      <c r="D20" s="889">
        <v>777584.15</v>
      </c>
      <c r="E20" s="889">
        <v>732.59</v>
      </c>
      <c r="F20" s="889">
        <v>101796.25</v>
      </c>
      <c r="G20" s="889">
        <v>78781.72</v>
      </c>
      <c r="H20" s="889">
        <v>165.74</v>
      </c>
      <c r="I20" s="889">
        <v>184069</v>
      </c>
      <c r="J20" s="889">
        <v>199110.16</v>
      </c>
      <c r="K20" s="298"/>
      <c r="M20" s="574"/>
      <c r="O20" s="574"/>
    </row>
    <row r="21" spans="1:17" ht="16" customHeight="1">
      <c r="A21" s="301">
        <v>2021</v>
      </c>
      <c r="B21" s="888">
        <f t="shared" si="0"/>
        <v>1048486.4099999999</v>
      </c>
      <c r="C21" s="889">
        <v>856507.85</v>
      </c>
      <c r="D21" s="889">
        <v>805787.72</v>
      </c>
      <c r="E21" s="889">
        <v>807.22</v>
      </c>
      <c r="F21" s="889">
        <v>106323.24</v>
      </c>
      <c r="G21" s="889">
        <v>84679.01</v>
      </c>
      <c r="H21" s="889">
        <v>169.09</v>
      </c>
      <c r="I21" s="889">
        <v>186924.55</v>
      </c>
      <c r="J21" s="889">
        <v>208960.66</v>
      </c>
      <c r="K21" s="298"/>
    </row>
    <row r="22" spans="1:17" ht="16" customHeight="1">
      <c r="A22" s="301" t="s">
        <v>396</v>
      </c>
      <c r="B22" s="888">
        <f t="shared" si="0"/>
        <v>1028896.97</v>
      </c>
      <c r="C22" s="889">
        <v>830462.21</v>
      </c>
      <c r="D22" s="889">
        <v>802829.6</v>
      </c>
      <c r="E22" s="889">
        <v>884.56</v>
      </c>
      <c r="F22" s="889">
        <v>114650.95</v>
      </c>
      <c r="G22" s="889">
        <v>82733.98</v>
      </c>
      <c r="H22" s="889">
        <v>165.27</v>
      </c>
      <c r="I22" s="889">
        <v>192723.55</v>
      </c>
      <c r="J22" s="889">
        <v>219713.48</v>
      </c>
      <c r="K22" s="977"/>
      <c r="L22" s="974"/>
      <c r="M22" s="977"/>
      <c r="O22" s="298"/>
      <c r="P22" s="974"/>
      <c r="Q22" s="341"/>
    </row>
    <row r="23" spans="1:17" ht="16" customHeight="1">
      <c r="A23" s="301" t="s">
        <v>459</v>
      </c>
      <c r="B23" s="888">
        <f t="shared" si="0"/>
        <v>1006383.5981800001</v>
      </c>
      <c r="C23" s="889">
        <v>811363.89963000012</v>
      </c>
      <c r="D23" s="889">
        <v>765182.64959999989</v>
      </c>
      <c r="E23" s="889">
        <v>839.60780000000011</v>
      </c>
      <c r="F23" s="889">
        <v>109724.87458</v>
      </c>
      <c r="G23" s="889">
        <v>84322.398350000003</v>
      </c>
      <c r="H23" s="889">
        <v>132.81782000000001</v>
      </c>
      <c r="I23" s="889">
        <v>201962</v>
      </c>
      <c r="J23" s="889">
        <v>217578.20118457201</v>
      </c>
      <c r="K23" s="298"/>
      <c r="L23" s="298"/>
      <c r="M23" s="298"/>
      <c r="N23" s="298"/>
      <c r="O23" s="298"/>
      <c r="P23" s="341"/>
      <c r="Q23" s="341"/>
    </row>
    <row r="24" spans="1:17" ht="16" customHeight="1" thickBot="1">
      <c r="A24" s="559" t="s">
        <v>462</v>
      </c>
      <c r="B24" s="891">
        <f t="shared" ref="B24" si="2">(C24+E24+F24+G24+H24)</f>
        <v>1054680.9002479999</v>
      </c>
      <c r="C24" s="892">
        <v>857287.97531999997</v>
      </c>
      <c r="D24" s="892">
        <v>811833.75053999992</v>
      </c>
      <c r="E24" s="892">
        <v>952.75077999999985</v>
      </c>
      <c r="F24" s="892">
        <v>109255.17690000001</v>
      </c>
      <c r="G24" s="892">
        <v>86966.329698000001</v>
      </c>
      <c r="H24" s="892">
        <v>218.66755000000001</v>
      </c>
      <c r="I24" s="892">
        <v>211919</v>
      </c>
      <c r="J24" s="967">
        <v>226323.35752153612</v>
      </c>
      <c r="K24" s="298"/>
      <c r="L24" s="298"/>
      <c r="M24" s="298"/>
      <c r="N24" s="298"/>
      <c r="O24" s="298"/>
      <c r="P24" s="341"/>
      <c r="Q24" s="341"/>
    </row>
    <row r="25" spans="1:17" ht="9" customHeight="1">
      <c r="A25" s="508" t="s">
        <v>333</v>
      </c>
      <c r="B25" s="511"/>
      <c r="C25" s="511"/>
      <c r="D25" s="508"/>
      <c r="E25" s="508" t="s">
        <v>336</v>
      </c>
      <c r="F25" s="511"/>
      <c r="G25" s="511"/>
      <c r="H25" s="508"/>
      <c r="I25" s="296"/>
      <c r="J25" s="295"/>
      <c r="K25" s="342"/>
      <c r="L25" s="298"/>
      <c r="P25" s="341"/>
    </row>
    <row r="26" spans="1:17" ht="9" customHeight="1">
      <c r="A26" s="449" t="s">
        <v>330</v>
      </c>
      <c r="B26" s="511"/>
      <c r="C26" s="511"/>
      <c r="D26" s="511"/>
      <c r="E26" s="511"/>
      <c r="F26" s="511"/>
      <c r="G26" s="511"/>
      <c r="H26" s="511"/>
      <c r="I26" s="295"/>
      <c r="J26" s="295"/>
      <c r="K26" s="295"/>
    </row>
    <row r="27" spans="1:17" ht="9" customHeight="1">
      <c r="A27" s="498" t="s">
        <v>611</v>
      </c>
      <c r="B27" s="493"/>
      <c r="C27" s="511"/>
      <c r="D27" s="511"/>
      <c r="E27" s="511"/>
      <c r="F27" s="511"/>
      <c r="G27" s="511"/>
      <c r="H27" s="511"/>
      <c r="I27" s="295"/>
      <c r="J27" s="295"/>
      <c r="K27" s="295"/>
    </row>
    <row r="28" spans="1:17" ht="9" customHeight="1">
      <c r="A28" s="451" t="s">
        <v>303</v>
      </c>
      <c r="B28" s="493"/>
      <c r="C28" s="511"/>
      <c r="D28" s="511"/>
      <c r="E28" s="511"/>
      <c r="F28" s="511"/>
      <c r="G28" s="511"/>
      <c r="H28" s="511"/>
      <c r="I28" s="295"/>
      <c r="J28" s="295"/>
      <c r="K28" s="295"/>
    </row>
    <row r="29" spans="1:17" ht="10.25" customHeight="1"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</row>
    <row r="30" spans="1:17" ht="12" customHeight="1">
      <c r="A30" s="344" t="s">
        <v>593</v>
      </c>
      <c r="B30" s="344"/>
      <c r="C30" s="312"/>
      <c r="D30" s="312"/>
      <c r="E30" s="312"/>
      <c r="F30" s="312"/>
      <c r="G30" s="312"/>
      <c r="H30" s="312"/>
      <c r="I30" s="312"/>
      <c r="J30" s="312"/>
      <c r="K30" s="312"/>
      <c r="L30" s="312"/>
    </row>
    <row r="31" spans="1:17" ht="12" customHeight="1">
      <c r="A31" s="345" t="s">
        <v>352</v>
      </c>
      <c r="B31" s="344"/>
      <c r="C31" s="312"/>
      <c r="D31" s="312"/>
      <c r="E31" s="312"/>
      <c r="F31" s="312"/>
      <c r="G31" s="312"/>
      <c r="H31" s="312"/>
      <c r="I31" s="312"/>
      <c r="J31" s="312"/>
      <c r="K31" s="312"/>
      <c r="L31" s="312"/>
    </row>
    <row r="32" spans="1:17" ht="4.25" customHeight="1" thickBot="1">
      <c r="A32" s="334"/>
      <c r="B32" s="334"/>
      <c r="C32" s="334"/>
      <c r="D32" s="334"/>
      <c r="E32" s="334"/>
      <c r="F32" s="334"/>
      <c r="G32" s="334"/>
      <c r="H32" s="334"/>
      <c r="I32" s="334"/>
      <c r="J32" s="334"/>
      <c r="K32" s="334"/>
      <c r="L32" s="334"/>
    </row>
    <row r="33" spans="1:13" ht="16" customHeight="1">
      <c r="A33" s="1033" t="s">
        <v>108</v>
      </c>
      <c r="B33" s="756" t="s">
        <v>122</v>
      </c>
      <c r="C33" s="757" t="s">
        <v>106</v>
      </c>
      <c r="D33" s="1035" t="s">
        <v>111</v>
      </c>
      <c r="E33" s="1035"/>
      <c r="F33" s="1035"/>
      <c r="G33" s="1035"/>
      <c r="H33" s="1035"/>
      <c r="I33" s="1035"/>
      <c r="J33" s="1033" t="s">
        <v>258</v>
      </c>
      <c r="K33" s="1032" t="s">
        <v>408</v>
      </c>
      <c r="L33" s="1032"/>
    </row>
    <row r="34" spans="1:13" ht="16" customHeight="1">
      <c r="A34" s="1034"/>
      <c r="B34" s="753" t="s">
        <v>130</v>
      </c>
      <c r="C34" s="751" t="s">
        <v>172</v>
      </c>
      <c r="D34" s="751" t="s">
        <v>251</v>
      </c>
      <c r="E34" s="751" t="s">
        <v>252</v>
      </c>
      <c r="F34" s="751" t="s">
        <v>253</v>
      </c>
      <c r="G34" s="751" t="s">
        <v>254</v>
      </c>
      <c r="H34" s="751" t="s">
        <v>255</v>
      </c>
      <c r="I34" s="751" t="s">
        <v>8</v>
      </c>
      <c r="J34" s="1034"/>
      <c r="K34" s="752" t="s">
        <v>609</v>
      </c>
      <c r="L34" s="998" t="s">
        <v>610</v>
      </c>
    </row>
    <row r="35" spans="1:13" ht="16" customHeight="1">
      <c r="A35" s="306">
        <v>2007</v>
      </c>
      <c r="B35" s="302">
        <v>8922.5349999999999</v>
      </c>
      <c r="C35" s="885">
        <v>75.453000000000003</v>
      </c>
      <c r="D35" s="303">
        <v>57.045999999999999</v>
      </c>
      <c r="E35" s="303">
        <v>53.628</v>
      </c>
      <c r="F35" s="303">
        <v>0.129</v>
      </c>
      <c r="G35" s="303">
        <v>3.7530000000000001</v>
      </c>
      <c r="H35" s="303">
        <v>7.36</v>
      </c>
      <c r="I35" s="303">
        <v>4.1000000000000002E-2</v>
      </c>
      <c r="J35" s="299">
        <v>14.956</v>
      </c>
      <c r="K35" s="299">
        <v>13.747999999999999</v>
      </c>
      <c r="L35" s="298">
        <v>218</v>
      </c>
      <c r="M35" s="298"/>
    </row>
    <row r="36" spans="1:13" ht="16" customHeight="1">
      <c r="A36" s="306">
        <v>2008</v>
      </c>
      <c r="B36" s="302">
        <v>9022.5349999999999</v>
      </c>
      <c r="C36" s="885">
        <v>81.085999999999999</v>
      </c>
      <c r="D36" s="303">
        <v>65.096000000000004</v>
      </c>
      <c r="E36" s="303">
        <v>60.820999999999998</v>
      </c>
      <c r="F36" s="303">
        <v>0.13900000000000001</v>
      </c>
      <c r="G36" s="303">
        <v>4.2279999999999998</v>
      </c>
      <c r="H36" s="303">
        <v>6.9509999999999996</v>
      </c>
      <c r="I36" s="303">
        <v>3.5000000000000003E-2</v>
      </c>
      <c r="J36" s="299">
        <v>14.170999999999999</v>
      </c>
      <c r="K36" s="299">
        <v>14.18</v>
      </c>
      <c r="L36" s="298">
        <v>225</v>
      </c>
      <c r="M36" s="298"/>
    </row>
    <row r="37" spans="1:13" ht="16" customHeight="1">
      <c r="A37" s="306">
        <v>2009</v>
      </c>
      <c r="B37" s="302">
        <v>9122.5349999999999</v>
      </c>
      <c r="C37" s="885">
        <v>82.83</v>
      </c>
      <c r="D37" s="303">
        <v>66.069999999999993</v>
      </c>
      <c r="E37" s="303">
        <v>61.128</v>
      </c>
      <c r="F37" s="303">
        <v>0.13500000000000001</v>
      </c>
      <c r="G37" s="303">
        <v>4.4560000000000004</v>
      </c>
      <c r="H37" s="303">
        <v>6.5910000000000002</v>
      </c>
      <c r="I37" s="303">
        <v>3.5000000000000003E-2</v>
      </c>
      <c r="J37" s="299">
        <v>14.635</v>
      </c>
      <c r="K37" s="299">
        <v>14.138999999999999</v>
      </c>
      <c r="L37" s="298">
        <v>224</v>
      </c>
      <c r="M37" s="298"/>
    </row>
    <row r="38" spans="1:13" ht="16" customHeight="1">
      <c r="A38" s="306">
        <v>2010</v>
      </c>
      <c r="B38" s="302">
        <v>9160.384</v>
      </c>
      <c r="C38" s="885">
        <v>91.072000000000003</v>
      </c>
      <c r="D38" s="303">
        <v>72.41</v>
      </c>
      <c r="E38" s="303">
        <v>66.608999999999995</v>
      </c>
      <c r="F38" s="303">
        <v>0.13900000000000001</v>
      </c>
      <c r="G38" s="303">
        <v>4.84</v>
      </c>
      <c r="H38" s="303">
        <v>6.7759999999999998</v>
      </c>
      <c r="I38" s="303">
        <v>4.3999999999999997E-2</v>
      </c>
      <c r="J38" s="299">
        <v>18.395</v>
      </c>
      <c r="K38" s="299">
        <v>14.939</v>
      </c>
      <c r="L38" s="298">
        <v>237</v>
      </c>
      <c r="M38" s="298"/>
    </row>
    <row r="39" spans="1:13" ht="16" customHeight="1">
      <c r="A39" s="306">
        <v>2011</v>
      </c>
      <c r="B39" s="302">
        <v>9303.7880000000005</v>
      </c>
      <c r="C39" s="885">
        <v>83.614999999999995</v>
      </c>
      <c r="D39" s="303">
        <v>71.771000000000001</v>
      </c>
      <c r="E39" s="303">
        <v>65.879000000000005</v>
      </c>
      <c r="F39" s="303">
        <v>0.13600000000000001</v>
      </c>
      <c r="G39" s="303">
        <v>5.0069999999999997</v>
      </c>
      <c r="H39" s="303">
        <v>6.6639999999999997</v>
      </c>
      <c r="I39" s="303">
        <v>3.6999999999999998E-2</v>
      </c>
      <c r="J39" s="299">
        <v>18.975000000000001</v>
      </c>
      <c r="K39" s="299">
        <v>14.954000000000001</v>
      </c>
      <c r="L39" s="298">
        <v>237</v>
      </c>
      <c r="M39" s="298"/>
    </row>
    <row r="40" spans="1:13" ht="16" customHeight="1">
      <c r="A40" s="306">
        <v>2012</v>
      </c>
      <c r="B40" s="302">
        <v>9450.5849999999991</v>
      </c>
      <c r="C40" s="885">
        <v>87.034999999999997</v>
      </c>
      <c r="D40" s="303">
        <v>74.097999999999999</v>
      </c>
      <c r="E40" s="303">
        <v>67.442999999999998</v>
      </c>
      <c r="F40" s="303">
        <v>0.125</v>
      </c>
      <c r="G40" s="303">
        <v>5.5750000000000002</v>
      </c>
      <c r="H40" s="303">
        <v>7.1989999999999998</v>
      </c>
      <c r="I40" s="303">
        <v>3.6999999999999998E-2</v>
      </c>
      <c r="J40" s="299">
        <v>19.489999999999998</v>
      </c>
      <c r="K40" s="299">
        <v>14.62</v>
      </c>
      <c r="L40" s="298">
        <v>232</v>
      </c>
      <c r="M40" s="298"/>
    </row>
    <row r="41" spans="1:13" ht="16" customHeight="1">
      <c r="A41" s="306">
        <v>2013</v>
      </c>
      <c r="B41" s="302">
        <v>9600.1139999999996</v>
      </c>
      <c r="C41" s="885">
        <v>88.564999999999998</v>
      </c>
      <c r="D41" s="303">
        <v>74.421999999999997</v>
      </c>
      <c r="E41" s="303">
        <v>67.953999999999994</v>
      </c>
      <c r="F41" s="303">
        <v>0.13800000000000001</v>
      </c>
      <c r="G41" s="303">
        <v>6.319</v>
      </c>
      <c r="H41" s="303">
        <v>7.649</v>
      </c>
      <c r="I41" s="303">
        <v>3.5999999999999997E-2</v>
      </c>
      <c r="J41" s="299">
        <v>19.417000000000002</v>
      </c>
      <c r="K41" s="299">
        <v>15.121</v>
      </c>
      <c r="L41" s="298">
        <v>240</v>
      </c>
      <c r="M41" s="298"/>
    </row>
    <row r="42" spans="1:13" ht="16" customHeight="1">
      <c r="A42" s="306">
        <v>2014</v>
      </c>
      <c r="B42" s="302">
        <v>9751.7170000000006</v>
      </c>
      <c r="C42" s="885">
        <v>89.703000000000003</v>
      </c>
      <c r="D42" s="303">
        <v>74.697000000000003</v>
      </c>
      <c r="E42" s="303">
        <v>69.956000000000003</v>
      </c>
      <c r="F42" s="303">
        <v>0.13500000000000001</v>
      </c>
      <c r="G42" s="303">
        <v>6.5590000000000002</v>
      </c>
      <c r="H42" s="303">
        <v>8.2799999999999994</v>
      </c>
      <c r="I42" s="303">
        <v>3.3000000000000002E-2</v>
      </c>
      <c r="J42" s="299">
        <v>18.882999999999999</v>
      </c>
      <c r="K42" s="299">
        <v>15.814</v>
      </c>
      <c r="L42" s="298">
        <v>251</v>
      </c>
      <c r="M42" s="298"/>
    </row>
    <row r="43" spans="1:13" ht="16" customHeight="1">
      <c r="A43" s="306">
        <v>2015</v>
      </c>
      <c r="B43" s="302">
        <v>9904.7270000000008</v>
      </c>
      <c r="C43" s="885">
        <v>90.278999999999996</v>
      </c>
      <c r="D43" s="303">
        <v>75.286000000000001</v>
      </c>
      <c r="E43" s="303">
        <v>70.677000000000007</v>
      </c>
      <c r="F43" s="303">
        <v>0.122</v>
      </c>
      <c r="G43" s="303">
        <v>6.4960000000000004</v>
      </c>
      <c r="H43" s="303">
        <v>8.35</v>
      </c>
      <c r="I43" s="303">
        <v>2.5000000000000001E-2</v>
      </c>
      <c r="J43" s="299">
        <v>18.678000000000001</v>
      </c>
      <c r="K43" s="299">
        <v>16.379000000000001</v>
      </c>
      <c r="L43" s="298">
        <v>260</v>
      </c>
      <c r="M43" s="298"/>
    </row>
    <row r="44" spans="1:13" ht="16" customHeight="1">
      <c r="A44" s="306">
        <v>2016</v>
      </c>
      <c r="B44" s="302">
        <v>10059.157058112307</v>
      </c>
      <c r="C44" s="885">
        <v>92.686999999999998</v>
      </c>
      <c r="D44" s="303">
        <v>77.766000000000005</v>
      </c>
      <c r="E44" s="303">
        <v>72.225999999999999</v>
      </c>
      <c r="F44" s="303">
        <v>0.11700000000000001</v>
      </c>
      <c r="G44" s="303">
        <v>6.859</v>
      </c>
      <c r="H44" s="303">
        <v>7.92</v>
      </c>
      <c r="I44" s="303">
        <v>2.4E-2</v>
      </c>
      <c r="J44" s="299">
        <v>18.838999999999999</v>
      </c>
      <c r="K44" s="299">
        <v>16.742000000000001</v>
      </c>
      <c r="L44" s="298">
        <v>266</v>
      </c>
      <c r="M44" s="298"/>
    </row>
    <row r="45" spans="1:13" ht="16" customHeight="1">
      <c r="A45" s="301" t="s">
        <v>179</v>
      </c>
      <c r="B45" s="302">
        <v>10217.9871</v>
      </c>
      <c r="C45" s="885">
        <v>94.96</v>
      </c>
      <c r="D45" s="303">
        <v>79.176000000000002</v>
      </c>
      <c r="E45" s="303">
        <v>73.956999999999994</v>
      </c>
      <c r="F45" s="303">
        <v>0.104</v>
      </c>
      <c r="G45" s="303">
        <v>7.431</v>
      </c>
      <c r="H45" s="303">
        <v>8.2279999999999998</v>
      </c>
      <c r="I45" s="303">
        <v>2.1000000000000001E-2</v>
      </c>
      <c r="J45" s="299">
        <v>19.084</v>
      </c>
      <c r="K45" s="299">
        <v>17.071999999999999</v>
      </c>
      <c r="L45" s="298">
        <v>271</v>
      </c>
      <c r="M45" s="298"/>
    </row>
    <row r="46" spans="1:13" ht="16" customHeight="1">
      <c r="A46" s="301" t="s">
        <v>180</v>
      </c>
      <c r="B46" s="302">
        <v>10378.313199999999</v>
      </c>
      <c r="C46" s="885">
        <v>96.69</v>
      </c>
      <c r="D46" s="303">
        <v>80.358999999999995</v>
      </c>
      <c r="E46" s="303">
        <v>73.152000000000001</v>
      </c>
      <c r="F46" s="303">
        <v>0.10100000000000001</v>
      </c>
      <c r="G46" s="303">
        <v>7.9009999999999998</v>
      </c>
      <c r="H46" s="303">
        <v>8.31</v>
      </c>
      <c r="I46" s="303">
        <v>1.9E-2</v>
      </c>
      <c r="J46" s="299">
        <v>19.087</v>
      </c>
      <c r="K46" s="299">
        <v>17.866</v>
      </c>
      <c r="L46" s="298">
        <v>284</v>
      </c>
      <c r="M46" s="298"/>
    </row>
    <row r="47" spans="1:13" ht="16" customHeight="1">
      <c r="A47" s="301" t="s">
        <v>296</v>
      </c>
      <c r="B47" s="302">
        <v>10541.1548</v>
      </c>
      <c r="C47" s="885">
        <v>97.741</v>
      </c>
      <c r="D47" s="303">
        <v>81.295000000000002</v>
      </c>
      <c r="E47" s="303">
        <v>73.328999999999994</v>
      </c>
      <c r="F47" s="303">
        <v>9.5000000000000001E-2</v>
      </c>
      <c r="G47" s="303">
        <v>8.2270000000000003</v>
      </c>
      <c r="H47" s="303">
        <v>8.1050000000000004</v>
      </c>
      <c r="I47" s="303">
        <v>1.7999999999999999E-2</v>
      </c>
      <c r="J47" s="299">
        <v>18.925999999999998</v>
      </c>
      <c r="K47" s="299">
        <v>18.536000000000001</v>
      </c>
      <c r="L47" s="298">
        <v>294</v>
      </c>
      <c r="M47" s="298"/>
    </row>
    <row r="48" spans="1:13" ht="16" customHeight="1">
      <c r="A48" s="301" t="s">
        <v>299</v>
      </c>
      <c r="B48" s="302">
        <v>10706.5515</v>
      </c>
      <c r="C48" s="885">
        <v>92.772000000000006</v>
      </c>
      <c r="D48" s="303">
        <v>77.278000000000006</v>
      </c>
      <c r="E48" s="303">
        <v>72.626999999999995</v>
      </c>
      <c r="F48" s="303">
        <v>6.8000000000000005E-2</v>
      </c>
      <c r="G48" s="303">
        <v>9.5079999999999991</v>
      </c>
      <c r="H48" s="303">
        <v>7.3579999999999997</v>
      </c>
      <c r="I48" s="303">
        <v>1.4999999999999999E-2</v>
      </c>
      <c r="J48" s="299">
        <v>17.192</v>
      </c>
      <c r="K48" s="299">
        <v>18.597000000000001</v>
      </c>
      <c r="L48" s="298">
        <v>295</v>
      </c>
      <c r="M48" s="298"/>
    </row>
    <row r="49" spans="1:13" ht="16" customHeight="1">
      <c r="A49" s="301">
        <v>2021</v>
      </c>
      <c r="B49" s="302">
        <v>10874.5434</v>
      </c>
      <c r="C49" s="886">
        <f>D49+F49+G49+H49+I49</f>
        <v>96.417000000000016</v>
      </c>
      <c r="D49" s="303">
        <v>78.763000000000005</v>
      </c>
      <c r="E49" s="303">
        <v>74.099000000000004</v>
      </c>
      <c r="F49" s="303">
        <v>7.3999999999999996E-2</v>
      </c>
      <c r="G49" s="303">
        <v>9.7769999999999992</v>
      </c>
      <c r="H49" s="303">
        <v>7.7869999999999999</v>
      </c>
      <c r="I49" s="303">
        <v>1.6E-2</v>
      </c>
      <c r="J49" s="299">
        <v>17.189</v>
      </c>
      <c r="K49" s="299">
        <v>19.216000000000001</v>
      </c>
      <c r="L49" s="298">
        <v>305</v>
      </c>
      <c r="M49" s="298"/>
    </row>
    <row r="50" spans="1:13" ht="16" customHeight="1">
      <c r="A50" s="301" t="s">
        <v>396</v>
      </c>
      <c r="B50" s="302">
        <v>11045.171199999999</v>
      </c>
      <c r="C50" s="886">
        <f>D50+F50+G50+H50+I50</f>
        <v>93.153662107256437</v>
      </c>
      <c r="D50" s="303">
        <v>75.188000000000002</v>
      </c>
      <c r="E50" s="303">
        <v>72.686000000000007</v>
      </c>
      <c r="F50" s="303">
        <v>0.08</v>
      </c>
      <c r="G50" s="303">
        <v>10.380187678756849</v>
      </c>
      <c r="H50" s="303">
        <v>7.4905113286066589</v>
      </c>
      <c r="I50" s="303">
        <v>1.4963099892919725E-2</v>
      </c>
      <c r="J50" s="1001">
        <v>17.448670238809878</v>
      </c>
      <c r="K50" s="299">
        <v>19.892265680770979</v>
      </c>
      <c r="L50" s="298">
        <v>316</v>
      </c>
      <c r="M50" s="298"/>
    </row>
    <row r="51" spans="1:13" ht="16" customHeight="1">
      <c r="A51" s="301" t="s">
        <v>459</v>
      </c>
      <c r="B51" s="302">
        <v>11218.4763</v>
      </c>
      <c r="C51" s="886">
        <f>D51+F51+G51+H51+I51</f>
        <v>89.707690355418436</v>
      </c>
      <c r="D51" s="303">
        <v>72.323894790418208</v>
      </c>
      <c r="E51" s="303">
        <v>68.207359817660787</v>
      </c>
      <c r="F51" s="303">
        <v>7.4841518361990045E-2</v>
      </c>
      <c r="G51" s="303">
        <v>9.7807288303492701</v>
      </c>
      <c r="H51" s="303">
        <v>7.5163860131344222</v>
      </c>
      <c r="I51" s="303">
        <v>1.1839203154531779E-2</v>
      </c>
      <c r="J51" s="1001">
        <v>18.002623047837609</v>
      </c>
      <c r="K51" s="299">
        <v>19.394630372804908</v>
      </c>
      <c r="L51" s="298">
        <v>308</v>
      </c>
      <c r="M51" s="298"/>
    </row>
    <row r="52" spans="1:13" ht="16" customHeight="1" thickBot="1">
      <c r="A52" s="559" t="s">
        <v>462</v>
      </c>
      <c r="B52" s="304">
        <v>11394.5005</v>
      </c>
      <c r="C52" s="887">
        <f>D52+F52+G52+H52+I52</f>
        <v>92.560520774736901</v>
      </c>
      <c r="D52" s="305">
        <f>C24/B52</f>
        <v>75.236994839747467</v>
      </c>
      <c r="E52" s="305">
        <f>D24/B52</f>
        <v>71.247857731016808</v>
      </c>
      <c r="F52" s="305">
        <f>E24/B52</f>
        <v>8.361496671135342E-2</v>
      </c>
      <c r="G52" s="305">
        <f>F24/B52</f>
        <v>9.5884130155595688</v>
      </c>
      <c r="H52" s="305">
        <f>G24/B52</f>
        <v>7.6323073308917753</v>
      </c>
      <c r="I52" s="305">
        <f>H24/B52</f>
        <v>1.9190621826731237E-2</v>
      </c>
      <c r="J52" s="575">
        <f>I24/B52</f>
        <v>18.59835804123226</v>
      </c>
      <c r="K52" s="300">
        <f>J24/B52</f>
        <v>19.8625080161729</v>
      </c>
      <c r="L52" s="320">
        <v>315</v>
      </c>
      <c r="M52" s="298"/>
    </row>
    <row r="53" spans="1:13" ht="9" customHeight="1">
      <c r="A53" s="508" t="s">
        <v>309</v>
      </c>
      <c r="B53" s="511"/>
      <c r="C53" s="511"/>
      <c r="D53" s="508"/>
      <c r="E53" s="508" t="s">
        <v>310</v>
      </c>
      <c r="F53" s="511"/>
      <c r="G53" s="511"/>
      <c r="H53" s="508"/>
      <c r="I53" s="296"/>
      <c r="J53" s="296"/>
      <c r="K53" s="295"/>
    </row>
    <row r="54" spans="1:13" ht="9" customHeight="1">
      <c r="A54" s="449" t="s">
        <v>330</v>
      </c>
      <c r="B54" s="511"/>
      <c r="C54" s="511"/>
      <c r="D54" s="508"/>
      <c r="E54" s="513"/>
      <c r="F54" s="513"/>
      <c r="G54" s="513"/>
      <c r="H54" s="513"/>
      <c r="I54" s="425"/>
      <c r="J54" s="425"/>
      <c r="K54" s="425"/>
      <c r="L54" s="335"/>
    </row>
    <row r="55" spans="1:13" ht="9" customHeight="1">
      <c r="A55" s="498" t="s">
        <v>611</v>
      </c>
      <c r="B55" s="493"/>
      <c r="C55" s="511"/>
      <c r="D55" s="511"/>
      <c r="E55" s="511"/>
      <c r="F55" s="511"/>
      <c r="G55" s="511"/>
      <c r="H55" s="511"/>
      <c r="I55" s="295"/>
      <c r="J55" s="295"/>
      <c r="K55" s="295"/>
    </row>
    <row r="56" spans="1:13" ht="9" customHeight="1">
      <c r="A56" s="451" t="s">
        <v>303</v>
      </c>
      <c r="B56" s="493"/>
      <c r="C56" s="511"/>
      <c r="D56" s="511"/>
      <c r="E56" s="511"/>
      <c r="F56" s="511"/>
      <c r="G56" s="511"/>
      <c r="H56" s="511"/>
      <c r="I56" s="295"/>
      <c r="J56" s="295"/>
      <c r="K56" s="295"/>
    </row>
    <row r="57" spans="1:13" ht="10.25" customHeight="1">
      <c r="A57" s="279"/>
      <c r="B57" s="295"/>
      <c r="C57" s="295"/>
      <c r="D57" s="295"/>
      <c r="E57" s="295"/>
      <c r="F57" s="295"/>
      <c r="G57" s="295"/>
      <c r="H57" s="295"/>
      <c r="I57" s="295"/>
      <c r="J57" s="295"/>
      <c r="K57" s="295"/>
    </row>
    <row r="58" spans="1:13" ht="15" customHeight="1">
      <c r="A58" s="279"/>
      <c r="D58" s="427"/>
      <c r="E58" s="427"/>
      <c r="F58" s="427"/>
      <c r="G58" s="427"/>
      <c r="H58" s="427"/>
      <c r="I58" s="427"/>
      <c r="J58" s="427"/>
      <c r="K58" s="427"/>
    </row>
    <row r="59" spans="1:13" ht="15" customHeight="1">
      <c r="B59" s="335"/>
      <c r="I59" s="426"/>
    </row>
    <row r="60" spans="1:13" ht="15" customHeight="1">
      <c r="B60" s="335"/>
    </row>
    <row r="61" spans="1:13" ht="15" customHeight="1">
      <c r="B61" s="335"/>
    </row>
    <row r="62" spans="1:13" ht="15" customHeight="1">
      <c r="B62" s="335"/>
    </row>
    <row r="63" spans="1:13" ht="15" customHeight="1">
      <c r="B63" s="335"/>
    </row>
    <row r="64" spans="1:13" ht="15" customHeight="1">
      <c r="B64" s="335"/>
    </row>
    <row r="65" spans="2:2" ht="15" customHeight="1">
      <c r="B65" s="335"/>
    </row>
    <row r="66" spans="2:2" ht="15" customHeight="1">
      <c r="B66" s="335"/>
    </row>
    <row r="67" spans="2:2" ht="15" customHeight="1">
      <c r="B67" s="335"/>
    </row>
    <row r="68" spans="2:2" ht="15" customHeight="1">
      <c r="B68" s="335"/>
    </row>
    <row r="69" spans="2:2" ht="15" customHeight="1">
      <c r="B69" s="335"/>
    </row>
    <row r="70" spans="2:2" ht="15" customHeight="1">
      <c r="B70" s="335"/>
    </row>
  </sheetData>
  <mergeCells count="8">
    <mergeCell ref="K33:L33"/>
    <mergeCell ref="A33:A34"/>
    <mergeCell ref="D33:I33"/>
    <mergeCell ref="A5:A6"/>
    <mergeCell ref="I5:I6"/>
    <mergeCell ref="J5:J6"/>
    <mergeCell ref="C5:H5"/>
    <mergeCell ref="J33:J34"/>
  </mergeCells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syncVertical="1" syncRef="A1" transitionEvaluation="1" codeName="Hoja97">
    <tabColor theme="9" tint="0.59999389629810485"/>
  </sheetPr>
  <dimension ref="A1:BZ48"/>
  <sheetViews>
    <sheetView showGridLines="0" zoomScaleNormal="100" workbookViewId="0">
      <selection activeCell="A3" sqref="A3"/>
    </sheetView>
  </sheetViews>
  <sheetFormatPr baseColWidth="10" defaultColWidth="9.796875" defaultRowHeight="15" customHeight="1"/>
  <cols>
    <col min="1" max="1" width="7.3984375" style="311" customWidth="1"/>
    <col min="2" max="8" width="12.796875" style="311" customWidth="1"/>
    <col min="9" max="9" width="10.3984375" style="311" hidden="1" customWidth="1"/>
    <col min="10" max="255" width="9.796875" style="311"/>
    <col min="256" max="256" width="9" style="311" customWidth="1"/>
    <col min="257" max="257" width="11" style="311" customWidth="1"/>
    <col min="258" max="258" width="10.796875" style="311" customWidth="1"/>
    <col min="259" max="259" width="10" style="311" customWidth="1"/>
    <col min="260" max="260" width="11.3984375" style="311" customWidth="1"/>
    <col min="261" max="261" width="11.19921875" style="311" customWidth="1"/>
    <col min="262" max="262" width="12.19921875" style="311" customWidth="1"/>
    <col min="263" max="263" width="1.796875" style="311" customWidth="1"/>
    <col min="264" max="264" width="10.3984375" style="311" customWidth="1"/>
    <col min="265" max="265" width="0" style="311" hidden="1" customWidth="1"/>
    <col min="266" max="511" width="9.796875" style="311"/>
    <col min="512" max="512" width="9" style="311" customWidth="1"/>
    <col min="513" max="513" width="11" style="311" customWidth="1"/>
    <col min="514" max="514" width="10.796875" style="311" customWidth="1"/>
    <col min="515" max="515" width="10" style="311" customWidth="1"/>
    <col min="516" max="516" width="11.3984375" style="311" customWidth="1"/>
    <col min="517" max="517" width="11.19921875" style="311" customWidth="1"/>
    <col min="518" max="518" width="12.19921875" style="311" customWidth="1"/>
    <col min="519" max="519" width="1.796875" style="311" customWidth="1"/>
    <col min="520" max="520" width="10.3984375" style="311" customWidth="1"/>
    <col min="521" max="521" width="0" style="311" hidden="1" customWidth="1"/>
    <col min="522" max="767" width="9.796875" style="311"/>
    <col min="768" max="768" width="9" style="311" customWidth="1"/>
    <col min="769" max="769" width="11" style="311" customWidth="1"/>
    <col min="770" max="770" width="10.796875" style="311" customWidth="1"/>
    <col min="771" max="771" width="10" style="311" customWidth="1"/>
    <col min="772" max="772" width="11.3984375" style="311" customWidth="1"/>
    <col min="773" max="773" width="11.19921875" style="311" customWidth="1"/>
    <col min="774" max="774" width="12.19921875" style="311" customWidth="1"/>
    <col min="775" max="775" width="1.796875" style="311" customWidth="1"/>
    <col min="776" max="776" width="10.3984375" style="311" customWidth="1"/>
    <col min="777" max="777" width="0" style="311" hidden="1" customWidth="1"/>
    <col min="778" max="1023" width="9.796875" style="311"/>
    <col min="1024" max="1024" width="9" style="311" customWidth="1"/>
    <col min="1025" max="1025" width="11" style="311" customWidth="1"/>
    <col min="1026" max="1026" width="10.796875" style="311" customWidth="1"/>
    <col min="1027" max="1027" width="10" style="311" customWidth="1"/>
    <col min="1028" max="1028" width="11.3984375" style="311" customWidth="1"/>
    <col min="1029" max="1029" width="11.19921875" style="311" customWidth="1"/>
    <col min="1030" max="1030" width="12.19921875" style="311" customWidth="1"/>
    <col min="1031" max="1031" width="1.796875" style="311" customWidth="1"/>
    <col min="1032" max="1032" width="10.3984375" style="311" customWidth="1"/>
    <col min="1033" max="1033" width="0" style="311" hidden="1" customWidth="1"/>
    <col min="1034" max="1279" width="9.796875" style="311"/>
    <col min="1280" max="1280" width="9" style="311" customWidth="1"/>
    <col min="1281" max="1281" width="11" style="311" customWidth="1"/>
    <col min="1282" max="1282" width="10.796875" style="311" customWidth="1"/>
    <col min="1283" max="1283" width="10" style="311" customWidth="1"/>
    <col min="1284" max="1284" width="11.3984375" style="311" customWidth="1"/>
    <col min="1285" max="1285" width="11.19921875" style="311" customWidth="1"/>
    <col min="1286" max="1286" width="12.19921875" style="311" customWidth="1"/>
    <col min="1287" max="1287" width="1.796875" style="311" customWidth="1"/>
    <col min="1288" max="1288" width="10.3984375" style="311" customWidth="1"/>
    <col min="1289" max="1289" width="0" style="311" hidden="1" customWidth="1"/>
    <col min="1290" max="1535" width="9.796875" style="311"/>
    <col min="1536" max="1536" width="9" style="311" customWidth="1"/>
    <col min="1537" max="1537" width="11" style="311" customWidth="1"/>
    <col min="1538" max="1538" width="10.796875" style="311" customWidth="1"/>
    <col min="1539" max="1539" width="10" style="311" customWidth="1"/>
    <col min="1540" max="1540" width="11.3984375" style="311" customWidth="1"/>
    <col min="1541" max="1541" width="11.19921875" style="311" customWidth="1"/>
    <col min="1542" max="1542" width="12.19921875" style="311" customWidth="1"/>
    <col min="1543" max="1543" width="1.796875" style="311" customWidth="1"/>
    <col min="1544" max="1544" width="10.3984375" style="311" customWidth="1"/>
    <col min="1545" max="1545" width="0" style="311" hidden="1" customWidth="1"/>
    <col min="1546" max="1791" width="9.796875" style="311"/>
    <col min="1792" max="1792" width="9" style="311" customWidth="1"/>
    <col min="1793" max="1793" width="11" style="311" customWidth="1"/>
    <col min="1794" max="1794" width="10.796875" style="311" customWidth="1"/>
    <col min="1795" max="1795" width="10" style="311" customWidth="1"/>
    <col min="1796" max="1796" width="11.3984375" style="311" customWidth="1"/>
    <col min="1797" max="1797" width="11.19921875" style="311" customWidth="1"/>
    <col min="1798" max="1798" width="12.19921875" style="311" customWidth="1"/>
    <col min="1799" max="1799" width="1.796875" style="311" customWidth="1"/>
    <col min="1800" max="1800" width="10.3984375" style="311" customWidth="1"/>
    <col min="1801" max="1801" width="0" style="311" hidden="1" customWidth="1"/>
    <col min="1802" max="2047" width="9.796875" style="311"/>
    <col min="2048" max="2048" width="9" style="311" customWidth="1"/>
    <col min="2049" max="2049" width="11" style="311" customWidth="1"/>
    <col min="2050" max="2050" width="10.796875" style="311" customWidth="1"/>
    <col min="2051" max="2051" width="10" style="311" customWidth="1"/>
    <col min="2052" max="2052" width="11.3984375" style="311" customWidth="1"/>
    <col min="2053" max="2053" width="11.19921875" style="311" customWidth="1"/>
    <col min="2054" max="2054" width="12.19921875" style="311" customWidth="1"/>
    <col min="2055" max="2055" width="1.796875" style="311" customWidth="1"/>
    <col min="2056" max="2056" width="10.3984375" style="311" customWidth="1"/>
    <col min="2057" max="2057" width="0" style="311" hidden="1" customWidth="1"/>
    <col min="2058" max="2303" width="9.796875" style="311"/>
    <col min="2304" max="2304" width="9" style="311" customWidth="1"/>
    <col min="2305" max="2305" width="11" style="311" customWidth="1"/>
    <col min="2306" max="2306" width="10.796875" style="311" customWidth="1"/>
    <col min="2307" max="2307" width="10" style="311" customWidth="1"/>
    <col min="2308" max="2308" width="11.3984375" style="311" customWidth="1"/>
    <col min="2309" max="2309" width="11.19921875" style="311" customWidth="1"/>
    <col min="2310" max="2310" width="12.19921875" style="311" customWidth="1"/>
    <col min="2311" max="2311" width="1.796875" style="311" customWidth="1"/>
    <col min="2312" max="2312" width="10.3984375" style="311" customWidth="1"/>
    <col min="2313" max="2313" width="0" style="311" hidden="1" customWidth="1"/>
    <col min="2314" max="2559" width="9.796875" style="311"/>
    <col min="2560" max="2560" width="9" style="311" customWidth="1"/>
    <col min="2561" max="2561" width="11" style="311" customWidth="1"/>
    <col min="2562" max="2562" width="10.796875" style="311" customWidth="1"/>
    <col min="2563" max="2563" width="10" style="311" customWidth="1"/>
    <col min="2564" max="2564" width="11.3984375" style="311" customWidth="1"/>
    <col min="2565" max="2565" width="11.19921875" style="311" customWidth="1"/>
    <col min="2566" max="2566" width="12.19921875" style="311" customWidth="1"/>
    <col min="2567" max="2567" width="1.796875" style="311" customWidth="1"/>
    <col min="2568" max="2568" width="10.3984375" style="311" customWidth="1"/>
    <col min="2569" max="2569" width="0" style="311" hidden="1" customWidth="1"/>
    <col min="2570" max="2815" width="9.796875" style="311"/>
    <col min="2816" max="2816" width="9" style="311" customWidth="1"/>
    <col min="2817" max="2817" width="11" style="311" customWidth="1"/>
    <col min="2818" max="2818" width="10.796875" style="311" customWidth="1"/>
    <col min="2819" max="2819" width="10" style="311" customWidth="1"/>
    <col min="2820" max="2820" width="11.3984375" style="311" customWidth="1"/>
    <col min="2821" max="2821" width="11.19921875" style="311" customWidth="1"/>
    <col min="2822" max="2822" width="12.19921875" style="311" customWidth="1"/>
    <col min="2823" max="2823" width="1.796875" style="311" customWidth="1"/>
    <col min="2824" max="2824" width="10.3984375" style="311" customWidth="1"/>
    <col min="2825" max="2825" width="0" style="311" hidden="1" customWidth="1"/>
    <col min="2826" max="3071" width="9.796875" style="311"/>
    <col min="3072" max="3072" width="9" style="311" customWidth="1"/>
    <col min="3073" max="3073" width="11" style="311" customWidth="1"/>
    <col min="3074" max="3074" width="10.796875" style="311" customWidth="1"/>
    <col min="3075" max="3075" width="10" style="311" customWidth="1"/>
    <col min="3076" max="3076" width="11.3984375" style="311" customWidth="1"/>
    <col min="3077" max="3077" width="11.19921875" style="311" customWidth="1"/>
    <col min="3078" max="3078" width="12.19921875" style="311" customWidth="1"/>
    <col min="3079" max="3079" width="1.796875" style="311" customWidth="1"/>
    <col min="3080" max="3080" width="10.3984375" style="311" customWidth="1"/>
    <col min="3081" max="3081" width="0" style="311" hidden="1" customWidth="1"/>
    <col min="3082" max="3327" width="9.796875" style="311"/>
    <col min="3328" max="3328" width="9" style="311" customWidth="1"/>
    <col min="3329" max="3329" width="11" style="311" customWidth="1"/>
    <col min="3330" max="3330" width="10.796875" style="311" customWidth="1"/>
    <col min="3331" max="3331" width="10" style="311" customWidth="1"/>
    <col min="3332" max="3332" width="11.3984375" style="311" customWidth="1"/>
    <col min="3333" max="3333" width="11.19921875" style="311" customWidth="1"/>
    <col min="3334" max="3334" width="12.19921875" style="311" customWidth="1"/>
    <col min="3335" max="3335" width="1.796875" style="311" customWidth="1"/>
    <col min="3336" max="3336" width="10.3984375" style="311" customWidth="1"/>
    <col min="3337" max="3337" width="0" style="311" hidden="1" customWidth="1"/>
    <col min="3338" max="3583" width="9.796875" style="311"/>
    <col min="3584" max="3584" width="9" style="311" customWidth="1"/>
    <col min="3585" max="3585" width="11" style="311" customWidth="1"/>
    <col min="3586" max="3586" width="10.796875" style="311" customWidth="1"/>
    <col min="3587" max="3587" width="10" style="311" customWidth="1"/>
    <col min="3588" max="3588" width="11.3984375" style="311" customWidth="1"/>
    <col min="3589" max="3589" width="11.19921875" style="311" customWidth="1"/>
    <col min="3590" max="3590" width="12.19921875" style="311" customWidth="1"/>
    <col min="3591" max="3591" width="1.796875" style="311" customWidth="1"/>
    <col min="3592" max="3592" width="10.3984375" style="311" customWidth="1"/>
    <col min="3593" max="3593" width="0" style="311" hidden="1" customWidth="1"/>
    <col min="3594" max="3839" width="9.796875" style="311"/>
    <col min="3840" max="3840" width="9" style="311" customWidth="1"/>
    <col min="3841" max="3841" width="11" style="311" customWidth="1"/>
    <col min="3842" max="3842" width="10.796875" style="311" customWidth="1"/>
    <col min="3843" max="3843" width="10" style="311" customWidth="1"/>
    <col min="3844" max="3844" width="11.3984375" style="311" customWidth="1"/>
    <col min="3845" max="3845" width="11.19921875" style="311" customWidth="1"/>
    <col min="3846" max="3846" width="12.19921875" style="311" customWidth="1"/>
    <col min="3847" max="3847" width="1.796875" style="311" customWidth="1"/>
    <col min="3848" max="3848" width="10.3984375" style="311" customWidth="1"/>
    <col min="3849" max="3849" width="0" style="311" hidden="1" customWidth="1"/>
    <col min="3850" max="4095" width="9.796875" style="311"/>
    <col min="4096" max="4096" width="9" style="311" customWidth="1"/>
    <col min="4097" max="4097" width="11" style="311" customWidth="1"/>
    <col min="4098" max="4098" width="10.796875" style="311" customWidth="1"/>
    <col min="4099" max="4099" width="10" style="311" customWidth="1"/>
    <col min="4100" max="4100" width="11.3984375" style="311" customWidth="1"/>
    <col min="4101" max="4101" width="11.19921875" style="311" customWidth="1"/>
    <col min="4102" max="4102" width="12.19921875" style="311" customWidth="1"/>
    <col min="4103" max="4103" width="1.796875" style="311" customWidth="1"/>
    <col min="4104" max="4104" width="10.3984375" style="311" customWidth="1"/>
    <col min="4105" max="4105" width="0" style="311" hidden="1" customWidth="1"/>
    <col min="4106" max="4351" width="9.796875" style="311"/>
    <col min="4352" max="4352" width="9" style="311" customWidth="1"/>
    <col min="4353" max="4353" width="11" style="311" customWidth="1"/>
    <col min="4354" max="4354" width="10.796875" style="311" customWidth="1"/>
    <col min="4355" max="4355" width="10" style="311" customWidth="1"/>
    <col min="4356" max="4356" width="11.3984375" style="311" customWidth="1"/>
    <col min="4357" max="4357" width="11.19921875" style="311" customWidth="1"/>
    <col min="4358" max="4358" width="12.19921875" style="311" customWidth="1"/>
    <col min="4359" max="4359" width="1.796875" style="311" customWidth="1"/>
    <col min="4360" max="4360" width="10.3984375" style="311" customWidth="1"/>
    <col min="4361" max="4361" width="0" style="311" hidden="1" customWidth="1"/>
    <col min="4362" max="4607" width="9.796875" style="311"/>
    <col min="4608" max="4608" width="9" style="311" customWidth="1"/>
    <col min="4609" max="4609" width="11" style="311" customWidth="1"/>
    <col min="4610" max="4610" width="10.796875" style="311" customWidth="1"/>
    <col min="4611" max="4611" width="10" style="311" customWidth="1"/>
    <col min="4612" max="4612" width="11.3984375" style="311" customWidth="1"/>
    <col min="4613" max="4613" width="11.19921875" style="311" customWidth="1"/>
    <col min="4614" max="4614" width="12.19921875" style="311" customWidth="1"/>
    <col min="4615" max="4615" width="1.796875" style="311" customWidth="1"/>
    <col min="4616" max="4616" width="10.3984375" style="311" customWidth="1"/>
    <col min="4617" max="4617" width="0" style="311" hidden="1" customWidth="1"/>
    <col min="4618" max="4863" width="9.796875" style="311"/>
    <col min="4864" max="4864" width="9" style="311" customWidth="1"/>
    <col min="4865" max="4865" width="11" style="311" customWidth="1"/>
    <col min="4866" max="4866" width="10.796875" style="311" customWidth="1"/>
    <col min="4867" max="4867" width="10" style="311" customWidth="1"/>
    <col min="4868" max="4868" width="11.3984375" style="311" customWidth="1"/>
    <col min="4869" max="4869" width="11.19921875" style="311" customWidth="1"/>
    <col min="4870" max="4870" width="12.19921875" style="311" customWidth="1"/>
    <col min="4871" max="4871" width="1.796875" style="311" customWidth="1"/>
    <col min="4872" max="4872" width="10.3984375" style="311" customWidth="1"/>
    <col min="4873" max="4873" width="0" style="311" hidden="1" customWidth="1"/>
    <col min="4874" max="5119" width="9.796875" style="311"/>
    <col min="5120" max="5120" width="9" style="311" customWidth="1"/>
    <col min="5121" max="5121" width="11" style="311" customWidth="1"/>
    <col min="5122" max="5122" width="10.796875" style="311" customWidth="1"/>
    <col min="5123" max="5123" width="10" style="311" customWidth="1"/>
    <col min="5124" max="5124" width="11.3984375" style="311" customWidth="1"/>
    <col min="5125" max="5125" width="11.19921875" style="311" customWidth="1"/>
    <col min="5126" max="5126" width="12.19921875" style="311" customWidth="1"/>
    <col min="5127" max="5127" width="1.796875" style="311" customWidth="1"/>
    <col min="5128" max="5128" width="10.3984375" style="311" customWidth="1"/>
    <col min="5129" max="5129" width="0" style="311" hidden="1" customWidth="1"/>
    <col min="5130" max="5375" width="9.796875" style="311"/>
    <col min="5376" max="5376" width="9" style="311" customWidth="1"/>
    <col min="5377" max="5377" width="11" style="311" customWidth="1"/>
    <col min="5378" max="5378" width="10.796875" style="311" customWidth="1"/>
    <col min="5379" max="5379" width="10" style="311" customWidth="1"/>
    <col min="5380" max="5380" width="11.3984375" style="311" customWidth="1"/>
    <col min="5381" max="5381" width="11.19921875" style="311" customWidth="1"/>
    <col min="5382" max="5382" width="12.19921875" style="311" customWidth="1"/>
    <col min="5383" max="5383" width="1.796875" style="311" customWidth="1"/>
    <col min="5384" max="5384" width="10.3984375" style="311" customWidth="1"/>
    <col min="5385" max="5385" width="0" style="311" hidden="1" customWidth="1"/>
    <col min="5386" max="5631" width="9.796875" style="311"/>
    <col min="5632" max="5632" width="9" style="311" customWidth="1"/>
    <col min="5633" max="5633" width="11" style="311" customWidth="1"/>
    <col min="5634" max="5634" width="10.796875" style="311" customWidth="1"/>
    <col min="5635" max="5635" width="10" style="311" customWidth="1"/>
    <col min="5636" max="5636" width="11.3984375" style="311" customWidth="1"/>
    <col min="5637" max="5637" width="11.19921875" style="311" customWidth="1"/>
    <col min="5638" max="5638" width="12.19921875" style="311" customWidth="1"/>
    <col min="5639" max="5639" width="1.796875" style="311" customWidth="1"/>
    <col min="5640" max="5640" width="10.3984375" style="311" customWidth="1"/>
    <col min="5641" max="5641" width="0" style="311" hidden="1" customWidth="1"/>
    <col min="5642" max="5887" width="9.796875" style="311"/>
    <col min="5888" max="5888" width="9" style="311" customWidth="1"/>
    <col min="5889" max="5889" width="11" style="311" customWidth="1"/>
    <col min="5890" max="5890" width="10.796875" style="311" customWidth="1"/>
    <col min="5891" max="5891" width="10" style="311" customWidth="1"/>
    <col min="5892" max="5892" width="11.3984375" style="311" customWidth="1"/>
    <col min="5893" max="5893" width="11.19921875" style="311" customWidth="1"/>
    <col min="5894" max="5894" width="12.19921875" style="311" customWidth="1"/>
    <col min="5895" max="5895" width="1.796875" style="311" customWidth="1"/>
    <col min="5896" max="5896" width="10.3984375" style="311" customWidth="1"/>
    <col min="5897" max="5897" width="0" style="311" hidden="1" customWidth="1"/>
    <col min="5898" max="6143" width="9.796875" style="311"/>
    <col min="6144" max="6144" width="9" style="311" customWidth="1"/>
    <col min="6145" max="6145" width="11" style="311" customWidth="1"/>
    <col min="6146" max="6146" width="10.796875" style="311" customWidth="1"/>
    <col min="6147" max="6147" width="10" style="311" customWidth="1"/>
    <col min="6148" max="6148" width="11.3984375" style="311" customWidth="1"/>
    <col min="6149" max="6149" width="11.19921875" style="311" customWidth="1"/>
    <col min="6150" max="6150" width="12.19921875" style="311" customWidth="1"/>
    <col min="6151" max="6151" width="1.796875" style="311" customWidth="1"/>
    <col min="6152" max="6152" width="10.3984375" style="311" customWidth="1"/>
    <col min="6153" max="6153" width="0" style="311" hidden="1" customWidth="1"/>
    <col min="6154" max="6399" width="9.796875" style="311"/>
    <col min="6400" max="6400" width="9" style="311" customWidth="1"/>
    <col min="6401" max="6401" width="11" style="311" customWidth="1"/>
    <col min="6402" max="6402" width="10.796875" style="311" customWidth="1"/>
    <col min="6403" max="6403" width="10" style="311" customWidth="1"/>
    <col min="6404" max="6404" width="11.3984375" style="311" customWidth="1"/>
    <col min="6405" max="6405" width="11.19921875" style="311" customWidth="1"/>
    <col min="6406" max="6406" width="12.19921875" style="311" customWidth="1"/>
    <col min="6407" max="6407" width="1.796875" style="311" customWidth="1"/>
    <col min="6408" max="6408" width="10.3984375" style="311" customWidth="1"/>
    <col min="6409" max="6409" width="0" style="311" hidden="1" customWidth="1"/>
    <col min="6410" max="6655" width="9.796875" style="311"/>
    <col min="6656" max="6656" width="9" style="311" customWidth="1"/>
    <col min="6657" max="6657" width="11" style="311" customWidth="1"/>
    <col min="6658" max="6658" width="10.796875" style="311" customWidth="1"/>
    <col min="6659" max="6659" width="10" style="311" customWidth="1"/>
    <col min="6660" max="6660" width="11.3984375" style="311" customWidth="1"/>
    <col min="6661" max="6661" width="11.19921875" style="311" customWidth="1"/>
    <col min="6662" max="6662" width="12.19921875" style="311" customWidth="1"/>
    <col min="6663" max="6663" width="1.796875" style="311" customWidth="1"/>
    <col min="6664" max="6664" width="10.3984375" style="311" customWidth="1"/>
    <col min="6665" max="6665" width="0" style="311" hidden="1" customWidth="1"/>
    <col min="6666" max="6911" width="9.796875" style="311"/>
    <col min="6912" max="6912" width="9" style="311" customWidth="1"/>
    <col min="6913" max="6913" width="11" style="311" customWidth="1"/>
    <col min="6914" max="6914" width="10.796875" style="311" customWidth="1"/>
    <col min="6915" max="6915" width="10" style="311" customWidth="1"/>
    <col min="6916" max="6916" width="11.3984375" style="311" customWidth="1"/>
    <col min="6917" max="6917" width="11.19921875" style="311" customWidth="1"/>
    <col min="6918" max="6918" width="12.19921875" style="311" customWidth="1"/>
    <col min="6919" max="6919" width="1.796875" style="311" customWidth="1"/>
    <col min="6920" max="6920" width="10.3984375" style="311" customWidth="1"/>
    <col min="6921" max="6921" width="0" style="311" hidden="1" customWidth="1"/>
    <col min="6922" max="7167" width="9.796875" style="311"/>
    <col min="7168" max="7168" width="9" style="311" customWidth="1"/>
    <col min="7169" max="7169" width="11" style="311" customWidth="1"/>
    <col min="7170" max="7170" width="10.796875" style="311" customWidth="1"/>
    <col min="7171" max="7171" width="10" style="311" customWidth="1"/>
    <col min="7172" max="7172" width="11.3984375" style="311" customWidth="1"/>
    <col min="7173" max="7173" width="11.19921875" style="311" customWidth="1"/>
    <col min="7174" max="7174" width="12.19921875" style="311" customWidth="1"/>
    <col min="7175" max="7175" width="1.796875" style="311" customWidth="1"/>
    <col min="7176" max="7176" width="10.3984375" style="311" customWidth="1"/>
    <col min="7177" max="7177" width="0" style="311" hidden="1" customWidth="1"/>
    <col min="7178" max="7423" width="9.796875" style="311"/>
    <col min="7424" max="7424" width="9" style="311" customWidth="1"/>
    <col min="7425" max="7425" width="11" style="311" customWidth="1"/>
    <col min="7426" max="7426" width="10.796875" style="311" customWidth="1"/>
    <col min="7427" max="7427" width="10" style="311" customWidth="1"/>
    <col min="7428" max="7428" width="11.3984375" style="311" customWidth="1"/>
    <col min="7429" max="7429" width="11.19921875" style="311" customWidth="1"/>
    <col min="7430" max="7430" width="12.19921875" style="311" customWidth="1"/>
    <col min="7431" max="7431" width="1.796875" style="311" customWidth="1"/>
    <col min="7432" max="7432" width="10.3984375" style="311" customWidth="1"/>
    <col min="7433" max="7433" width="0" style="311" hidden="1" customWidth="1"/>
    <col min="7434" max="7679" width="9.796875" style="311"/>
    <col min="7680" max="7680" width="9" style="311" customWidth="1"/>
    <col min="7681" max="7681" width="11" style="311" customWidth="1"/>
    <col min="7682" max="7682" width="10.796875" style="311" customWidth="1"/>
    <col min="7683" max="7683" width="10" style="311" customWidth="1"/>
    <col min="7684" max="7684" width="11.3984375" style="311" customWidth="1"/>
    <col min="7685" max="7685" width="11.19921875" style="311" customWidth="1"/>
    <col min="7686" max="7686" width="12.19921875" style="311" customWidth="1"/>
    <col min="7687" max="7687" width="1.796875" style="311" customWidth="1"/>
    <col min="7688" max="7688" width="10.3984375" style="311" customWidth="1"/>
    <col min="7689" max="7689" width="0" style="311" hidden="1" customWidth="1"/>
    <col min="7690" max="7935" width="9.796875" style="311"/>
    <col min="7936" max="7936" width="9" style="311" customWidth="1"/>
    <col min="7937" max="7937" width="11" style="311" customWidth="1"/>
    <col min="7938" max="7938" width="10.796875" style="311" customWidth="1"/>
    <col min="7939" max="7939" width="10" style="311" customWidth="1"/>
    <col min="7940" max="7940" width="11.3984375" style="311" customWidth="1"/>
    <col min="7941" max="7941" width="11.19921875" style="311" customWidth="1"/>
    <col min="7942" max="7942" width="12.19921875" style="311" customWidth="1"/>
    <col min="7943" max="7943" width="1.796875" style="311" customWidth="1"/>
    <col min="7944" max="7944" width="10.3984375" style="311" customWidth="1"/>
    <col min="7945" max="7945" width="0" style="311" hidden="1" customWidth="1"/>
    <col min="7946" max="8191" width="9.796875" style="311"/>
    <col min="8192" max="8192" width="9" style="311" customWidth="1"/>
    <col min="8193" max="8193" width="11" style="311" customWidth="1"/>
    <col min="8194" max="8194" width="10.796875" style="311" customWidth="1"/>
    <col min="8195" max="8195" width="10" style="311" customWidth="1"/>
    <col min="8196" max="8196" width="11.3984375" style="311" customWidth="1"/>
    <col min="8197" max="8197" width="11.19921875" style="311" customWidth="1"/>
    <col min="8198" max="8198" width="12.19921875" style="311" customWidth="1"/>
    <col min="8199" max="8199" width="1.796875" style="311" customWidth="1"/>
    <col min="8200" max="8200" width="10.3984375" style="311" customWidth="1"/>
    <col min="8201" max="8201" width="0" style="311" hidden="1" customWidth="1"/>
    <col min="8202" max="8447" width="9.796875" style="311"/>
    <col min="8448" max="8448" width="9" style="311" customWidth="1"/>
    <col min="8449" max="8449" width="11" style="311" customWidth="1"/>
    <col min="8450" max="8450" width="10.796875" style="311" customWidth="1"/>
    <col min="8451" max="8451" width="10" style="311" customWidth="1"/>
    <col min="8452" max="8452" width="11.3984375" style="311" customWidth="1"/>
    <col min="8453" max="8453" width="11.19921875" style="311" customWidth="1"/>
    <col min="8454" max="8454" width="12.19921875" style="311" customWidth="1"/>
    <col min="8455" max="8455" width="1.796875" style="311" customWidth="1"/>
    <col min="8456" max="8456" width="10.3984375" style="311" customWidth="1"/>
    <col min="8457" max="8457" width="0" style="311" hidden="1" customWidth="1"/>
    <col min="8458" max="8703" width="9.796875" style="311"/>
    <col min="8704" max="8704" width="9" style="311" customWidth="1"/>
    <col min="8705" max="8705" width="11" style="311" customWidth="1"/>
    <col min="8706" max="8706" width="10.796875" style="311" customWidth="1"/>
    <col min="8707" max="8707" width="10" style="311" customWidth="1"/>
    <col min="8708" max="8708" width="11.3984375" style="311" customWidth="1"/>
    <col min="8709" max="8709" width="11.19921875" style="311" customWidth="1"/>
    <col min="8710" max="8710" width="12.19921875" style="311" customWidth="1"/>
    <col min="8711" max="8711" width="1.796875" style="311" customWidth="1"/>
    <col min="8712" max="8712" width="10.3984375" style="311" customWidth="1"/>
    <col min="8713" max="8713" width="0" style="311" hidden="1" customWidth="1"/>
    <col min="8714" max="8959" width="9.796875" style="311"/>
    <col min="8960" max="8960" width="9" style="311" customWidth="1"/>
    <col min="8961" max="8961" width="11" style="311" customWidth="1"/>
    <col min="8962" max="8962" width="10.796875" style="311" customWidth="1"/>
    <col min="8963" max="8963" width="10" style="311" customWidth="1"/>
    <col min="8964" max="8964" width="11.3984375" style="311" customWidth="1"/>
    <col min="8965" max="8965" width="11.19921875" style="311" customWidth="1"/>
    <col min="8966" max="8966" width="12.19921875" style="311" customWidth="1"/>
    <col min="8967" max="8967" width="1.796875" style="311" customWidth="1"/>
    <col min="8968" max="8968" width="10.3984375" style="311" customWidth="1"/>
    <col min="8969" max="8969" width="0" style="311" hidden="1" customWidth="1"/>
    <col min="8970" max="9215" width="9.796875" style="311"/>
    <col min="9216" max="9216" width="9" style="311" customWidth="1"/>
    <col min="9217" max="9217" width="11" style="311" customWidth="1"/>
    <col min="9218" max="9218" width="10.796875" style="311" customWidth="1"/>
    <col min="9219" max="9219" width="10" style="311" customWidth="1"/>
    <col min="9220" max="9220" width="11.3984375" style="311" customWidth="1"/>
    <col min="9221" max="9221" width="11.19921875" style="311" customWidth="1"/>
    <col min="9222" max="9222" width="12.19921875" style="311" customWidth="1"/>
    <col min="9223" max="9223" width="1.796875" style="311" customWidth="1"/>
    <col min="9224" max="9224" width="10.3984375" style="311" customWidth="1"/>
    <col min="9225" max="9225" width="0" style="311" hidden="1" customWidth="1"/>
    <col min="9226" max="9471" width="9.796875" style="311"/>
    <col min="9472" max="9472" width="9" style="311" customWidth="1"/>
    <col min="9473" max="9473" width="11" style="311" customWidth="1"/>
    <col min="9474" max="9474" width="10.796875" style="311" customWidth="1"/>
    <col min="9475" max="9475" width="10" style="311" customWidth="1"/>
    <col min="9476" max="9476" width="11.3984375" style="311" customWidth="1"/>
    <col min="9477" max="9477" width="11.19921875" style="311" customWidth="1"/>
    <col min="9478" max="9478" width="12.19921875" style="311" customWidth="1"/>
    <col min="9479" max="9479" width="1.796875" style="311" customWidth="1"/>
    <col min="9480" max="9480" width="10.3984375" style="311" customWidth="1"/>
    <col min="9481" max="9481" width="0" style="311" hidden="1" customWidth="1"/>
    <col min="9482" max="9727" width="9.796875" style="311"/>
    <col min="9728" max="9728" width="9" style="311" customWidth="1"/>
    <col min="9729" max="9729" width="11" style="311" customWidth="1"/>
    <col min="9730" max="9730" width="10.796875" style="311" customWidth="1"/>
    <col min="9731" max="9731" width="10" style="311" customWidth="1"/>
    <col min="9732" max="9732" width="11.3984375" style="311" customWidth="1"/>
    <col min="9733" max="9733" width="11.19921875" style="311" customWidth="1"/>
    <col min="9734" max="9734" width="12.19921875" style="311" customWidth="1"/>
    <col min="9735" max="9735" width="1.796875" style="311" customWidth="1"/>
    <col min="9736" max="9736" width="10.3984375" style="311" customWidth="1"/>
    <col min="9737" max="9737" width="0" style="311" hidden="1" customWidth="1"/>
    <col min="9738" max="9983" width="9.796875" style="311"/>
    <col min="9984" max="9984" width="9" style="311" customWidth="1"/>
    <col min="9985" max="9985" width="11" style="311" customWidth="1"/>
    <col min="9986" max="9986" width="10.796875" style="311" customWidth="1"/>
    <col min="9987" max="9987" width="10" style="311" customWidth="1"/>
    <col min="9988" max="9988" width="11.3984375" style="311" customWidth="1"/>
    <col min="9989" max="9989" width="11.19921875" style="311" customWidth="1"/>
    <col min="9990" max="9990" width="12.19921875" style="311" customWidth="1"/>
    <col min="9991" max="9991" width="1.796875" style="311" customWidth="1"/>
    <col min="9992" max="9992" width="10.3984375" style="311" customWidth="1"/>
    <col min="9993" max="9993" width="0" style="311" hidden="1" customWidth="1"/>
    <col min="9994" max="10239" width="9.796875" style="311"/>
    <col min="10240" max="10240" width="9" style="311" customWidth="1"/>
    <col min="10241" max="10241" width="11" style="311" customWidth="1"/>
    <col min="10242" max="10242" width="10.796875" style="311" customWidth="1"/>
    <col min="10243" max="10243" width="10" style="311" customWidth="1"/>
    <col min="10244" max="10244" width="11.3984375" style="311" customWidth="1"/>
    <col min="10245" max="10245" width="11.19921875" style="311" customWidth="1"/>
    <col min="10246" max="10246" width="12.19921875" style="311" customWidth="1"/>
    <col min="10247" max="10247" width="1.796875" style="311" customWidth="1"/>
    <col min="10248" max="10248" width="10.3984375" style="311" customWidth="1"/>
    <col min="10249" max="10249" width="0" style="311" hidden="1" customWidth="1"/>
    <col min="10250" max="10495" width="9.796875" style="311"/>
    <col min="10496" max="10496" width="9" style="311" customWidth="1"/>
    <col min="10497" max="10497" width="11" style="311" customWidth="1"/>
    <col min="10498" max="10498" width="10.796875" style="311" customWidth="1"/>
    <col min="10499" max="10499" width="10" style="311" customWidth="1"/>
    <col min="10500" max="10500" width="11.3984375" style="311" customWidth="1"/>
    <col min="10501" max="10501" width="11.19921875" style="311" customWidth="1"/>
    <col min="10502" max="10502" width="12.19921875" style="311" customWidth="1"/>
    <col min="10503" max="10503" width="1.796875" style="311" customWidth="1"/>
    <col min="10504" max="10504" width="10.3984375" style="311" customWidth="1"/>
    <col min="10505" max="10505" width="0" style="311" hidden="1" customWidth="1"/>
    <col min="10506" max="10751" width="9.796875" style="311"/>
    <col min="10752" max="10752" width="9" style="311" customWidth="1"/>
    <col min="10753" max="10753" width="11" style="311" customWidth="1"/>
    <col min="10754" max="10754" width="10.796875" style="311" customWidth="1"/>
    <col min="10755" max="10755" width="10" style="311" customWidth="1"/>
    <col min="10756" max="10756" width="11.3984375" style="311" customWidth="1"/>
    <col min="10757" max="10757" width="11.19921875" style="311" customWidth="1"/>
    <col min="10758" max="10758" width="12.19921875" style="311" customWidth="1"/>
    <col min="10759" max="10759" width="1.796875" style="311" customWidth="1"/>
    <col min="10760" max="10760" width="10.3984375" style="311" customWidth="1"/>
    <col min="10761" max="10761" width="0" style="311" hidden="1" customWidth="1"/>
    <col min="10762" max="11007" width="9.796875" style="311"/>
    <col min="11008" max="11008" width="9" style="311" customWidth="1"/>
    <col min="11009" max="11009" width="11" style="311" customWidth="1"/>
    <col min="11010" max="11010" width="10.796875" style="311" customWidth="1"/>
    <col min="11011" max="11011" width="10" style="311" customWidth="1"/>
    <col min="11012" max="11012" width="11.3984375" style="311" customWidth="1"/>
    <col min="11013" max="11013" width="11.19921875" style="311" customWidth="1"/>
    <col min="11014" max="11014" width="12.19921875" style="311" customWidth="1"/>
    <col min="11015" max="11015" width="1.796875" style="311" customWidth="1"/>
    <col min="11016" max="11016" width="10.3984375" style="311" customWidth="1"/>
    <col min="11017" max="11017" width="0" style="311" hidden="1" customWidth="1"/>
    <col min="11018" max="11263" width="9.796875" style="311"/>
    <col min="11264" max="11264" width="9" style="311" customWidth="1"/>
    <col min="11265" max="11265" width="11" style="311" customWidth="1"/>
    <col min="11266" max="11266" width="10.796875" style="311" customWidth="1"/>
    <col min="11267" max="11267" width="10" style="311" customWidth="1"/>
    <col min="11268" max="11268" width="11.3984375" style="311" customWidth="1"/>
    <col min="11269" max="11269" width="11.19921875" style="311" customWidth="1"/>
    <col min="11270" max="11270" width="12.19921875" style="311" customWidth="1"/>
    <col min="11271" max="11271" width="1.796875" style="311" customWidth="1"/>
    <col min="11272" max="11272" width="10.3984375" style="311" customWidth="1"/>
    <col min="11273" max="11273" width="0" style="311" hidden="1" customWidth="1"/>
    <col min="11274" max="11519" width="9.796875" style="311"/>
    <col min="11520" max="11520" width="9" style="311" customWidth="1"/>
    <col min="11521" max="11521" width="11" style="311" customWidth="1"/>
    <col min="11522" max="11522" width="10.796875" style="311" customWidth="1"/>
    <col min="11523" max="11523" width="10" style="311" customWidth="1"/>
    <col min="11524" max="11524" width="11.3984375" style="311" customWidth="1"/>
    <col min="11525" max="11525" width="11.19921875" style="311" customWidth="1"/>
    <col min="11526" max="11526" width="12.19921875" style="311" customWidth="1"/>
    <col min="11527" max="11527" width="1.796875" style="311" customWidth="1"/>
    <col min="11528" max="11528" width="10.3984375" style="311" customWidth="1"/>
    <col min="11529" max="11529" width="0" style="311" hidden="1" customWidth="1"/>
    <col min="11530" max="11775" width="9.796875" style="311"/>
    <col min="11776" max="11776" width="9" style="311" customWidth="1"/>
    <col min="11777" max="11777" width="11" style="311" customWidth="1"/>
    <col min="11778" max="11778" width="10.796875" style="311" customWidth="1"/>
    <col min="11779" max="11779" width="10" style="311" customWidth="1"/>
    <col min="11780" max="11780" width="11.3984375" style="311" customWidth="1"/>
    <col min="11781" max="11781" width="11.19921875" style="311" customWidth="1"/>
    <col min="11782" max="11782" width="12.19921875" style="311" customWidth="1"/>
    <col min="11783" max="11783" width="1.796875" style="311" customWidth="1"/>
    <col min="11784" max="11784" width="10.3984375" style="311" customWidth="1"/>
    <col min="11785" max="11785" width="0" style="311" hidden="1" customWidth="1"/>
    <col min="11786" max="12031" width="9.796875" style="311"/>
    <col min="12032" max="12032" width="9" style="311" customWidth="1"/>
    <col min="12033" max="12033" width="11" style="311" customWidth="1"/>
    <col min="12034" max="12034" width="10.796875" style="311" customWidth="1"/>
    <col min="12035" max="12035" width="10" style="311" customWidth="1"/>
    <col min="12036" max="12036" width="11.3984375" style="311" customWidth="1"/>
    <col min="12037" max="12037" width="11.19921875" style="311" customWidth="1"/>
    <col min="12038" max="12038" width="12.19921875" style="311" customWidth="1"/>
    <col min="12039" max="12039" width="1.796875" style="311" customWidth="1"/>
    <col min="12040" max="12040" width="10.3984375" style="311" customWidth="1"/>
    <col min="12041" max="12041" width="0" style="311" hidden="1" customWidth="1"/>
    <col min="12042" max="12287" width="9.796875" style="311"/>
    <col min="12288" max="12288" width="9" style="311" customWidth="1"/>
    <col min="12289" max="12289" width="11" style="311" customWidth="1"/>
    <col min="12290" max="12290" width="10.796875" style="311" customWidth="1"/>
    <col min="12291" max="12291" width="10" style="311" customWidth="1"/>
    <col min="12292" max="12292" width="11.3984375" style="311" customWidth="1"/>
    <col min="12293" max="12293" width="11.19921875" style="311" customWidth="1"/>
    <col min="12294" max="12294" width="12.19921875" style="311" customWidth="1"/>
    <col min="12295" max="12295" width="1.796875" style="311" customWidth="1"/>
    <col min="12296" max="12296" width="10.3984375" style="311" customWidth="1"/>
    <col min="12297" max="12297" width="0" style="311" hidden="1" customWidth="1"/>
    <col min="12298" max="12543" width="9.796875" style="311"/>
    <col min="12544" max="12544" width="9" style="311" customWidth="1"/>
    <col min="12545" max="12545" width="11" style="311" customWidth="1"/>
    <col min="12546" max="12546" width="10.796875" style="311" customWidth="1"/>
    <col min="12547" max="12547" width="10" style="311" customWidth="1"/>
    <col min="12548" max="12548" width="11.3984375" style="311" customWidth="1"/>
    <col min="12549" max="12549" width="11.19921875" style="311" customWidth="1"/>
    <col min="12550" max="12550" width="12.19921875" style="311" customWidth="1"/>
    <col min="12551" max="12551" width="1.796875" style="311" customWidth="1"/>
    <col min="12552" max="12552" width="10.3984375" style="311" customWidth="1"/>
    <col min="12553" max="12553" width="0" style="311" hidden="1" customWidth="1"/>
    <col min="12554" max="12799" width="9.796875" style="311"/>
    <col min="12800" max="12800" width="9" style="311" customWidth="1"/>
    <col min="12801" max="12801" width="11" style="311" customWidth="1"/>
    <col min="12802" max="12802" width="10.796875" style="311" customWidth="1"/>
    <col min="12803" max="12803" width="10" style="311" customWidth="1"/>
    <col min="12804" max="12804" width="11.3984375" style="311" customWidth="1"/>
    <col min="12805" max="12805" width="11.19921875" style="311" customWidth="1"/>
    <col min="12806" max="12806" width="12.19921875" style="311" customWidth="1"/>
    <col min="12807" max="12807" width="1.796875" style="311" customWidth="1"/>
    <col min="12808" max="12808" width="10.3984375" style="311" customWidth="1"/>
    <col min="12809" max="12809" width="0" style="311" hidden="1" customWidth="1"/>
    <col min="12810" max="13055" width="9.796875" style="311"/>
    <col min="13056" max="13056" width="9" style="311" customWidth="1"/>
    <col min="13057" max="13057" width="11" style="311" customWidth="1"/>
    <col min="13058" max="13058" width="10.796875" style="311" customWidth="1"/>
    <col min="13059" max="13059" width="10" style="311" customWidth="1"/>
    <col min="13060" max="13060" width="11.3984375" style="311" customWidth="1"/>
    <col min="13061" max="13061" width="11.19921875" style="311" customWidth="1"/>
    <col min="13062" max="13062" width="12.19921875" style="311" customWidth="1"/>
    <col min="13063" max="13063" width="1.796875" style="311" customWidth="1"/>
    <col min="13064" max="13064" width="10.3984375" style="311" customWidth="1"/>
    <col min="13065" max="13065" width="0" style="311" hidden="1" customWidth="1"/>
    <col min="13066" max="13311" width="9.796875" style="311"/>
    <col min="13312" max="13312" width="9" style="311" customWidth="1"/>
    <col min="13313" max="13313" width="11" style="311" customWidth="1"/>
    <col min="13314" max="13314" width="10.796875" style="311" customWidth="1"/>
    <col min="13315" max="13315" width="10" style="311" customWidth="1"/>
    <col min="13316" max="13316" width="11.3984375" style="311" customWidth="1"/>
    <col min="13317" max="13317" width="11.19921875" style="311" customWidth="1"/>
    <col min="13318" max="13318" width="12.19921875" style="311" customWidth="1"/>
    <col min="13319" max="13319" width="1.796875" style="311" customWidth="1"/>
    <col min="13320" max="13320" width="10.3984375" style="311" customWidth="1"/>
    <col min="13321" max="13321" width="0" style="311" hidden="1" customWidth="1"/>
    <col min="13322" max="13567" width="9.796875" style="311"/>
    <col min="13568" max="13568" width="9" style="311" customWidth="1"/>
    <col min="13569" max="13569" width="11" style="311" customWidth="1"/>
    <col min="13570" max="13570" width="10.796875" style="311" customWidth="1"/>
    <col min="13571" max="13571" width="10" style="311" customWidth="1"/>
    <col min="13572" max="13572" width="11.3984375" style="311" customWidth="1"/>
    <col min="13573" max="13573" width="11.19921875" style="311" customWidth="1"/>
    <col min="13574" max="13574" width="12.19921875" style="311" customWidth="1"/>
    <col min="13575" max="13575" width="1.796875" style="311" customWidth="1"/>
    <col min="13576" max="13576" width="10.3984375" style="311" customWidth="1"/>
    <col min="13577" max="13577" width="0" style="311" hidden="1" customWidth="1"/>
    <col min="13578" max="13823" width="9.796875" style="311"/>
    <col min="13824" max="13824" width="9" style="311" customWidth="1"/>
    <col min="13825" max="13825" width="11" style="311" customWidth="1"/>
    <col min="13826" max="13826" width="10.796875" style="311" customWidth="1"/>
    <col min="13827" max="13827" width="10" style="311" customWidth="1"/>
    <col min="13828" max="13828" width="11.3984375" style="311" customWidth="1"/>
    <col min="13829" max="13829" width="11.19921875" style="311" customWidth="1"/>
    <col min="13830" max="13830" width="12.19921875" style="311" customWidth="1"/>
    <col min="13831" max="13831" width="1.796875" style="311" customWidth="1"/>
    <col min="13832" max="13832" width="10.3984375" style="311" customWidth="1"/>
    <col min="13833" max="13833" width="0" style="311" hidden="1" customWidth="1"/>
    <col min="13834" max="14079" width="9.796875" style="311"/>
    <col min="14080" max="14080" width="9" style="311" customWidth="1"/>
    <col min="14081" max="14081" width="11" style="311" customWidth="1"/>
    <col min="14082" max="14082" width="10.796875" style="311" customWidth="1"/>
    <col min="14083" max="14083" width="10" style="311" customWidth="1"/>
    <col min="14084" max="14084" width="11.3984375" style="311" customWidth="1"/>
    <col min="14085" max="14085" width="11.19921875" style="311" customWidth="1"/>
    <col min="14086" max="14086" width="12.19921875" style="311" customWidth="1"/>
    <col min="14087" max="14087" width="1.796875" style="311" customWidth="1"/>
    <col min="14088" max="14088" width="10.3984375" style="311" customWidth="1"/>
    <col min="14089" max="14089" width="0" style="311" hidden="1" customWidth="1"/>
    <col min="14090" max="14335" width="9.796875" style="311"/>
    <col min="14336" max="14336" width="9" style="311" customWidth="1"/>
    <col min="14337" max="14337" width="11" style="311" customWidth="1"/>
    <col min="14338" max="14338" width="10.796875" style="311" customWidth="1"/>
    <col min="14339" max="14339" width="10" style="311" customWidth="1"/>
    <col min="14340" max="14340" width="11.3984375" style="311" customWidth="1"/>
    <col min="14341" max="14341" width="11.19921875" style="311" customWidth="1"/>
    <col min="14342" max="14342" width="12.19921875" style="311" customWidth="1"/>
    <col min="14343" max="14343" width="1.796875" style="311" customWidth="1"/>
    <col min="14344" max="14344" width="10.3984375" style="311" customWidth="1"/>
    <col min="14345" max="14345" width="0" style="311" hidden="1" customWidth="1"/>
    <col min="14346" max="14591" width="9.796875" style="311"/>
    <col min="14592" max="14592" width="9" style="311" customWidth="1"/>
    <col min="14593" max="14593" width="11" style="311" customWidth="1"/>
    <col min="14594" max="14594" width="10.796875" style="311" customWidth="1"/>
    <col min="14595" max="14595" width="10" style="311" customWidth="1"/>
    <col min="14596" max="14596" width="11.3984375" style="311" customWidth="1"/>
    <col min="14597" max="14597" width="11.19921875" style="311" customWidth="1"/>
    <col min="14598" max="14598" width="12.19921875" style="311" customWidth="1"/>
    <col min="14599" max="14599" width="1.796875" style="311" customWidth="1"/>
    <col min="14600" max="14600" width="10.3984375" style="311" customWidth="1"/>
    <col min="14601" max="14601" width="0" style="311" hidden="1" customWidth="1"/>
    <col min="14602" max="14847" width="9.796875" style="311"/>
    <col min="14848" max="14848" width="9" style="311" customWidth="1"/>
    <col min="14849" max="14849" width="11" style="311" customWidth="1"/>
    <col min="14850" max="14850" width="10.796875" style="311" customWidth="1"/>
    <col min="14851" max="14851" width="10" style="311" customWidth="1"/>
    <col min="14852" max="14852" width="11.3984375" style="311" customWidth="1"/>
    <col min="14853" max="14853" width="11.19921875" style="311" customWidth="1"/>
    <col min="14854" max="14854" width="12.19921875" style="311" customWidth="1"/>
    <col min="14855" max="14855" width="1.796875" style="311" customWidth="1"/>
    <col min="14856" max="14856" width="10.3984375" style="311" customWidth="1"/>
    <col min="14857" max="14857" width="0" style="311" hidden="1" customWidth="1"/>
    <col min="14858" max="15103" width="9.796875" style="311"/>
    <col min="15104" max="15104" width="9" style="311" customWidth="1"/>
    <col min="15105" max="15105" width="11" style="311" customWidth="1"/>
    <col min="15106" max="15106" width="10.796875" style="311" customWidth="1"/>
    <col min="15107" max="15107" width="10" style="311" customWidth="1"/>
    <col min="15108" max="15108" width="11.3984375" style="311" customWidth="1"/>
    <col min="15109" max="15109" width="11.19921875" style="311" customWidth="1"/>
    <col min="15110" max="15110" width="12.19921875" style="311" customWidth="1"/>
    <col min="15111" max="15111" width="1.796875" style="311" customWidth="1"/>
    <col min="15112" max="15112" width="10.3984375" style="311" customWidth="1"/>
    <col min="15113" max="15113" width="0" style="311" hidden="1" customWidth="1"/>
    <col min="15114" max="15359" width="9.796875" style="311"/>
    <col min="15360" max="15360" width="9" style="311" customWidth="1"/>
    <col min="15361" max="15361" width="11" style="311" customWidth="1"/>
    <col min="15362" max="15362" width="10.796875" style="311" customWidth="1"/>
    <col min="15363" max="15363" width="10" style="311" customWidth="1"/>
    <col min="15364" max="15364" width="11.3984375" style="311" customWidth="1"/>
    <col min="15365" max="15365" width="11.19921875" style="311" customWidth="1"/>
    <col min="15366" max="15366" width="12.19921875" style="311" customWidth="1"/>
    <col min="15367" max="15367" width="1.796875" style="311" customWidth="1"/>
    <col min="15368" max="15368" width="10.3984375" style="311" customWidth="1"/>
    <col min="15369" max="15369" width="0" style="311" hidden="1" customWidth="1"/>
    <col min="15370" max="15615" width="9.796875" style="311"/>
    <col min="15616" max="15616" width="9" style="311" customWidth="1"/>
    <col min="15617" max="15617" width="11" style="311" customWidth="1"/>
    <col min="15618" max="15618" width="10.796875" style="311" customWidth="1"/>
    <col min="15619" max="15619" width="10" style="311" customWidth="1"/>
    <col min="15620" max="15620" width="11.3984375" style="311" customWidth="1"/>
    <col min="15621" max="15621" width="11.19921875" style="311" customWidth="1"/>
    <col min="15622" max="15622" width="12.19921875" style="311" customWidth="1"/>
    <col min="15623" max="15623" width="1.796875" style="311" customWidth="1"/>
    <col min="15624" max="15624" width="10.3984375" style="311" customWidth="1"/>
    <col min="15625" max="15625" width="0" style="311" hidden="1" customWidth="1"/>
    <col min="15626" max="15871" width="9.796875" style="311"/>
    <col min="15872" max="15872" width="9" style="311" customWidth="1"/>
    <col min="15873" max="15873" width="11" style="311" customWidth="1"/>
    <col min="15874" max="15874" width="10.796875" style="311" customWidth="1"/>
    <col min="15875" max="15875" width="10" style="311" customWidth="1"/>
    <col min="15876" max="15876" width="11.3984375" style="311" customWidth="1"/>
    <col min="15877" max="15877" width="11.19921875" style="311" customWidth="1"/>
    <col min="15878" max="15878" width="12.19921875" style="311" customWidth="1"/>
    <col min="15879" max="15879" width="1.796875" style="311" customWidth="1"/>
    <col min="15880" max="15880" width="10.3984375" style="311" customWidth="1"/>
    <col min="15881" max="15881" width="0" style="311" hidden="1" customWidth="1"/>
    <col min="15882" max="16127" width="9.796875" style="311"/>
    <col min="16128" max="16128" width="9" style="311" customWidth="1"/>
    <col min="16129" max="16129" width="11" style="311" customWidth="1"/>
    <col min="16130" max="16130" width="10.796875" style="311" customWidth="1"/>
    <col min="16131" max="16131" width="10" style="311" customWidth="1"/>
    <col min="16132" max="16132" width="11.3984375" style="311" customWidth="1"/>
    <col min="16133" max="16133" width="11.19921875" style="311" customWidth="1"/>
    <col min="16134" max="16134" width="12.19921875" style="311" customWidth="1"/>
    <col min="16135" max="16135" width="1.796875" style="311" customWidth="1"/>
    <col min="16136" max="16136" width="10.3984375" style="311" customWidth="1"/>
    <col min="16137" max="16137" width="0" style="311" hidden="1" customWidth="1"/>
    <col min="16138" max="16384" width="9.796875" style="311"/>
  </cols>
  <sheetData>
    <row r="1" spans="1:78" ht="15" customHeight="1">
      <c r="E1" s="306"/>
    </row>
    <row r="3" spans="1:78" ht="15" customHeight="1">
      <c r="A3" s="285" t="s">
        <v>525</v>
      </c>
      <c r="B3" s="312"/>
      <c r="C3" s="312"/>
      <c r="D3" s="312"/>
      <c r="E3" s="312"/>
      <c r="F3" s="312"/>
      <c r="G3" s="312"/>
      <c r="H3" s="312"/>
      <c r="I3" s="312"/>
      <c r="BQ3" s="1038" t="s">
        <v>110</v>
      </c>
      <c r="BR3" s="1038"/>
      <c r="BS3" s="1038"/>
      <c r="BT3" s="1038"/>
      <c r="BU3" s="1038"/>
      <c r="BV3" s="1038"/>
      <c r="BW3" s="1038"/>
      <c r="BX3" s="1038"/>
      <c r="BY3" s="1038"/>
      <c r="BZ3" s="1038"/>
    </row>
    <row r="4" spans="1:78" ht="15" customHeight="1">
      <c r="A4" s="288" t="s">
        <v>257</v>
      </c>
      <c r="I4" s="301"/>
      <c r="BQ4" s="313"/>
      <c r="BR4" s="313"/>
      <c r="BS4" s="313"/>
      <c r="BT4" s="313"/>
      <c r="BU4" s="313"/>
      <c r="BV4" s="313"/>
      <c r="BW4" s="313"/>
      <c r="BX4" s="313"/>
      <c r="BY4" s="313"/>
      <c r="BZ4" s="313"/>
    </row>
    <row r="5" spans="1:78" ht="4.25" customHeight="1" thickBot="1">
      <c r="A5" s="1041"/>
      <c r="B5" s="1041"/>
      <c r="C5" s="1041"/>
      <c r="D5" s="1041"/>
      <c r="E5" s="1041"/>
      <c r="F5" s="1041"/>
      <c r="G5" s="1041"/>
      <c r="H5" s="1041"/>
      <c r="I5" s="1041"/>
      <c r="BQ5" s="1039" t="s">
        <v>245</v>
      </c>
      <c r="BR5" s="1039"/>
      <c r="BS5" s="1039"/>
      <c r="BT5" s="1039"/>
      <c r="BU5" s="1039"/>
      <c r="BV5" s="1039"/>
      <c r="BW5" s="1039"/>
      <c r="BX5" s="1039"/>
      <c r="BY5" s="1039"/>
      <c r="BZ5" s="1039"/>
    </row>
    <row r="6" spans="1:78" ht="16" customHeight="1">
      <c r="A6" s="1033" t="s">
        <v>107</v>
      </c>
      <c r="B6" s="754"/>
      <c r="C6" s="754"/>
      <c r="D6" s="754"/>
      <c r="E6" s="755" t="s">
        <v>111</v>
      </c>
      <c r="F6" s="754"/>
      <c r="G6" s="754"/>
      <c r="H6" s="1033" t="s">
        <v>250</v>
      </c>
      <c r="I6" s="306"/>
      <c r="BQ6" s="306" t="s">
        <v>107</v>
      </c>
      <c r="BR6" s="314"/>
      <c r="BS6" s="314"/>
      <c r="BT6" s="314"/>
      <c r="BU6" s="315" t="s">
        <v>111</v>
      </c>
      <c r="BV6" s="314"/>
      <c r="BW6" s="314"/>
      <c r="BY6" s="306" t="s">
        <v>112</v>
      </c>
      <c r="BZ6" s="306"/>
    </row>
    <row r="7" spans="1:78" ht="16" customHeight="1">
      <c r="A7" s="1034"/>
      <c r="B7" s="751" t="s">
        <v>251</v>
      </c>
      <c r="C7" s="751" t="s">
        <v>252</v>
      </c>
      <c r="D7" s="751" t="s">
        <v>253</v>
      </c>
      <c r="E7" s="751" t="s">
        <v>254</v>
      </c>
      <c r="F7" s="751" t="s">
        <v>255</v>
      </c>
      <c r="G7" s="751" t="s">
        <v>8</v>
      </c>
      <c r="H7" s="1034"/>
      <c r="I7" s="283" t="s">
        <v>14</v>
      </c>
      <c r="BQ7" s="314"/>
      <c r="BR7" s="284" t="s">
        <v>17</v>
      </c>
      <c r="BS7" s="284" t="s">
        <v>114</v>
      </c>
      <c r="BT7" s="283" t="s">
        <v>12</v>
      </c>
      <c r="BU7" s="284" t="s">
        <v>6</v>
      </c>
      <c r="BV7" s="283" t="s">
        <v>13</v>
      </c>
      <c r="BW7" s="284" t="s">
        <v>8</v>
      </c>
      <c r="BX7" s="284"/>
      <c r="BY7" s="283" t="s">
        <v>113</v>
      </c>
      <c r="BZ7" s="283" t="s">
        <v>14</v>
      </c>
    </row>
    <row r="8" spans="1:78" ht="18" customHeight="1">
      <c r="A8" s="684" t="s">
        <v>52</v>
      </c>
      <c r="B8" s="893">
        <f t="shared" ref="B8:G8" si="0">SUM(B9:B20)</f>
        <v>857287.97531999997</v>
      </c>
      <c r="C8" s="893">
        <f t="shared" si="0"/>
        <v>811833.75053999992</v>
      </c>
      <c r="D8" s="896">
        <f t="shared" si="0"/>
        <v>952.75077999999985</v>
      </c>
      <c r="E8" s="893">
        <f t="shared" si="0"/>
        <v>109255.17690000001</v>
      </c>
      <c r="F8" s="893">
        <f t="shared" si="0"/>
        <v>86966.329698000001</v>
      </c>
      <c r="G8" s="896">
        <f t="shared" si="0"/>
        <v>218.66755000000001</v>
      </c>
      <c r="H8" s="893">
        <f>SUM(H9:H20)</f>
        <v>201962.00099999999</v>
      </c>
      <c r="I8" s="317">
        <f>SUM(I9:I20)</f>
        <v>181601</v>
      </c>
      <c r="BQ8" s="316" t="s">
        <v>52</v>
      </c>
      <c r="BR8" s="317">
        <f t="shared" ref="BR8:BW8" si="1">SUM(BR9:BR20)</f>
        <v>617417</v>
      </c>
      <c r="BS8" s="317">
        <f t="shared" si="1"/>
        <v>0</v>
      </c>
      <c r="BT8" s="317">
        <f t="shared" si="1"/>
        <v>31999.5</v>
      </c>
      <c r="BU8" s="317">
        <f t="shared" si="1"/>
        <v>84973.919999999984</v>
      </c>
      <c r="BV8" s="317">
        <f t="shared" si="1"/>
        <v>145475</v>
      </c>
      <c r="BW8" s="317">
        <f t="shared" si="1"/>
        <v>6217.7999999999993</v>
      </c>
      <c r="BX8" s="317"/>
      <c r="BY8" s="317">
        <f>SUM(BY9:BY20)</f>
        <v>325300</v>
      </c>
      <c r="BZ8" s="317">
        <f>SUM(BZ9:BZ20)</f>
        <v>181601</v>
      </c>
    </row>
    <row r="9" spans="1:78" ht="18" customHeight="1">
      <c r="A9" s="306" t="s">
        <v>53</v>
      </c>
      <c r="B9" s="894">
        <v>66827.921409999995</v>
      </c>
      <c r="C9" s="894">
        <v>62027.056730000004</v>
      </c>
      <c r="D9" s="897">
        <v>76.163499999999999</v>
      </c>
      <c r="E9" s="894">
        <v>6781.7731999999996</v>
      </c>
      <c r="F9" s="894">
        <v>7171.0417619999998</v>
      </c>
      <c r="G9" s="897">
        <v>12.986499999999999</v>
      </c>
      <c r="H9" s="894">
        <v>21490.273000000001</v>
      </c>
      <c r="I9" s="298">
        <v>13971</v>
      </c>
      <c r="K9" s="589"/>
      <c r="L9" s="589"/>
      <c r="M9" s="589"/>
      <c r="N9" s="589"/>
      <c r="O9" s="589"/>
      <c r="P9" s="589"/>
      <c r="Q9" s="589"/>
      <c r="BQ9" s="306" t="s">
        <v>75</v>
      </c>
      <c r="BR9" s="298">
        <v>45967</v>
      </c>
      <c r="BS9" s="298"/>
      <c r="BT9" s="298">
        <v>2297.5</v>
      </c>
      <c r="BU9" s="298">
        <v>6299.45</v>
      </c>
      <c r="BV9" s="298">
        <v>10942</v>
      </c>
      <c r="BW9" s="298">
        <v>490</v>
      </c>
      <c r="BX9" s="298"/>
      <c r="BY9" s="298">
        <v>36000</v>
      </c>
      <c r="BZ9" s="298">
        <v>13971</v>
      </c>
    </row>
    <row r="10" spans="1:78" ht="18" customHeight="1">
      <c r="A10" s="306" t="s">
        <v>54</v>
      </c>
      <c r="B10" s="894">
        <v>61985.955980000013</v>
      </c>
      <c r="C10" s="894">
        <v>58435.773380000013</v>
      </c>
      <c r="D10" s="897">
        <v>61.415999999999997</v>
      </c>
      <c r="E10" s="894">
        <v>7420.8732</v>
      </c>
      <c r="F10" s="894">
        <v>6651.7585790000003</v>
      </c>
      <c r="G10" s="897">
        <v>6.9654999999999996</v>
      </c>
      <c r="H10" s="894">
        <v>18319.856</v>
      </c>
      <c r="I10" s="298">
        <v>13892</v>
      </c>
      <c r="K10" s="589"/>
      <c r="L10" s="589"/>
      <c r="M10" s="589"/>
      <c r="N10" s="589"/>
      <c r="O10" s="589"/>
      <c r="P10" s="589"/>
      <c r="Q10" s="589"/>
      <c r="BQ10" s="306" t="s">
        <v>76</v>
      </c>
      <c r="BR10" s="298">
        <v>48922</v>
      </c>
      <c r="BS10" s="298"/>
      <c r="BT10" s="298">
        <v>2329</v>
      </c>
      <c r="BU10" s="298">
        <v>6890.01</v>
      </c>
      <c r="BV10" s="298">
        <v>11392</v>
      </c>
      <c r="BW10" s="298">
        <v>500</v>
      </c>
      <c r="BX10" s="298"/>
      <c r="BY10" s="298">
        <v>28200</v>
      </c>
      <c r="BZ10" s="298">
        <v>13892</v>
      </c>
    </row>
    <row r="11" spans="1:78" ht="18" customHeight="1">
      <c r="A11" s="306" t="s">
        <v>55</v>
      </c>
      <c r="B11" s="894">
        <v>64080.300399999993</v>
      </c>
      <c r="C11" s="894">
        <v>60215.017799999994</v>
      </c>
      <c r="D11" s="897">
        <v>63.021000000000001</v>
      </c>
      <c r="E11" s="894">
        <v>7632.6632</v>
      </c>
      <c r="F11" s="894">
        <v>6557.4878120000003</v>
      </c>
      <c r="G11" s="897">
        <v>10.273</v>
      </c>
      <c r="H11" s="894">
        <v>19190.241000000002</v>
      </c>
      <c r="I11" s="298">
        <v>13866</v>
      </c>
      <c r="K11" s="589"/>
      <c r="L11" s="589"/>
      <c r="M11" s="589"/>
      <c r="N11" s="589"/>
      <c r="O11" s="589"/>
      <c r="P11" s="589"/>
      <c r="Q11" s="589"/>
      <c r="BQ11" s="306" t="s">
        <v>77</v>
      </c>
      <c r="BR11" s="298">
        <v>50546</v>
      </c>
      <c r="BS11" s="298"/>
      <c r="BT11" s="298">
        <v>2550</v>
      </c>
      <c r="BU11" s="298">
        <v>6877.14</v>
      </c>
      <c r="BV11" s="298">
        <v>11670</v>
      </c>
      <c r="BW11" s="298">
        <v>539</v>
      </c>
      <c r="BX11" s="298"/>
      <c r="BY11" s="298">
        <v>29600</v>
      </c>
      <c r="BZ11" s="298">
        <v>13866</v>
      </c>
    </row>
    <row r="12" spans="1:78" ht="18" customHeight="1">
      <c r="A12" s="306" t="s">
        <v>56</v>
      </c>
      <c r="B12" s="894">
        <v>71996.778740000009</v>
      </c>
      <c r="C12" s="894">
        <v>68062.865239999999</v>
      </c>
      <c r="D12" s="897">
        <v>68.724000000000004</v>
      </c>
      <c r="E12" s="894">
        <v>9139.0905000000002</v>
      </c>
      <c r="F12" s="894">
        <v>7797.0244350000003</v>
      </c>
      <c r="G12" s="897">
        <v>13.74</v>
      </c>
      <c r="H12" s="894">
        <v>15684.516</v>
      </c>
      <c r="I12" s="298">
        <v>15832</v>
      </c>
      <c r="K12" s="589"/>
      <c r="L12" s="589"/>
      <c r="M12" s="589"/>
      <c r="N12" s="589"/>
      <c r="O12" s="589"/>
      <c r="P12" s="589"/>
      <c r="Q12" s="589"/>
      <c r="BQ12" s="306" t="s">
        <v>78</v>
      </c>
      <c r="BR12" s="298">
        <v>49120</v>
      </c>
      <c r="BS12" s="298"/>
      <c r="BT12" s="298">
        <v>3012</v>
      </c>
      <c r="BU12" s="298">
        <v>7264.02</v>
      </c>
      <c r="BV12" s="298">
        <v>12385</v>
      </c>
      <c r="BW12" s="298">
        <v>520</v>
      </c>
      <c r="BX12" s="298"/>
      <c r="BY12" s="298">
        <v>23800</v>
      </c>
      <c r="BZ12" s="298">
        <v>15832</v>
      </c>
    </row>
    <row r="13" spans="1:78" ht="18" customHeight="1">
      <c r="A13" s="306" t="s">
        <v>57</v>
      </c>
      <c r="B13" s="894">
        <v>72817.719649999999</v>
      </c>
      <c r="C13" s="894">
        <v>69196.981780000002</v>
      </c>
      <c r="D13" s="897">
        <v>85.271539999999987</v>
      </c>
      <c r="E13" s="894">
        <v>9386.0344999999998</v>
      </c>
      <c r="F13" s="894">
        <v>7430.0504070000006</v>
      </c>
      <c r="G13" s="897">
        <v>12.862450000000001</v>
      </c>
      <c r="H13" s="894">
        <v>15686.507</v>
      </c>
      <c r="I13" s="298">
        <v>15061</v>
      </c>
      <c r="K13" s="589"/>
      <c r="L13" s="589"/>
      <c r="M13" s="589"/>
      <c r="N13" s="589"/>
      <c r="O13" s="589"/>
      <c r="P13" s="589"/>
      <c r="Q13" s="589"/>
      <c r="BQ13" s="306" t="s">
        <v>79</v>
      </c>
      <c r="BR13" s="298">
        <v>52577</v>
      </c>
      <c r="BS13" s="298"/>
      <c r="BT13" s="298">
        <v>3181</v>
      </c>
      <c r="BU13" s="298">
        <v>7132</v>
      </c>
      <c r="BV13" s="298">
        <v>12536</v>
      </c>
      <c r="BW13" s="298">
        <v>515</v>
      </c>
      <c r="BX13" s="298"/>
      <c r="BY13" s="298">
        <v>27800</v>
      </c>
      <c r="BZ13" s="298">
        <v>15061</v>
      </c>
    </row>
    <row r="14" spans="1:78" ht="18" customHeight="1">
      <c r="A14" s="306" t="s">
        <v>58</v>
      </c>
      <c r="B14" s="894">
        <v>73980.708470000012</v>
      </c>
      <c r="C14" s="894">
        <v>70472.319459999999</v>
      </c>
      <c r="D14" s="897">
        <v>84.804999999999993</v>
      </c>
      <c r="E14" s="894">
        <v>9299.9057000000012</v>
      </c>
      <c r="F14" s="894">
        <v>7148.3619240000007</v>
      </c>
      <c r="G14" s="897">
        <v>13.3161</v>
      </c>
      <c r="H14" s="894">
        <v>14144.416999999999</v>
      </c>
      <c r="I14" s="298">
        <v>15631</v>
      </c>
      <c r="K14" s="589"/>
      <c r="L14" s="589"/>
      <c r="M14" s="589"/>
      <c r="N14" s="589"/>
      <c r="O14" s="589"/>
      <c r="P14" s="589"/>
      <c r="Q14" s="589"/>
      <c r="BQ14" s="306" t="s">
        <v>80</v>
      </c>
      <c r="BR14" s="298">
        <v>52595</v>
      </c>
      <c r="BS14" s="298"/>
      <c r="BT14" s="298">
        <v>3247</v>
      </c>
      <c r="BU14" s="298">
        <v>7283</v>
      </c>
      <c r="BV14" s="298">
        <v>12799</v>
      </c>
      <c r="BW14" s="298">
        <v>531</v>
      </c>
      <c r="BX14" s="298"/>
      <c r="BY14" s="298">
        <v>26100</v>
      </c>
      <c r="BZ14" s="298">
        <v>15631</v>
      </c>
    </row>
    <row r="15" spans="1:78" ht="18" customHeight="1">
      <c r="A15" s="306" t="s">
        <v>59</v>
      </c>
      <c r="B15" s="894">
        <v>72746.400079999992</v>
      </c>
      <c r="C15" s="894">
        <v>68984.670029999994</v>
      </c>
      <c r="D15" s="897">
        <v>90.284600000000012</v>
      </c>
      <c r="E15" s="894">
        <v>9903.8544000000002</v>
      </c>
      <c r="F15" s="894">
        <v>7786.6937689999995</v>
      </c>
      <c r="G15" s="897">
        <v>14.231</v>
      </c>
      <c r="H15" s="894">
        <v>18266.003000000001</v>
      </c>
      <c r="I15" s="298">
        <v>15460</v>
      </c>
      <c r="K15" s="589"/>
      <c r="L15" s="589"/>
      <c r="M15" s="589"/>
      <c r="N15" s="589"/>
      <c r="O15" s="589"/>
      <c r="P15" s="589"/>
      <c r="Q15" s="589"/>
      <c r="BQ15" s="306" t="s">
        <v>81</v>
      </c>
      <c r="BR15" s="298">
        <v>50656</v>
      </c>
      <c r="BS15" s="298"/>
      <c r="BT15" s="298">
        <v>3037</v>
      </c>
      <c r="BU15" s="298">
        <v>7173.07</v>
      </c>
      <c r="BV15" s="298">
        <v>12739</v>
      </c>
      <c r="BW15" s="298">
        <v>517</v>
      </c>
      <c r="BX15" s="298"/>
      <c r="BY15" s="298">
        <v>25600</v>
      </c>
      <c r="BZ15" s="298">
        <v>15460</v>
      </c>
    </row>
    <row r="16" spans="1:78" ht="18" customHeight="1">
      <c r="A16" s="306" t="s">
        <v>60</v>
      </c>
      <c r="B16" s="894">
        <v>75473.833839999992</v>
      </c>
      <c r="C16" s="894">
        <v>71470.870120000007</v>
      </c>
      <c r="D16" s="897">
        <v>77.811399999999992</v>
      </c>
      <c r="E16" s="894">
        <v>9810.316499999999</v>
      </c>
      <c r="F16" s="894">
        <v>7555.886939</v>
      </c>
      <c r="G16" s="897">
        <v>22.290500000000002</v>
      </c>
      <c r="H16" s="894">
        <v>14806.105</v>
      </c>
      <c r="I16" s="298">
        <v>15509</v>
      </c>
      <c r="K16" s="589"/>
      <c r="L16" s="589"/>
      <c r="M16" s="589"/>
      <c r="N16" s="589"/>
      <c r="O16" s="589"/>
      <c r="P16" s="589"/>
      <c r="Q16" s="589"/>
      <c r="BQ16" s="306" t="s">
        <v>82</v>
      </c>
      <c r="BR16" s="298">
        <v>52402</v>
      </c>
      <c r="BS16" s="298"/>
      <c r="BT16" s="298">
        <v>2799</v>
      </c>
      <c r="BU16" s="298">
        <v>7036</v>
      </c>
      <c r="BV16" s="298">
        <v>12539</v>
      </c>
      <c r="BW16" s="298">
        <v>531</v>
      </c>
      <c r="BX16" s="298"/>
      <c r="BY16" s="298">
        <v>26500</v>
      </c>
      <c r="BZ16" s="298">
        <v>15509</v>
      </c>
    </row>
    <row r="17" spans="1:78" ht="18" customHeight="1">
      <c r="A17" s="306" t="s">
        <v>61</v>
      </c>
      <c r="B17" s="894">
        <v>72535.578250000006</v>
      </c>
      <c r="C17" s="894">
        <v>69058.108900000007</v>
      </c>
      <c r="D17" s="897">
        <v>85.390500000000003</v>
      </c>
      <c r="E17" s="894">
        <v>8621.6425999999992</v>
      </c>
      <c r="F17" s="894">
        <v>7221.1293169999999</v>
      </c>
      <c r="G17" s="897">
        <v>17.6465</v>
      </c>
      <c r="H17" s="894">
        <v>12667.927</v>
      </c>
      <c r="I17" s="298">
        <v>15501</v>
      </c>
      <c r="K17" s="589"/>
      <c r="L17" s="589"/>
      <c r="M17" s="589"/>
      <c r="N17" s="589"/>
      <c r="O17" s="589"/>
      <c r="P17" s="589"/>
      <c r="Q17" s="589"/>
      <c r="BQ17" s="306" t="s">
        <v>83</v>
      </c>
      <c r="BR17" s="298">
        <v>53163</v>
      </c>
      <c r="BS17" s="298"/>
      <c r="BT17" s="298">
        <v>2618</v>
      </c>
      <c r="BU17" s="298">
        <v>7105.38</v>
      </c>
      <c r="BV17" s="298">
        <v>12041.5</v>
      </c>
      <c r="BW17" s="298">
        <v>519</v>
      </c>
      <c r="BX17" s="298"/>
      <c r="BY17" s="298">
        <v>25800</v>
      </c>
      <c r="BZ17" s="298">
        <v>15501</v>
      </c>
    </row>
    <row r="18" spans="1:78" ht="18" customHeight="1">
      <c r="A18" s="306" t="s">
        <v>62</v>
      </c>
      <c r="B18" s="894">
        <v>74238.723800000022</v>
      </c>
      <c r="C18" s="894">
        <v>70897.873100000012</v>
      </c>
      <c r="D18" s="897">
        <v>87.743399999999994</v>
      </c>
      <c r="E18" s="894">
        <v>10408.026699999999</v>
      </c>
      <c r="F18" s="894">
        <v>7363.5269770000004</v>
      </c>
      <c r="G18" s="897">
        <v>18.012</v>
      </c>
      <c r="H18" s="894">
        <v>15985.609</v>
      </c>
      <c r="I18" s="298">
        <v>15767</v>
      </c>
      <c r="K18" s="589"/>
      <c r="L18" s="589"/>
      <c r="M18" s="589"/>
      <c r="N18" s="589"/>
      <c r="O18" s="589"/>
      <c r="P18" s="589"/>
      <c r="Q18" s="589"/>
      <c r="BQ18" s="306" t="s">
        <v>84</v>
      </c>
      <c r="BR18" s="298">
        <v>51559</v>
      </c>
      <c r="BS18" s="298"/>
      <c r="BT18" s="298">
        <v>2325</v>
      </c>
      <c r="BU18" s="298">
        <v>6985.01</v>
      </c>
      <c r="BV18" s="298">
        <v>12554.5</v>
      </c>
      <c r="BW18" s="298">
        <v>493</v>
      </c>
      <c r="BX18" s="298"/>
      <c r="BY18" s="298">
        <v>23800</v>
      </c>
      <c r="BZ18" s="298">
        <v>15767</v>
      </c>
    </row>
    <row r="19" spans="1:78" ht="18" customHeight="1">
      <c r="A19" s="306" t="s">
        <v>63</v>
      </c>
      <c r="B19" s="894">
        <v>71563.904699999999</v>
      </c>
      <c r="C19" s="894">
        <v>68464.41750000001</v>
      </c>
      <c r="D19" s="897">
        <v>83.20872</v>
      </c>
      <c r="E19" s="894">
        <v>9284.0303000000004</v>
      </c>
      <c r="F19" s="894">
        <v>6961.941957</v>
      </c>
      <c r="G19" s="897">
        <v>57.341000000000001</v>
      </c>
      <c r="H19" s="894">
        <v>17454.544000000002</v>
      </c>
      <c r="I19" s="298">
        <v>15834</v>
      </c>
      <c r="K19" s="589"/>
      <c r="L19" s="589"/>
      <c r="M19" s="589"/>
      <c r="N19" s="589"/>
      <c r="O19" s="589"/>
      <c r="P19" s="589"/>
      <c r="Q19" s="589"/>
      <c r="BQ19" s="306" t="s">
        <v>85</v>
      </c>
      <c r="BR19" s="298">
        <v>52680</v>
      </c>
      <c r="BS19" s="298"/>
      <c r="BT19" s="298">
        <v>2301</v>
      </c>
      <c r="BU19" s="298">
        <v>7307.39</v>
      </c>
      <c r="BV19" s="298">
        <v>11820.5</v>
      </c>
      <c r="BW19" s="298">
        <v>529.4</v>
      </c>
      <c r="BX19" s="298"/>
      <c r="BY19" s="298">
        <v>23800</v>
      </c>
      <c r="BZ19" s="298">
        <v>15834</v>
      </c>
    </row>
    <row r="20" spans="1:78" ht="18" customHeight="1" thickBot="1">
      <c r="A20" s="319" t="s">
        <v>64</v>
      </c>
      <c r="B20" s="895">
        <v>79040.149999999994</v>
      </c>
      <c r="C20" s="895">
        <v>74547.796499999997</v>
      </c>
      <c r="D20" s="898">
        <v>88.911119999999997</v>
      </c>
      <c r="E20" s="895">
        <v>11566.9661</v>
      </c>
      <c r="F20" s="895">
        <v>7321.4258200000004</v>
      </c>
      <c r="G20" s="898">
        <v>19.003</v>
      </c>
      <c r="H20" s="895">
        <v>18266.003000000001</v>
      </c>
      <c r="I20" s="320">
        <v>15277</v>
      </c>
      <c r="K20" s="589"/>
      <c r="L20" s="589"/>
      <c r="M20" s="589"/>
      <c r="N20" s="589"/>
      <c r="O20" s="589"/>
      <c r="P20" s="589"/>
      <c r="Q20" s="589"/>
      <c r="BQ20" s="319" t="s">
        <v>86</v>
      </c>
      <c r="BR20" s="320">
        <v>57230</v>
      </c>
      <c r="BS20" s="320"/>
      <c r="BT20" s="320">
        <v>2303</v>
      </c>
      <c r="BU20" s="320">
        <v>7621.45</v>
      </c>
      <c r="BV20" s="320">
        <v>12056.5</v>
      </c>
      <c r="BW20" s="320">
        <v>533.4</v>
      </c>
      <c r="BX20" s="320"/>
      <c r="BY20" s="320">
        <v>28300</v>
      </c>
      <c r="BZ20" s="320">
        <v>15277</v>
      </c>
    </row>
    <row r="21" spans="1:78" ht="9" customHeight="1">
      <c r="A21" s="508" t="s">
        <v>309</v>
      </c>
      <c r="B21" s="509"/>
      <c r="C21" s="510" t="s">
        <v>311</v>
      </c>
      <c r="D21" s="509"/>
      <c r="E21" s="510"/>
      <c r="F21" s="509"/>
      <c r="G21" s="510"/>
      <c r="H21" s="342"/>
      <c r="I21" s="295"/>
      <c r="J21" s="295"/>
      <c r="BQ21" s="321" t="s">
        <v>115</v>
      </c>
      <c r="BT21" s="321" t="s">
        <v>246</v>
      </c>
      <c r="BW21" s="321" t="s">
        <v>116</v>
      </c>
      <c r="BY21" s="308"/>
    </row>
    <row r="22" spans="1:78" ht="9" customHeight="1">
      <c r="A22" s="449" t="s">
        <v>330</v>
      </c>
      <c r="B22" s="979"/>
      <c r="C22" s="979"/>
      <c r="D22" s="510"/>
      <c r="E22" s="511"/>
      <c r="F22" s="511"/>
      <c r="G22" s="511"/>
      <c r="H22" s="343"/>
      <c r="I22" s="295"/>
      <c r="J22" s="295"/>
      <c r="BQ22" s="297"/>
      <c r="BY22" s="308"/>
    </row>
    <row r="23" spans="1:78" ht="9" customHeight="1">
      <c r="A23" s="498" t="s">
        <v>611</v>
      </c>
      <c r="B23" s="493"/>
      <c r="C23" s="511"/>
      <c r="D23" s="511"/>
      <c r="E23" s="511"/>
      <c r="F23" s="511"/>
      <c r="G23" s="511"/>
      <c r="H23" s="343"/>
      <c r="I23" s="295"/>
      <c r="J23" s="295"/>
      <c r="BQ23" s="297"/>
      <c r="BY23" s="308"/>
    </row>
    <row r="24" spans="1:78" ht="9" customHeight="1">
      <c r="A24" s="451" t="s">
        <v>303</v>
      </c>
      <c r="B24" s="493"/>
      <c r="C24" s="511"/>
      <c r="D24" s="511"/>
      <c r="E24" s="511"/>
      <c r="F24" s="511"/>
      <c r="G24" s="511"/>
      <c r="H24" s="343"/>
      <c r="I24" s="295"/>
      <c r="J24" s="295"/>
      <c r="BQ24" s="297"/>
      <c r="BY24" s="308"/>
    </row>
    <row r="25" spans="1:78" ht="15" customHeight="1">
      <c r="A25" s="297"/>
      <c r="H25" s="308"/>
      <c r="BQ25" s="297"/>
      <c r="BY25" s="308"/>
    </row>
    <row r="26" spans="1:78" ht="15" customHeight="1">
      <c r="A26" s="285" t="s">
        <v>524</v>
      </c>
      <c r="B26" s="344"/>
      <c r="C26" s="312"/>
      <c r="D26" s="312"/>
      <c r="E26" s="312"/>
      <c r="F26" s="312"/>
      <c r="G26" s="312"/>
      <c r="H26" s="312"/>
      <c r="I26" s="312"/>
      <c r="BQ26" s="1038" t="s">
        <v>247</v>
      </c>
      <c r="BR26" s="1038"/>
      <c r="BS26" s="1038"/>
      <c r="BT26" s="1038"/>
      <c r="BU26" s="1038"/>
      <c r="BV26" s="1038"/>
      <c r="BW26" s="1038"/>
      <c r="BX26" s="1038"/>
      <c r="BY26" s="1038"/>
      <c r="BZ26" s="1038"/>
    </row>
    <row r="27" spans="1:78" ht="15" customHeight="1">
      <c r="A27" s="288" t="s">
        <v>259</v>
      </c>
      <c r="B27" s="345"/>
      <c r="I27" s="301"/>
      <c r="BQ27" s="313"/>
      <c r="BR27" s="313"/>
      <c r="BS27" s="313"/>
      <c r="BT27" s="313"/>
      <c r="BU27" s="313"/>
      <c r="BV27" s="313"/>
      <c r="BW27" s="313"/>
      <c r="BX27" s="313"/>
      <c r="BY27" s="313"/>
      <c r="BZ27" s="313"/>
    </row>
    <row r="28" spans="1:78" ht="4.25" customHeight="1" thickBot="1">
      <c r="A28" s="1041"/>
      <c r="B28" s="1041"/>
      <c r="C28" s="1041"/>
      <c r="D28" s="1041"/>
      <c r="E28" s="1041"/>
      <c r="F28" s="1041"/>
      <c r="G28" s="1041"/>
      <c r="H28" s="1041"/>
      <c r="I28" s="1041"/>
      <c r="BQ28" s="1039" t="s">
        <v>245</v>
      </c>
      <c r="BR28" s="1039"/>
      <c r="BS28" s="1039"/>
      <c r="BT28" s="1039"/>
      <c r="BU28" s="1039"/>
      <c r="BV28" s="1039"/>
      <c r="BW28" s="1039"/>
      <c r="BX28" s="1039"/>
      <c r="BY28" s="1039"/>
      <c r="BZ28" s="1039"/>
    </row>
    <row r="29" spans="1:78" ht="16" customHeight="1">
      <c r="A29" s="1033" t="s">
        <v>107</v>
      </c>
      <c r="B29" s="754"/>
      <c r="C29" s="754"/>
      <c r="D29" s="754"/>
      <c r="E29" s="755" t="s">
        <v>111</v>
      </c>
      <c r="F29" s="754"/>
      <c r="G29" s="754"/>
      <c r="H29" s="1033" t="s">
        <v>250</v>
      </c>
      <c r="I29" s="306"/>
      <c r="BQ29" s="306" t="s">
        <v>107</v>
      </c>
      <c r="BR29" s="314"/>
      <c r="BS29" s="314"/>
      <c r="BT29" s="314"/>
      <c r="BU29" s="315" t="s">
        <v>111</v>
      </c>
      <c r="BV29" s="314"/>
      <c r="BW29" s="314"/>
      <c r="BY29" s="306" t="s">
        <v>112</v>
      </c>
      <c r="BZ29" s="306"/>
    </row>
    <row r="30" spans="1:78" ht="16" customHeight="1">
      <c r="A30" s="1034"/>
      <c r="B30" s="751" t="s">
        <v>251</v>
      </c>
      <c r="C30" s="751" t="s">
        <v>252</v>
      </c>
      <c r="D30" s="751" t="s">
        <v>253</v>
      </c>
      <c r="E30" s="751" t="s">
        <v>254</v>
      </c>
      <c r="F30" s="751" t="s">
        <v>255</v>
      </c>
      <c r="G30" s="751" t="s">
        <v>8</v>
      </c>
      <c r="H30" s="1034"/>
      <c r="I30" s="283" t="s">
        <v>14</v>
      </c>
      <c r="BQ30" s="314"/>
      <c r="BR30" s="284" t="s">
        <v>17</v>
      </c>
      <c r="BS30" s="284" t="s">
        <v>114</v>
      </c>
      <c r="BT30" s="283" t="s">
        <v>12</v>
      </c>
      <c r="BU30" s="284" t="s">
        <v>6</v>
      </c>
      <c r="BV30" s="283" t="s">
        <v>13</v>
      </c>
      <c r="BW30" s="284" t="s">
        <v>8</v>
      </c>
      <c r="BX30" s="284"/>
      <c r="BY30" s="283" t="s">
        <v>113</v>
      </c>
      <c r="BZ30" s="283" t="s">
        <v>14</v>
      </c>
    </row>
    <row r="31" spans="1:78" ht="18" customHeight="1">
      <c r="A31" s="684" t="s">
        <v>52</v>
      </c>
      <c r="B31" s="893">
        <f t="shared" ref="B31:G31" si="2">SUM(B32:B43)</f>
        <v>811363.90000000014</v>
      </c>
      <c r="C31" s="893">
        <f t="shared" si="2"/>
        <v>765182.64900000009</v>
      </c>
      <c r="D31" s="896">
        <f t="shared" si="2"/>
        <v>839.60899999999992</v>
      </c>
      <c r="E31" s="893">
        <f t="shared" si="2"/>
        <v>109267.55899999999</v>
      </c>
      <c r="F31" s="896">
        <f t="shared" si="2"/>
        <v>84322.4</v>
      </c>
      <c r="G31" s="896">
        <f t="shared" si="2"/>
        <v>132.822</v>
      </c>
      <c r="H31" s="893">
        <f>SUM(H32:H43)</f>
        <v>201962.00099999999</v>
      </c>
      <c r="I31" s="318">
        <f>SUM(I32:I43)</f>
        <v>152241.59999999998</v>
      </c>
      <c r="K31" s="588"/>
      <c r="BQ31" s="316" t="s">
        <v>52</v>
      </c>
      <c r="BR31" s="318">
        <f t="shared" ref="BR31:BW31" si="3">SUM(BR32:BR43)</f>
        <v>578248</v>
      </c>
      <c r="BS31" s="318">
        <f t="shared" si="3"/>
        <v>380402</v>
      </c>
      <c r="BT31" s="318">
        <f t="shared" si="3"/>
        <v>32068</v>
      </c>
      <c r="BU31" s="318">
        <f t="shared" si="3"/>
        <v>94959.5</v>
      </c>
      <c r="BV31" s="318">
        <f t="shared" si="3"/>
        <v>139885</v>
      </c>
      <c r="BW31" s="318">
        <f t="shared" si="3"/>
        <v>6467</v>
      </c>
      <c r="BX31" s="318"/>
      <c r="BY31" s="318">
        <f>SUM(BY32:BY43)</f>
        <v>374700</v>
      </c>
      <c r="BZ31" s="318">
        <f>SUM(BZ32:BZ43)</f>
        <v>152241.59999999998</v>
      </c>
    </row>
    <row r="32" spans="1:78" ht="18" customHeight="1">
      <c r="A32" s="306" t="s">
        <v>53</v>
      </c>
      <c r="B32" s="894">
        <v>73325.948999999993</v>
      </c>
      <c r="C32" s="894">
        <v>69322.297999999995</v>
      </c>
      <c r="D32" s="897">
        <v>57.655999999999999</v>
      </c>
      <c r="E32" s="894">
        <v>7577.1440000000002</v>
      </c>
      <c r="F32" s="894">
        <v>6567.875</v>
      </c>
      <c r="G32" s="897">
        <v>6.1420000000000003</v>
      </c>
      <c r="H32" s="894">
        <v>21490.273000000001</v>
      </c>
      <c r="I32" s="298">
        <v>11459</v>
      </c>
      <c r="K32" s="588"/>
      <c r="BQ32" s="306" t="s">
        <v>75</v>
      </c>
      <c r="BR32" s="298">
        <v>45102</v>
      </c>
      <c r="BS32" s="298">
        <v>30844</v>
      </c>
      <c r="BT32" s="298">
        <v>2229</v>
      </c>
      <c r="BU32" s="298">
        <v>7225</v>
      </c>
      <c r="BV32" s="298">
        <v>10586</v>
      </c>
      <c r="BW32" s="298">
        <v>524</v>
      </c>
      <c r="BX32" s="298"/>
      <c r="BY32" s="298">
        <v>41900</v>
      </c>
      <c r="BZ32" s="298">
        <v>11459</v>
      </c>
    </row>
    <row r="33" spans="1:78" ht="18" customHeight="1">
      <c r="A33" s="306" t="s">
        <v>54</v>
      </c>
      <c r="B33" s="894">
        <v>62112.553999999996</v>
      </c>
      <c r="C33" s="894">
        <v>58651.656999999999</v>
      </c>
      <c r="D33" s="897">
        <v>59.064</v>
      </c>
      <c r="E33" s="894">
        <v>8353.07</v>
      </c>
      <c r="F33" s="894">
        <v>6364.5240000000003</v>
      </c>
      <c r="G33" s="897">
        <v>5.4770000000000003</v>
      </c>
      <c r="H33" s="894">
        <v>18319.856</v>
      </c>
      <c r="I33" s="298">
        <v>15954</v>
      </c>
      <c r="K33" s="588"/>
      <c r="BQ33" s="306" t="s">
        <v>76</v>
      </c>
      <c r="BR33" s="298">
        <v>46879</v>
      </c>
      <c r="BS33" s="298">
        <v>29083</v>
      </c>
      <c r="BT33" s="298">
        <v>2347</v>
      </c>
      <c r="BU33" s="298">
        <v>7309</v>
      </c>
      <c r="BV33" s="298">
        <v>11169</v>
      </c>
      <c r="BW33" s="298">
        <v>568</v>
      </c>
      <c r="BX33" s="298"/>
      <c r="BY33" s="298">
        <v>35300</v>
      </c>
      <c r="BZ33" s="298">
        <v>15954</v>
      </c>
    </row>
    <row r="34" spans="1:78" ht="18" customHeight="1">
      <c r="A34" s="306" t="s">
        <v>55</v>
      </c>
      <c r="B34" s="894">
        <v>59373.349000000002</v>
      </c>
      <c r="C34" s="894">
        <v>55933.358999999997</v>
      </c>
      <c r="D34" s="897">
        <v>68.677000000000007</v>
      </c>
      <c r="E34" s="894">
        <v>9609.5020000000004</v>
      </c>
      <c r="F34" s="894">
        <v>7582.3649999999998</v>
      </c>
      <c r="G34" s="897">
        <v>5.375</v>
      </c>
      <c r="H34" s="894">
        <v>19190.241000000002</v>
      </c>
      <c r="I34" s="298">
        <v>12217</v>
      </c>
      <c r="K34" s="588"/>
      <c r="BQ34" s="306" t="s">
        <v>77</v>
      </c>
      <c r="BR34" s="298">
        <v>48278</v>
      </c>
      <c r="BS34" s="298">
        <v>28603</v>
      </c>
      <c r="BT34" s="298">
        <v>2513</v>
      </c>
      <c r="BU34" s="298">
        <v>7501</v>
      </c>
      <c r="BV34" s="298">
        <v>11410</v>
      </c>
      <c r="BW34" s="298">
        <v>572</v>
      </c>
      <c r="BX34" s="298"/>
      <c r="BY34" s="298">
        <v>32500</v>
      </c>
      <c r="BZ34" s="298">
        <v>12217</v>
      </c>
    </row>
    <row r="35" spans="1:78" ht="18" customHeight="1">
      <c r="A35" s="306" t="s">
        <v>56</v>
      </c>
      <c r="B35" s="894">
        <v>56741.430999999997</v>
      </c>
      <c r="C35" s="894">
        <v>53441.642999999996</v>
      </c>
      <c r="D35" s="897">
        <v>55.152000000000001</v>
      </c>
      <c r="E35" s="894">
        <v>8160.0540000000001</v>
      </c>
      <c r="F35" s="894">
        <v>6893.0060000000003</v>
      </c>
      <c r="G35" s="897">
        <v>5.048</v>
      </c>
      <c r="H35" s="894">
        <v>15684.516</v>
      </c>
      <c r="I35" s="298">
        <v>12738</v>
      </c>
      <c r="K35" s="588"/>
      <c r="BQ35" s="306" t="s">
        <v>78</v>
      </c>
      <c r="BR35" s="298">
        <v>47609</v>
      </c>
      <c r="BS35" s="298">
        <v>27196</v>
      </c>
      <c r="BT35" s="298">
        <v>2914</v>
      </c>
      <c r="BU35" s="298">
        <v>7592</v>
      </c>
      <c r="BV35" s="298">
        <v>11593</v>
      </c>
      <c r="BW35" s="298">
        <v>576</v>
      </c>
      <c r="BX35" s="298"/>
      <c r="BY35" s="298">
        <v>30600</v>
      </c>
      <c r="BZ35" s="298">
        <v>12738</v>
      </c>
    </row>
    <row r="36" spans="1:78" ht="18" customHeight="1">
      <c r="A36" s="306" t="s">
        <v>57</v>
      </c>
      <c r="B36" s="894">
        <v>65957.509000000005</v>
      </c>
      <c r="C36" s="894">
        <v>61694.010999999999</v>
      </c>
      <c r="D36" s="897">
        <v>89.149000000000001</v>
      </c>
      <c r="E36" s="894">
        <v>9612.1530000000002</v>
      </c>
      <c r="F36" s="894">
        <v>7474.8879999999999</v>
      </c>
      <c r="G36" s="897">
        <v>12.504</v>
      </c>
      <c r="H36" s="894">
        <v>15686.507</v>
      </c>
      <c r="I36" s="298">
        <v>12579</v>
      </c>
      <c r="K36" s="588"/>
      <c r="BQ36" s="306" t="s">
        <v>79</v>
      </c>
      <c r="BR36" s="298">
        <v>46240</v>
      </c>
      <c r="BS36" s="298">
        <v>31239</v>
      </c>
      <c r="BT36" s="298">
        <v>3018</v>
      </c>
      <c r="BU36" s="298">
        <v>7816</v>
      </c>
      <c r="BV36" s="298">
        <v>12063</v>
      </c>
      <c r="BW36" s="298">
        <v>565</v>
      </c>
      <c r="BX36" s="298"/>
      <c r="BY36" s="298">
        <v>29100</v>
      </c>
      <c r="BZ36" s="298">
        <v>12579</v>
      </c>
    </row>
    <row r="37" spans="1:78" ht="18" customHeight="1">
      <c r="A37" s="306" t="s">
        <v>58</v>
      </c>
      <c r="B37" s="894">
        <v>72036.479000000007</v>
      </c>
      <c r="C37" s="894">
        <v>68049.459000000003</v>
      </c>
      <c r="D37" s="897">
        <v>81.516999999999996</v>
      </c>
      <c r="E37" s="894">
        <v>9436.0849999999991</v>
      </c>
      <c r="F37" s="894">
        <v>7493.6239999999998</v>
      </c>
      <c r="G37" s="897">
        <v>11.727</v>
      </c>
      <c r="H37" s="894">
        <v>14144.416999999999</v>
      </c>
      <c r="I37" s="298">
        <v>12545</v>
      </c>
      <c r="K37" s="588"/>
      <c r="BQ37" s="306" t="s">
        <v>80</v>
      </c>
      <c r="BR37" s="298">
        <v>47405</v>
      </c>
      <c r="BS37" s="298">
        <v>29856</v>
      </c>
      <c r="BT37" s="298">
        <v>3328</v>
      </c>
      <c r="BU37" s="298">
        <v>8014</v>
      </c>
      <c r="BV37" s="298">
        <v>12094</v>
      </c>
      <c r="BW37" s="298">
        <v>548</v>
      </c>
      <c r="BX37" s="298"/>
      <c r="BY37" s="298">
        <v>25900</v>
      </c>
      <c r="BZ37" s="298">
        <v>12545</v>
      </c>
    </row>
    <row r="38" spans="1:78" ht="18" customHeight="1">
      <c r="A38" s="306" t="s">
        <v>59</v>
      </c>
      <c r="B38" s="894">
        <v>69038.975000000006</v>
      </c>
      <c r="C38" s="894">
        <v>64863.237999999998</v>
      </c>
      <c r="D38" s="897">
        <v>73.126999999999995</v>
      </c>
      <c r="E38" s="894">
        <v>10018.864</v>
      </c>
      <c r="F38" s="894">
        <v>7146.527</v>
      </c>
      <c r="G38" s="897">
        <v>9.0169999999999995</v>
      </c>
      <c r="H38" s="894">
        <v>18266.003000000001</v>
      </c>
      <c r="I38" s="298">
        <v>12467</v>
      </c>
      <c r="K38" s="588"/>
      <c r="BQ38" s="306" t="s">
        <v>81</v>
      </c>
      <c r="BR38" s="298">
        <v>48535</v>
      </c>
      <c r="BS38" s="298">
        <v>31568</v>
      </c>
      <c r="BT38" s="298">
        <v>3287</v>
      </c>
      <c r="BU38" s="298">
        <v>8529</v>
      </c>
      <c r="BV38" s="298">
        <v>12033</v>
      </c>
      <c r="BW38" s="298">
        <v>517.5</v>
      </c>
      <c r="BX38" s="298"/>
      <c r="BY38" s="298">
        <v>30900</v>
      </c>
      <c r="BZ38" s="298">
        <v>12467</v>
      </c>
    </row>
    <row r="39" spans="1:78" ht="18" customHeight="1">
      <c r="A39" s="306" t="s">
        <v>60</v>
      </c>
      <c r="B39" s="894">
        <v>72361.197</v>
      </c>
      <c r="C39" s="894">
        <v>67808.763000000006</v>
      </c>
      <c r="D39" s="897">
        <v>68.165000000000006</v>
      </c>
      <c r="E39" s="894">
        <v>9583.0930000000008</v>
      </c>
      <c r="F39" s="894">
        <v>7273.6710000000003</v>
      </c>
      <c r="G39" s="897">
        <v>17.48</v>
      </c>
      <c r="H39" s="894">
        <v>14806.105</v>
      </c>
      <c r="I39" s="298">
        <v>12871</v>
      </c>
      <c r="K39" s="588"/>
      <c r="BQ39" s="306" t="s">
        <v>82</v>
      </c>
      <c r="BR39" s="298">
        <v>49440</v>
      </c>
      <c r="BS39" s="298">
        <v>32897</v>
      </c>
      <c r="BT39" s="298">
        <v>2908</v>
      </c>
      <c r="BU39" s="298">
        <v>8113</v>
      </c>
      <c r="BV39" s="298">
        <v>12051</v>
      </c>
      <c r="BW39" s="298">
        <v>513.5</v>
      </c>
      <c r="BX39" s="298"/>
      <c r="BY39" s="298">
        <v>25900</v>
      </c>
      <c r="BZ39" s="298">
        <v>12871</v>
      </c>
    </row>
    <row r="40" spans="1:78" ht="18" customHeight="1">
      <c r="A40" s="306" t="s">
        <v>61</v>
      </c>
      <c r="B40" s="894">
        <v>68676.971000000005</v>
      </c>
      <c r="C40" s="894">
        <v>65020.394999999997</v>
      </c>
      <c r="D40" s="897">
        <v>70.278999999999996</v>
      </c>
      <c r="E40" s="894">
        <v>8665.7530000000006</v>
      </c>
      <c r="F40" s="894">
        <v>6725.9430000000002</v>
      </c>
      <c r="G40" s="897">
        <v>13.772</v>
      </c>
      <c r="H40" s="894">
        <v>12667.927</v>
      </c>
      <c r="I40" s="298">
        <v>12209.4</v>
      </c>
      <c r="K40" s="588"/>
      <c r="BQ40" s="306" t="s">
        <v>83</v>
      </c>
      <c r="BR40" s="298">
        <v>47468</v>
      </c>
      <c r="BS40" s="298">
        <v>34714</v>
      </c>
      <c r="BT40" s="298">
        <v>2681</v>
      </c>
      <c r="BU40" s="298">
        <v>7897</v>
      </c>
      <c r="BV40" s="298">
        <v>11479</v>
      </c>
      <c r="BW40" s="298">
        <v>500.5</v>
      </c>
      <c r="BX40" s="298"/>
      <c r="BY40" s="298">
        <v>25000</v>
      </c>
      <c r="BZ40" s="298">
        <v>12209.4</v>
      </c>
    </row>
    <row r="41" spans="1:78" ht="18" customHeight="1">
      <c r="A41" s="306" t="s">
        <v>62</v>
      </c>
      <c r="B41" s="894">
        <v>71858.932000000001</v>
      </c>
      <c r="C41" s="894">
        <v>68280.817999999999</v>
      </c>
      <c r="D41" s="897">
        <v>74.481999999999999</v>
      </c>
      <c r="E41" s="894">
        <v>9273.3889999999992</v>
      </c>
      <c r="F41" s="894">
        <v>6806.9690000000001</v>
      </c>
      <c r="G41" s="897">
        <v>17.942</v>
      </c>
      <c r="H41" s="894">
        <v>15985.609</v>
      </c>
      <c r="I41" s="298">
        <v>12396.4</v>
      </c>
      <c r="K41" s="588"/>
      <c r="BQ41" s="306" t="s">
        <v>84</v>
      </c>
      <c r="BR41" s="298">
        <v>48550</v>
      </c>
      <c r="BS41" s="298">
        <v>34277</v>
      </c>
      <c r="BT41" s="298">
        <v>2349</v>
      </c>
      <c r="BU41" s="298">
        <v>7983</v>
      </c>
      <c r="BV41" s="298">
        <v>11607</v>
      </c>
      <c r="BW41" s="298">
        <v>498.5</v>
      </c>
      <c r="BX41" s="298"/>
      <c r="BY41" s="298">
        <v>27200</v>
      </c>
      <c r="BZ41" s="298">
        <v>12396.4</v>
      </c>
    </row>
    <row r="42" spans="1:78" ht="18" customHeight="1">
      <c r="A42" s="306" t="s">
        <v>63</v>
      </c>
      <c r="B42" s="894">
        <v>65668.506999999998</v>
      </c>
      <c r="C42" s="894">
        <v>62417.925000000003</v>
      </c>
      <c r="D42" s="897">
        <v>70.451999999999998</v>
      </c>
      <c r="E42" s="894">
        <v>8654.6890000000003</v>
      </c>
      <c r="F42" s="894">
        <v>6852.5209999999997</v>
      </c>
      <c r="G42" s="897">
        <v>14.85</v>
      </c>
      <c r="H42" s="894">
        <v>17454.544000000002</v>
      </c>
      <c r="I42" s="298">
        <v>12726.4</v>
      </c>
      <c r="K42" s="588"/>
      <c r="BQ42" s="306" t="s">
        <v>85</v>
      </c>
      <c r="BR42" s="298">
        <v>47516.5</v>
      </c>
      <c r="BS42" s="298">
        <v>32600</v>
      </c>
      <c r="BT42" s="298">
        <v>2222.5</v>
      </c>
      <c r="BU42" s="298">
        <v>8324.5</v>
      </c>
      <c r="BV42" s="298">
        <v>11978</v>
      </c>
      <c r="BW42" s="298">
        <v>529.5</v>
      </c>
      <c r="BX42" s="298"/>
      <c r="BY42" s="298">
        <v>31100</v>
      </c>
      <c r="BZ42" s="298">
        <v>12726.4</v>
      </c>
    </row>
    <row r="43" spans="1:78" ht="18" customHeight="1" thickBot="1">
      <c r="A43" s="319" t="s">
        <v>64</v>
      </c>
      <c r="B43" s="895">
        <v>74212.047000000006</v>
      </c>
      <c r="C43" s="895">
        <v>69699.082999999999</v>
      </c>
      <c r="D43" s="898">
        <v>71.888999999999996</v>
      </c>
      <c r="E43" s="895">
        <v>10323.763000000001</v>
      </c>
      <c r="F43" s="895">
        <v>7140.4870000000001</v>
      </c>
      <c r="G43" s="898">
        <v>13.488</v>
      </c>
      <c r="H43" s="895">
        <v>18266.003000000001</v>
      </c>
      <c r="I43" s="320">
        <v>12079.4</v>
      </c>
      <c r="K43" s="588"/>
      <c r="BQ43" s="319" t="s">
        <v>86</v>
      </c>
      <c r="BR43" s="320">
        <v>55225.5</v>
      </c>
      <c r="BS43" s="320">
        <v>37525</v>
      </c>
      <c r="BT43" s="320">
        <v>2271.5</v>
      </c>
      <c r="BU43" s="320">
        <v>8656</v>
      </c>
      <c r="BV43" s="320">
        <v>11822</v>
      </c>
      <c r="BW43" s="320">
        <v>554.5</v>
      </c>
      <c r="BX43" s="320"/>
      <c r="BY43" s="320">
        <v>39300</v>
      </c>
      <c r="BZ43" s="320">
        <v>12079.4</v>
      </c>
    </row>
    <row r="44" spans="1:78" ht="9" customHeight="1">
      <c r="A44" s="508" t="s">
        <v>309</v>
      </c>
      <c r="B44" s="509"/>
      <c r="C44" s="510" t="s">
        <v>311</v>
      </c>
      <c r="D44" s="509"/>
      <c r="F44" s="342"/>
      <c r="G44" s="294"/>
      <c r="H44" s="342"/>
      <c r="I44" s="342"/>
      <c r="J44" s="295"/>
      <c r="BQ44" s="306"/>
      <c r="BR44" s="298"/>
      <c r="BS44" s="298"/>
      <c r="BT44" s="298"/>
      <c r="BU44" s="298"/>
      <c r="BV44" s="298"/>
      <c r="BW44" s="298"/>
      <c r="BX44" s="298"/>
      <c r="BY44" s="298"/>
      <c r="BZ44" s="298"/>
    </row>
    <row r="45" spans="1:78" ht="9" customHeight="1">
      <c r="A45" s="498" t="s">
        <v>611</v>
      </c>
      <c r="B45" s="493"/>
      <c r="C45" s="511"/>
      <c r="D45" s="511"/>
      <c r="E45" s="511"/>
      <c r="F45" s="295"/>
      <c r="G45" s="295"/>
      <c r="H45" s="343"/>
      <c r="I45" s="295"/>
      <c r="J45" s="295"/>
      <c r="BQ45" s="297"/>
      <c r="BY45" s="308"/>
    </row>
    <row r="46" spans="1:78" ht="9" customHeight="1">
      <c r="A46" s="451" t="s">
        <v>303</v>
      </c>
      <c r="B46" s="493"/>
      <c r="C46" s="511"/>
      <c r="D46" s="511"/>
      <c r="E46" s="511"/>
      <c r="F46" s="295"/>
      <c r="G46" s="295"/>
      <c r="H46" s="343"/>
      <c r="I46" s="295"/>
      <c r="J46" s="295"/>
      <c r="BY46" s="308"/>
    </row>
    <row r="47" spans="1:78" ht="15" customHeight="1">
      <c r="A47" s="277"/>
      <c r="H47" s="308"/>
      <c r="BY47" s="308"/>
    </row>
    <row r="48" spans="1:78" ht="15" customHeight="1">
      <c r="A48" s="279"/>
    </row>
  </sheetData>
  <mergeCells count="10">
    <mergeCell ref="A29:A30"/>
    <mergeCell ref="H29:H30"/>
    <mergeCell ref="A28:I28"/>
    <mergeCell ref="BQ28:BZ28"/>
    <mergeCell ref="BQ3:BZ3"/>
    <mergeCell ref="A5:I5"/>
    <mergeCell ref="BQ5:BZ5"/>
    <mergeCell ref="BQ26:BZ26"/>
    <mergeCell ref="A6:A7"/>
    <mergeCell ref="H6:H7"/>
  </mergeCells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syncVertical="1" syncRef="A1" transitionEvaluation="1" codeName="Hoja98">
    <tabColor theme="9" tint="0.59999389629810485"/>
  </sheetPr>
  <dimension ref="A3:AA62"/>
  <sheetViews>
    <sheetView showGridLines="0" zoomScaleNormal="100" workbookViewId="0">
      <selection activeCell="F7" sqref="F7"/>
    </sheetView>
  </sheetViews>
  <sheetFormatPr baseColWidth="10" defaultColWidth="8.3984375" defaultRowHeight="15" customHeight="1"/>
  <cols>
    <col min="1" max="1" width="5.796875" style="322" customWidth="1"/>
    <col min="2" max="2" width="7.796875" style="322" customWidth="1"/>
    <col min="3" max="3" width="10" style="322" customWidth="1"/>
    <col min="4" max="4" width="1.3984375" style="322" customWidth="1"/>
    <col min="5" max="5" width="10.3984375" style="322" customWidth="1"/>
    <col min="6" max="8" width="10.19921875" style="322" customWidth="1"/>
    <col min="9" max="9" width="1.796875" style="322" customWidth="1"/>
    <col min="10" max="10" width="9.19921875" style="322" customWidth="1"/>
    <col min="11" max="15" width="10.19921875" style="322" customWidth="1"/>
    <col min="16" max="233" width="8.3984375" style="322"/>
    <col min="234" max="234" width="8.19921875" style="322" customWidth="1"/>
    <col min="235" max="235" width="9.19921875" style="322" customWidth="1"/>
    <col min="236" max="236" width="8.3984375" style="322"/>
    <col min="237" max="237" width="2" style="322" customWidth="1"/>
    <col min="238" max="238" width="6.796875" style="322" customWidth="1"/>
    <col min="239" max="239" width="9.3984375" style="322" customWidth="1"/>
    <col min="240" max="240" width="8.19921875" style="322" customWidth="1"/>
    <col min="241" max="241" width="8" style="322" customWidth="1"/>
    <col min="242" max="242" width="9" style="322" customWidth="1"/>
    <col min="243" max="243" width="8.796875" style="322" customWidth="1"/>
    <col min="244" max="489" width="8.3984375" style="322"/>
    <col min="490" max="490" width="8.19921875" style="322" customWidth="1"/>
    <col min="491" max="491" width="9.19921875" style="322" customWidth="1"/>
    <col min="492" max="492" width="8.3984375" style="322"/>
    <col min="493" max="493" width="2" style="322" customWidth="1"/>
    <col min="494" max="494" width="6.796875" style="322" customWidth="1"/>
    <col min="495" max="495" width="9.3984375" style="322" customWidth="1"/>
    <col min="496" max="496" width="8.19921875" style="322" customWidth="1"/>
    <col min="497" max="497" width="8" style="322" customWidth="1"/>
    <col min="498" max="498" width="9" style="322" customWidth="1"/>
    <col min="499" max="499" width="8.796875" style="322" customWidth="1"/>
    <col min="500" max="745" width="8.3984375" style="322"/>
    <col min="746" max="746" width="8.19921875" style="322" customWidth="1"/>
    <col min="747" max="747" width="9.19921875" style="322" customWidth="1"/>
    <col min="748" max="748" width="8.3984375" style="322"/>
    <col min="749" max="749" width="2" style="322" customWidth="1"/>
    <col min="750" max="750" width="6.796875" style="322" customWidth="1"/>
    <col min="751" max="751" width="9.3984375" style="322" customWidth="1"/>
    <col min="752" max="752" width="8.19921875" style="322" customWidth="1"/>
    <col min="753" max="753" width="8" style="322" customWidth="1"/>
    <col min="754" max="754" width="9" style="322" customWidth="1"/>
    <col min="755" max="755" width="8.796875" style="322" customWidth="1"/>
    <col min="756" max="1001" width="8.3984375" style="322"/>
    <col min="1002" max="1002" width="8.19921875" style="322" customWidth="1"/>
    <col min="1003" max="1003" width="9.19921875" style="322" customWidth="1"/>
    <col min="1004" max="1004" width="8.3984375" style="322"/>
    <col min="1005" max="1005" width="2" style="322" customWidth="1"/>
    <col min="1006" max="1006" width="6.796875" style="322" customWidth="1"/>
    <col min="1007" max="1007" width="9.3984375" style="322" customWidth="1"/>
    <col min="1008" max="1008" width="8.19921875" style="322" customWidth="1"/>
    <col min="1009" max="1009" width="8" style="322" customWidth="1"/>
    <col min="1010" max="1010" width="9" style="322" customWidth="1"/>
    <col min="1011" max="1011" width="8.796875" style="322" customWidth="1"/>
    <col min="1012" max="1257" width="8.3984375" style="322"/>
    <col min="1258" max="1258" width="8.19921875" style="322" customWidth="1"/>
    <col min="1259" max="1259" width="9.19921875" style="322" customWidth="1"/>
    <col min="1260" max="1260" width="8.3984375" style="322"/>
    <col min="1261" max="1261" width="2" style="322" customWidth="1"/>
    <col min="1262" max="1262" width="6.796875" style="322" customWidth="1"/>
    <col min="1263" max="1263" width="9.3984375" style="322" customWidth="1"/>
    <col min="1264" max="1264" width="8.19921875" style="322" customWidth="1"/>
    <col min="1265" max="1265" width="8" style="322" customWidth="1"/>
    <col min="1266" max="1266" width="9" style="322" customWidth="1"/>
    <col min="1267" max="1267" width="8.796875" style="322" customWidth="1"/>
    <col min="1268" max="1513" width="8.3984375" style="322"/>
    <col min="1514" max="1514" width="8.19921875" style="322" customWidth="1"/>
    <col min="1515" max="1515" width="9.19921875" style="322" customWidth="1"/>
    <col min="1516" max="1516" width="8.3984375" style="322"/>
    <col min="1517" max="1517" width="2" style="322" customWidth="1"/>
    <col min="1518" max="1518" width="6.796875" style="322" customWidth="1"/>
    <col min="1519" max="1519" width="9.3984375" style="322" customWidth="1"/>
    <col min="1520" max="1520" width="8.19921875" style="322" customWidth="1"/>
    <col min="1521" max="1521" width="8" style="322" customWidth="1"/>
    <col min="1522" max="1522" width="9" style="322" customWidth="1"/>
    <col min="1523" max="1523" width="8.796875" style="322" customWidth="1"/>
    <col min="1524" max="1769" width="8.3984375" style="322"/>
    <col min="1770" max="1770" width="8.19921875" style="322" customWidth="1"/>
    <col min="1771" max="1771" width="9.19921875" style="322" customWidth="1"/>
    <col min="1772" max="1772" width="8.3984375" style="322"/>
    <col min="1773" max="1773" width="2" style="322" customWidth="1"/>
    <col min="1774" max="1774" width="6.796875" style="322" customWidth="1"/>
    <col min="1775" max="1775" width="9.3984375" style="322" customWidth="1"/>
    <col min="1776" max="1776" width="8.19921875" style="322" customWidth="1"/>
    <col min="1777" max="1777" width="8" style="322" customWidth="1"/>
    <col min="1778" max="1778" width="9" style="322" customWidth="1"/>
    <col min="1779" max="1779" width="8.796875" style="322" customWidth="1"/>
    <col min="1780" max="2025" width="8.3984375" style="322"/>
    <col min="2026" max="2026" width="8.19921875" style="322" customWidth="1"/>
    <col min="2027" max="2027" width="9.19921875" style="322" customWidth="1"/>
    <col min="2028" max="2028" width="8.3984375" style="322"/>
    <col min="2029" max="2029" width="2" style="322" customWidth="1"/>
    <col min="2030" max="2030" width="6.796875" style="322" customWidth="1"/>
    <col min="2031" max="2031" width="9.3984375" style="322" customWidth="1"/>
    <col min="2032" max="2032" width="8.19921875" style="322" customWidth="1"/>
    <col min="2033" max="2033" width="8" style="322" customWidth="1"/>
    <col min="2034" max="2034" width="9" style="322" customWidth="1"/>
    <col min="2035" max="2035" width="8.796875" style="322" customWidth="1"/>
    <col min="2036" max="2281" width="8.3984375" style="322"/>
    <col min="2282" max="2282" width="8.19921875" style="322" customWidth="1"/>
    <col min="2283" max="2283" width="9.19921875" style="322" customWidth="1"/>
    <col min="2284" max="2284" width="8.3984375" style="322"/>
    <col min="2285" max="2285" width="2" style="322" customWidth="1"/>
    <col min="2286" max="2286" width="6.796875" style="322" customWidth="1"/>
    <col min="2287" max="2287" width="9.3984375" style="322" customWidth="1"/>
    <col min="2288" max="2288" width="8.19921875" style="322" customWidth="1"/>
    <col min="2289" max="2289" width="8" style="322" customWidth="1"/>
    <col min="2290" max="2290" width="9" style="322" customWidth="1"/>
    <col min="2291" max="2291" width="8.796875" style="322" customWidth="1"/>
    <col min="2292" max="2537" width="8.3984375" style="322"/>
    <col min="2538" max="2538" width="8.19921875" style="322" customWidth="1"/>
    <col min="2539" max="2539" width="9.19921875" style="322" customWidth="1"/>
    <col min="2540" max="2540" width="8.3984375" style="322"/>
    <col min="2541" max="2541" width="2" style="322" customWidth="1"/>
    <col min="2542" max="2542" width="6.796875" style="322" customWidth="1"/>
    <col min="2543" max="2543" width="9.3984375" style="322" customWidth="1"/>
    <col min="2544" max="2544" width="8.19921875" style="322" customWidth="1"/>
    <col min="2545" max="2545" width="8" style="322" customWidth="1"/>
    <col min="2546" max="2546" width="9" style="322" customWidth="1"/>
    <col min="2547" max="2547" width="8.796875" style="322" customWidth="1"/>
    <col min="2548" max="2793" width="8.3984375" style="322"/>
    <col min="2794" max="2794" width="8.19921875" style="322" customWidth="1"/>
    <col min="2795" max="2795" width="9.19921875" style="322" customWidth="1"/>
    <col min="2796" max="2796" width="8.3984375" style="322"/>
    <col min="2797" max="2797" width="2" style="322" customWidth="1"/>
    <col min="2798" max="2798" width="6.796875" style="322" customWidth="1"/>
    <col min="2799" max="2799" width="9.3984375" style="322" customWidth="1"/>
    <col min="2800" max="2800" width="8.19921875" style="322" customWidth="1"/>
    <col min="2801" max="2801" width="8" style="322" customWidth="1"/>
    <col min="2802" max="2802" width="9" style="322" customWidth="1"/>
    <col min="2803" max="2803" width="8.796875" style="322" customWidth="1"/>
    <col min="2804" max="3049" width="8.3984375" style="322"/>
    <col min="3050" max="3050" width="8.19921875" style="322" customWidth="1"/>
    <col min="3051" max="3051" width="9.19921875" style="322" customWidth="1"/>
    <col min="3052" max="3052" width="8.3984375" style="322"/>
    <col min="3053" max="3053" width="2" style="322" customWidth="1"/>
    <col min="3054" max="3054" width="6.796875" style="322" customWidth="1"/>
    <col min="3055" max="3055" width="9.3984375" style="322" customWidth="1"/>
    <col min="3056" max="3056" width="8.19921875" style="322" customWidth="1"/>
    <col min="3057" max="3057" width="8" style="322" customWidth="1"/>
    <col min="3058" max="3058" width="9" style="322" customWidth="1"/>
    <col min="3059" max="3059" width="8.796875" style="322" customWidth="1"/>
    <col min="3060" max="3305" width="8.3984375" style="322"/>
    <col min="3306" max="3306" width="8.19921875" style="322" customWidth="1"/>
    <col min="3307" max="3307" width="9.19921875" style="322" customWidth="1"/>
    <col min="3308" max="3308" width="8.3984375" style="322"/>
    <col min="3309" max="3309" width="2" style="322" customWidth="1"/>
    <col min="3310" max="3310" width="6.796875" style="322" customWidth="1"/>
    <col min="3311" max="3311" width="9.3984375" style="322" customWidth="1"/>
    <col min="3312" max="3312" width="8.19921875" style="322" customWidth="1"/>
    <col min="3313" max="3313" width="8" style="322" customWidth="1"/>
    <col min="3314" max="3314" width="9" style="322" customWidth="1"/>
    <col min="3315" max="3315" width="8.796875" style="322" customWidth="1"/>
    <col min="3316" max="3561" width="8.3984375" style="322"/>
    <col min="3562" max="3562" width="8.19921875" style="322" customWidth="1"/>
    <col min="3563" max="3563" width="9.19921875" style="322" customWidth="1"/>
    <col min="3564" max="3564" width="8.3984375" style="322"/>
    <col min="3565" max="3565" width="2" style="322" customWidth="1"/>
    <col min="3566" max="3566" width="6.796875" style="322" customWidth="1"/>
    <col min="3567" max="3567" width="9.3984375" style="322" customWidth="1"/>
    <col min="3568" max="3568" width="8.19921875" style="322" customWidth="1"/>
    <col min="3569" max="3569" width="8" style="322" customWidth="1"/>
    <col min="3570" max="3570" width="9" style="322" customWidth="1"/>
    <col min="3571" max="3571" width="8.796875" style="322" customWidth="1"/>
    <col min="3572" max="3817" width="8.3984375" style="322"/>
    <col min="3818" max="3818" width="8.19921875" style="322" customWidth="1"/>
    <col min="3819" max="3819" width="9.19921875" style="322" customWidth="1"/>
    <col min="3820" max="3820" width="8.3984375" style="322"/>
    <col min="3821" max="3821" width="2" style="322" customWidth="1"/>
    <col min="3822" max="3822" width="6.796875" style="322" customWidth="1"/>
    <col min="3823" max="3823" width="9.3984375" style="322" customWidth="1"/>
    <col min="3824" max="3824" width="8.19921875" style="322" customWidth="1"/>
    <col min="3825" max="3825" width="8" style="322" customWidth="1"/>
    <col min="3826" max="3826" width="9" style="322" customWidth="1"/>
    <col min="3827" max="3827" width="8.796875" style="322" customWidth="1"/>
    <col min="3828" max="4073" width="8.3984375" style="322"/>
    <col min="4074" max="4074" width="8.19921875" style="322" customWidth="1"/>
    <col min="4075" max="4075" width="9.19921875" style="322" customWidth="1"/>
    <col min="4076" max="4076" width="8.3984375" style="322"/>
    <col min="4077" max="4077" width="2" style="322" customWidth="1"/>
    <col min="4078" max="4078" width="6.796875" style="322" customWidth="1"/>
    <col min="4079" max="4079" width="9.3984375" style="322" customWidth="1"/>
    <col min="4080" max="4080" width="8.19921875" style="322" customWidth="1"/>
    <col min="4081" max="4081" width="8" style="322" customWidth="1"/>
    <col min="4082" max="4082" width="9" style="322" customWidth="1"/>
    <col min="4083" max="4083" width="8.796875" style="322" customWidth="1"/>
    <col min="4084" max="4329" width="8.3984375" style="322"/>
    <col min="4330" max="4330" width="8.19921875" style="322" customWidth="1"/>
    <col min="4331" max="4331" width="9.19921875" style="322" customWidth="1"/>
    <col min="4332" max="4332" width="8.3984375" style="322"/>
    <col min="4333" max="4333" width="2" style="322" customWidth="1"/>
    <col min="4334" max="4334" width="6.796875" style="322" customWidth="1"/>
    <col min="4335" max="4335" width="9.3984375" style="322" customWidth="1"/>
    <col min="4336" max="4336" width="8.19921875" style="322" customWidth="1"/>
    <col min="4337" max="4337" width="8" style="322" customWidth="1"/>
    <col min="4338" max="4338" width="9" style="322" customWidth="1"/>
    <col min="4339" max="4339" width="8.796875" style="322" customWidth="1"/>
    <col min="4340" max="4585" width="8.3984375" style="322"/>
    <col min="4586" max="4586" width="8.19921875" style="322" customWidth="1"/>
    <col min="4587" max="4587" width="9.19921875" style="322" customWidth="1"/>
    <col min="4588" max="4588" width="8.3984375" style="322"/>
    <col min="4589" max="4589" width="2" style="322" customWidth="1"/>
    <col min="4590" max="4590" width="6.796875" style="322" customWidth="1"/>
    <col min="4591" max="4591" width="9.3984375" style="322" customWidth="1"/>
    <col min="4592" max="4592" width="8.19921875" style="322" customWidth="1"/>
    <col min="4593" max="4593" width="8" style="322" customWidth="1"/>
    <col min="4594" max="4594" width="9" style="322" customWidth="1"/>
    <col min="4595" max="4595" width="8.796875" style="322" customWidth="1"/>
    <col min="4596" max="4841" width="8.3984375" style="322"/>
    <col min="4842" max="4842" width="8.19921875" style="322" customWidth="1"/>
    <col min="4843" max="4843" width="9.19921875" style="322" customWidth="1"/>
    <col min="4844" max="4844" width="8.3984375" style="322"/>
    <col min="4845" max="4845" width="2" style="322" customWidth="1"/>
    <col min="4846" max="4846" width="6.796875" style="322" customWidth="1"/>
    <col min="4847" max="4847" width="9.3984375" style="322" customWidth="1"/>
    <col min="4848" max="4848" width="8.19921875" style="322" customWidth="1"/>
    <col min="4849" max="4849" width="8" style="322" customWidth="1"/>
    <col min="4850" max="4850" width="9" style="322" customWidth="1"/>
    <col min="4851" max="4851" width="8.796875" style="322" customWidth="1"/>
    <col min="4852" max="5097" width="8.3984375" style="322"/>
    <col min="5098" max="5098" width="8.19921875" style="322" customWidth="1"/>
    <col min="5099" max="5099" width="9.19921875" style="322" customWidth="1"/>
    <col min="5100" max="5100" width="8.3984375" style="322"/>
    <col min="5101" max="5101" width="2" style="322" customWidth="1"/>
    <col min="5102" max="5102" width="6.796875" style="322" customWidth="1"/>
    <col min="5103" max="5103" width="9.3984375" style="322" customWidth="1"/>
    <col min="5104" max="5104" width="8.19921875" style="322" customWidth="1"/>
    <col min="5105" max="5105" width="8" style="322" customWidth="1"/>
    <col min="5106" max="5106" width="9" style="322" customWidth="1"/>
    <col min="5107" max="5107" width="8.796875" style="322" customWidth="1"/>
    <col min="5108" max="5353" width="8.3984375" style="322"/>
    <col min="5354" max="5354" width="8.19921875" style="322" customWidth="1"/>
    <col min="5355" max="5355" width="9.19921875" style="322" customWidth="1"/>
    <col min="5356" max="5356" width="8.3984375" style="322"/>
    <col min="5357" max="5357" width="2" style="322" customWidth="1"/>
    <col min="5358" max="5358" width="6.796875" style="322" customWidth="1"/>
    <col min="5359" max="5359" width="9.3984375" style="322" customWidth="1"/>
    <col min="5360" max="5360" width="8.19921875" style="322" customWidth="1"/>
    <col min="5361" max="5361" width="8" style="322" customWidth="1"/>
    <col min="5362" max="5362" width="9" style="322" customWidth="1"/>
    <col min="5363" max="5363" width="8.796875" style="322" customWidth="1"/>
    <col min="5364" max="5609" width="8.3984375" style="322"/>
    <col min="5610" max="5610" width="8.19921875" style="322" customWidth="1"/>
    <col min="5611" max="5611" width="9.19921875" style="322" customWidth="1"/>
    <col min="5612" max="5612" width="8.3984375" style="322"/>
    <col min="5613" max="5613" width="2" style="322" customWidth="1"/>
    <col min="5614" max="5614" width="6.796875" style="322" customWidth="1"/>
    <col min="5615" max="5615" width="9.3984375" style="322" customWidth="1"/>
    <col min="5616" max="5616" width="8.19921875" style="322" customWidth="1"/>
    <col min="5617" max="5617" width="8" style="322" customWidth="1"/>
    <col min="5618" max="5618" width="9" style="322" customWidth="1"/>
    <col min="5619" max="5619" width="8.796875" style="322" customWidth="1"/>
    <col min="5620" max="5865" width="8.3984375" style="322"/>
    <col min="5866" max="5866" width="8.19921875" style="322" customWidth="1"/>
    <col min="5867" max="5867" width="9.19921875" style="322" customWidth="1"/>
    <col min="5868" max="5868" width="8.3984375" style="322"/>
    <col min="5869" max="5869" width="2" style="322" customWidth="1"/>
    <col min="5870" max="5870" width="6.796875" style="322" customWidth="1"/>
    <col min="5871" max="5871" width="9.3984375" style="322" customWidth="1"/>
    <col min="5872" max="5872" width="8.19921875" style="322" customWidth="1"/>
    <col min="5873" max="5873" width="8" style="322" customWidth="1"/>
    <col min="5874" max="5874" width="9" style="322" customWidth="1"/>
    <col min="5875" max="5875" width="8.796875" style="322" customWidth="1"/>
    <col min="5876" max="6121" width="8.3984375" style="322"/>
    <col min="6122" max="6122" width="8.19921875" style="322" customWidth="1"/>
    <col min="6123" max="6123" width="9.19921875" style="322" customWidth="1"/>
    <col min="6124" max="6124" width="8.3984375" style="322"/>
    <col min="6125" max="6125" width="2" style="322" customWidth="1"/>
    <col min="6126" max="6126" width="6.796875" style="322" customWidth="1"/>
    <col min="6127" max="6127" width="9.3984375" style="322" customWidth="1"/>
    <col min="6128" max="6128" width="8.19921875" style="322" customWidth="1"/>
    <col min="6129" max="6129" width="8" style="322" customWidth="1"/>
    <col min="6130" max="6130" width="9" style="322" customWidth="1"/>
    <col min="6131" max="6131" width="8.796875" style="322" customWidth="1"/>
    <col min="6132" max="6377" width="8.3984375" style="322"/>
    <col min="6378" max="6378" width="8.19921875" style="322" customWidth="1"/>
    <col min="6379" max="6379" width="9.19921875" style="322" customWidth="1"/>
    <col min="6380" max="6380" width="8.3984375" style="322"/>
    <col min="6381" max="6381" width="2" style="322" customWidth="1"/>
    <col min="6382" max="6382" width="6.796875" style="322" customWidth="1"/>
    <col min="6383" max="6383" width="9.3984375" style="322" customWidth="1"/>
    <col min="6384" max="6384" width="8.19921875" style="322" customWidth="1"/>
    <col min="6385" max="6385" width="8" style="322" customWidth="1"/>
    <col min="6386" max="6386" width="9" style="322" customWidth="1"/>
    <col min="6387" max="6387" width="8.796875" style="322" customWidth="1"/>
    <col min="6388" max="6633" width="8.3984375" style="322"/>
    <col min="6634" max="6634" width="8.19921875" style="322" customWidth="1"/>
    <col min="6635" max="6635" width="9.19921875" style="322" customWidth="1"/>
    <col min="6636" max="6636" width="8.3984375" style="322"/>
    <col min="6637" max="6637" width="2" style="322" customWidth="1"/>
    <col min="6638" max="6638" width="6.796875" style="322" customWidth="1"/>
    <col min="6639" max="6639" width="9.3984375" style="322" customWidth="1"/>
    <col min="6640" max="6640" width="8.19921875" style="322" customWidth="1"/>
    <col min="6641" max="6641" width="8" style="322" customWidth="1"/>
    <col min="6642" max="6642" width="9" style="322" customWidth="1"/>
    <col min="6643" max="6643" width="8.796875" style="322" customWidth="1"/>
    <col min="6644" max="6889" width="8.3984375" style="322"/>
    <col min="6890" max="6890" width="8.19921875" style="322" customWidth="1"/>
    <col min="6891" max="6891" width="9.19921875" style="322" customWidth="1"/>
    <col min="6892" max="6892" width="8.3984375" style="322"/>
    <col min="6893" max="6893" width="2" style="322" customWidth="1"/>
    <col min="6894" max="6894" width="6.796875" style="322" customWidth="1"/>
    <col min="6895" max="6895" width="9.3984375" style="322" customWidth="1"/>
    <col min="6896" max="6896" width="8.19921875" style="322" customWidth="1"/>
    <col min="6897" max="6897" width="8" style="322" customWidth="1"/>
    <col min="6898" max="6898" width="9" style="322" customWidth="1"/>
    <col min="6899" max="6899" width="8.796875" style="322" customWidth="1"/>
    <col min="6900" max="7145" width="8.3984375" style="322"/>
    <col min="7146" max="7146" width="8.19921875" style="322" customWidth="1"/>
    <col min="7147" max="7147" width="9.19921875" style="322" customWidth="1"/>
    <col min="7148" max="7148" width="8.3984375" style="322"/>
    <col min="7149" max="7149" width="2" style="322" customWidth="1"/>
    <col min="7150" max="7150" width="6.796875" style="322" customWidth="1"/>
    <col min="7151" max="7151" width="9.3984375" style="322" customWidth="1"/>
    <col min="7152" max="7152" width="8.19921875" style="322" customWidth="1"/>
    <col min="7153" max="7153" width="8" style="322" customWidth="1"/>
    <col min="7154" max="7154" width="9" style="322" customWidth="1"/>
    <col min="7155" max="7155" width="8.796875" style="322" customWidth="1"/>
    <col min="7156" max="7401" width="8.3984375" style="322"/>
    <col min="7402" max="7402" width="8.19921875" style="322" customWidth="1"/>
    <col min="7403" max="7403" width="9.19921875" style="322" customWidth="1"/>
    <col min="7404" max="7404" width="8.3984375" style="322"/>
    <col min="7405" max="7405" width="2" style="322" customWidth="1"/>
    <col min="7406" max="7406" width="6.796875" style="322" customWidth="1"/>
    <col min="7407" max="7407" width="9.3984375" style="322" customWidth="1"/>
    <col min="7408" max="7408" width="8.19921875" style="322" customWidth="1"/>
    <col min="7409" max="7409" width="8" style="322" customWidth="1"/>
    <col min="7410" max="7410" width="9" style="322" customWidth="1"/>
    <col min="7411" max="7411" width="8.796875" style="322" customWidth="1"/>
    <col min="7412" max="7657" width="8.3984375" style="322"/>
    <col min="7658" max="7658" width="8.19921875" style="322" customWidth="1"/>
    <col min="7659" max="7659" width="9.19921875" style="322" customWidth="1"/>
    <col min="7660" max="7660" width="8.3984375" style="322"/>
    <col min="7661" max="7661" width="2" style="322" customWidth="1"/>
    <col min="7662" max="7662" width="6.796875" style="322" customWidth="1"/>
    <col min="7663" max="7663" width="9.3984375" style="322" customWidth="1"/>
    <col min="7664" max="7664" width="8.19921875" style="322" customWidth="1"/>
    <col min="7665" max="7665" width="8" style="322" customWidth="1"/>
    <col min="7666" max="7666" width="9" style="322" customWidth="1"/>
    <col min="7667" max="7667" width="8.796875" style="322" customWidth="1"/>
    <col min="7668" max="7913" width="8.3984375" style="322"/>
    <col min="7914" max="7914" width="8.19921875" style="322" customWidth="1"/>
    <col min="7915" max="7915" width="9.19921875" style="322" customWidth="1"/>
    <col min="7916" max="7916" width="8.3984375" style="322"/>
    <col min="7917" max="7917" width="2" style="322" customWidth="1"/>
    <col min="7918" max="7918" width="6.796875" style="322" customWidth="1"/>
    <col min="7919" max="7919" width="9.3984375" style="322" customWidth="1"/>
    <col min="7920" max="7920" width="8.19921875" style="322" customWidth="1"/>
    <col min="7921" max="7921" width="8" style="322" customWidth="1"/>
    <col min="7922" max="7922" width="9" style="322" customWidth="1"/>
    <col min="7923" max="7923" width="8.796875" style="322" customWidth="1"/>
    <col min="7924" max="8169" width="8.3984375" style="322"/>
    <col min="8170" max="8170" width="8.19921875" style="322" customWidth="1"/>
    <col min="8171" max="8171" width="9.19921875" style="322" customWidth="1"/>
    <col min="8172" max="8172" width="8.3984375" style="322"/>
    <col min="8173" max="8173" width="2" style="322" customWidth="1"/>
    <col min="8174" max="8174" width="6.796875" style="322" customWidth="1"/>
    <col min="8175" max="8175" width="9.3984375" style="322" customWidth="1"/>
    <col min="8176" max="8176" width="8.19921875" style="322" customWidth="1"/>
    <col min="8177" max="8177" width="8" style="322" customWidth="1"/>
    <col min="8178" max="8178" width="9" style="322" customWidth="1"/>
    <col min="8179" max="8179" width="8.796875" style="322" customWidth="1"/>
    <col min="8180" max="8425" width="8.3984375" style="322"/>
    <col min="8426" max="8426" width="8.19921875" style="322" customWidth="1"/>
    <col min="8427" max="8427" width="9.19921875" style="322" customWidth="1"/>
    <col min="8428" max="8428" width="8.3984375" style="322"/>
    <col min="8429" max="8429" width="2" style="322" customWidth="1"/>
    <col min="8430" max="8430" width="6.796875" style="322" customWidth="1"/>
    <col min="8431" max="8431" width="9.3984375" style="322" customWidth="1"/>
    <col min="8432" max="8432" width="8.19921875" style="322" customWidth="1"/>
    <col min="8433" max="8433" width="8" style="322" customWidth="1"/>
    <col min="8434" max="8434" width="9" style="322" customWidth="1"/>
    <col min="8435" max="8435" width="8.796875" style="322" customWidth="1"/>
    <col min="8436" max="8681" width="8.3984375" style="322"/>
    <col min="8682" max="8682" width="8.19921875" style="322" customWidth="1"/>
    <col min="8683" max="8683" width="9.19921875" style="322" customWidth="1"/>
    <col min="8684" max="8684" width="8.3984375" style="322"/>
    <col min="8685" max="8685" width="2" style="322" customWidth="1"/>
    <col min="8686" max="8686" width="6.796875" style="322" customWidth="1"/>
    <col min="8687" max="8687" width="9.3984375" style="322" customWidth="1"/>
    <col min="8688" max="8688" width="8.19921875" style="322" customWidth="1"/>
    <col min="8689" max="8689" width="8" style="322" customWidth="1"/>
    <col min="8690" max="8690" width="9" style="322" customWidth="1"/>
    <col min="8691" max="8691" width="8.796875" style="322" customWidth="1"/>
    <col min="8692" max="8937" width="8.3984375" style="322"/>
    <col min="8938" max="8938" width="8.19921875" style="322" customWidth="1"/>
    <col min="8939" max="8939" width="9.19921875" style="322" customWidth="1"/>
    <col min="8940" max="8940" width="8.3984375" style="322"/>
    <col min="8941" max="8941" width="2" style="322" customWidth="1"/>
    <col min="8942" max="8942" width="6.796875" style="322" customWidth="1"/>
    <col min="8943" max="8943" width="9.3984375" style="322" customWidth="1"/>
    <col min="8944" max="8944" width="8.19921875" style="322" customWidth="1"/>
    <col min="8945" max="8945" width="8" style="322" customWidth="1"/>
    <col min="8946" max="8946" width="9" style="322" customWidth="1"/>
    <col min="8947" max="8947" width="8.796875" style="322" customWidth="1"/>
    <col min="8948" max="9193" width="8.3984375" style="322"/>
    <col min="9194" max="9194" width="8.19921875" style="322" customWidth="1"/>
    <col min="9195" max="9195" width="9.19921875" style="322" customWidth="1"/>
    <col min="9196" max="9196" width="8.3984375" style="322"/>
    <col min="9197" max="9197" width="2" style="322" customWidth="1"/>
    <col min="9198" max="9198" width="6.796875" style="322" customWidth="1"/>
    <col min="9199" max="9199" width="9.3984375" style="322" customWidth="1"/>
    <col min="9200" max="9200" width="8.19921875" style="322" customWidth="1"/>
    <col min="9201" max="9201" width="8" style="322" customWidth="1"/>
    <col min="9202" max="9202" width="9" style="322" customWidth="1"/>
    <col min="9203" max="9203" width="8.796875" style="322" customWidth="1"/>
    <col min="9204" max="9449" width="8.3984375" style="322"/>
    <col min="9450" max="9450" width="8.19921875" style="322" customWidth="1"/>
    <col min="9451" max="9451" width="9.19921875" style="322" customWidth="1"/>
    <col min="9452" max="9452" width="8.3984375" style="322"/>
    <col min="9453" max="9453" width="2" style="322" customWidth="1"/>
    <col min="9454" max="9454" width="6.796875" style="322" customWidth="1"/>
    <col min="9455" max="9455" width="9.3984375" style="322" customWidth="1"/>
    <col min="9456" max="9456" width="8.19921875" style="322" customWidth="1"/>
    <col min="9457" max="9457" width="8" style="322" customWidth="1"/>
    <col min="9458" max="9458" width="9" style="322" customWidth="1"/>
    <col min="9459" max="9459" width="8.796875" style="322" customWidth="1"/>
    <col min="9460" max="9705" width="8.3984375" style="322"/>
    <col min="9706" max="9706" width="8.19921875" style="322" customWidth="1"/>
    <col min="9707" max="9707" width="9.19921875" style="322" customWidth="1"/>
    <col min="9708" max="9708" width="8.3984375" style="322"/>
    <col min="9709" max="9709" width="2" style="322" customWidth="1"/>
    <col min="9710" max="9710" width="6.796875" style="322" customWidth="1"/>
    <col min="9711" max="9711" width="9.3984375" style="322" customWidth="1"/>
    <col min="9712" max="9712" width="8.19921875" style="322" customWidth="1"/>
    <col min="9713" max="9713" width="8" style="322" customWidth="1"/>
    <col min="9714" max="9714" width="9" style="322" customWidth="1"/>
    <col min="9715" max="9715" width="8.796875" style="322" customWidth="1"/>
    <col min="9716" max="9961" width="8.3984375" style="322"/>
    <col min="9962" max="9962" width="8.19921875" style="322" customWidth="1"/>
    <col min="9963" max="9963" width="9.19921875" style="322" customWidth="1"/>
    <col min="9964" max="9964" width="8.3984375" style="322"/>
    <col min="9965" max="9965" width="2" style="322" customWidth="1"/>
    <col min="9966" max="9966" width="6.796875" style="322" customWidth="1"/>
    <col min="9967" max="9967" width="9.3984375" style="322" customWidth="1"/>
    <col min="9968" max="9968" width="8.19921875" style="322" customWidth="1"/>
    <col min="9969" max="9969" width="8" style="322" customWidth="1"/>
    <col min="9970" max="9970" width="9" style="322" customWidth="1"/>
    <col min="9971" max="9971" width="8.796875" style="322" customWidth="1"/>
    <col min="9972" max="10217" width="8.3984375" style="322"/>
    <col min="10218" max="10218" width="8.19921875" style="322" customWidth="1"/>
    <col min="10219" max="10219" width="9.19921875" style="322" customWidth="1"/>
    <col min="10220" max="10220" width="8.3984375" style="322"/>
    <col min="10221" max="10221" width="2" style="322" customWidth="1"/>
    <col min="10222" max="10222" width="6.796875" style="322" customWidth="1"/>
    <col min="10223" max="10223" width="9.3984375" style="322" customWidth="1"/>
    <col min="10224" max="10224" width="8.19921875" style="322" customWidth="1"/>
    <col min="10225" max="10225" width="8" style="322" customWidth="1"/>
    <col min="10226" max="10226" width="9" style="322" customWidth="1"/>
    <col min="10227" max="10227" width="8.796875" style="322" customWidth="1"/>
    <col min="10228" max="10473" width="8.3984375" style="322"/>
    <col min="10474" max="10474" width="8.19921875" style="322" customWidth="1"/>
    <col min="10475" max="10475" width="9.19921875" style="322" customWidth="1"/>
    <col min="10476" max="10476" width="8.3984375" style="322"/>
    <col min="10477" max="10477" width="2" style="322" customWidth="1"/>
    <col min="10478" max="10478" width="6.796875" style="322" customWidth="1"/>
    <col min="10479" max="10479" width="9.3984375" style="322" customWidth="1"/>
    <col min="10480" max="10480" width="8.19921875" style="322" customWidth="1"/>
    <col min="10481" max="10481" width="8" style="322" customWidth="1"/>
    <col min="10482" max="10482" width="9" style="322" customWidth="1"/>
    <col min="10483" max="10483" width="8.796875" style="322" customWidth="1"/>
    <col min="10484" max="10729" width="8.3984375" style="322"/>
    <col min="10730" max="10730" width="8.19921875" style="322" customWidth="1"/>
    <col min="10731" max="10731" width="9.19921875" style="322" customWidth="1"/>
    <col min="10732" max="10732" width="8.3984375" style="322"/>
    <col min="10733" max="10733" width="2" style="322" customWidth="1"/>
    <col min="10734" max="10734" width="6.796875" style="322" customWidth="1"/>
    <col min="10735" max="10735" width="9.3984375" style="322" customWidth="1"/>
    <col min="10736" max="10736" width="8.19921875" style="322" customWidth="1"/>
    <col min="10737" max="10737" width="8" style="322" customWidth="1"/>
    <col min="10738" max="10738" width="9" style="322" customWidth="1"/>
    <col min="10739" max="10739" width="8.796875" style="322" customWidth="1"/>
    <col min="10740" max="10985" width="8.3984375" style="322"/>
    <col min="10986" max="10986" width="8.19921875" style="322" customWidth="1"/>
    <col min="10987" max="10987" width="9.19921875" style="322" customWidth="1"/>
    <col min="10988" max="10988" width="8.3984375" style="322"/>
    <col min="10989" max="10989" width="2" style="322" customWidth="1"/>
    <col min="10990" max="10990" width="6.796875" style="322" customWidth="1"/>
    <col min="10991" max="10991" width="9.3984375" style="322" customWidth="1"/>
    <col min="10992" max="10992" width="8.19921875" style="322" customWidth="1"/>
    <col min="10993" max="10993" width="8" style="322" customWidth="1"/>
    <col min="10994" max="10994" width="9" style="322" customWidth="1"/>
    <col min="10995" max="10995" width="8.796875" style="322" customWidth="1"/>
    <col min="10996" max="11241" width="8.3984375" style="322"/>
    <col min="11242" max="11242" width="8.19921875" style="322" customWidth="1"/>
    <col min="11243" max="11243" width="9.19921875" style="322" customWidth="1"/>
    <col min="11244" max="11244" width="8.3984375" style="322"/>
    <col min="11245" max="11245" width="2" style="322" customWidth="1"/>
    <col min="11246" max="11246" width="6.796875" style="322" customWidth="1"/>
    <col min="11247" max="11247" width="9.3984375" style="322" customWidth="1"/>
    <col min="11248" max="11248" width="8.19921875" style="322" customWidth="1"/>
    <col min="11249" max="11249" width="8" style="322" customWidth="1"/>
    <col min="11250" max="11250" width="9" style="322" customWidth="1"/>
    <col min="11251" max="11251" width="8.796875" style="322" customWidth="1"/>
    <col min="11252" max="11497" width="8.3984375" style="322"/>
    <col min="11498" max="11498" width="8.19921875" style="322" customWidth="1"/>
    <col min="11499" max="11499" width="9.19921875" style="322" customWidth="1"/>
    <col min="11500" max="11500" width="8.3984375" style="322"/>
    <col min="11501" max="11501" width="2" style="322" customWidth="1"/>
    <col min="11502" max="11502" width="6.796875" style="322" customWidth="1"/>
    <col min="11503" max="11503" width="9.3984375" style="322" customWidth="1"/>
    <col min="11504" max="11504" width="8.19921875" style="322" customWidth="1"/>
    <col min="11505" max="11505" width="8" style="322" customWidth="1"/>
    <col min="11506" max="11506" width="9" style="322" customWidth="1"/>
    <col min="11507" max="11507" width="8.796875" style="322" customWidth="1"/>
    <col min="11508" max="11753" width="8.3984375" style="322"/>
    <col min="11754" max="11754" width="8.19921875" style="322" customWidth="1"/>
    <col min="11755" max="11755" width="9.19921875" style="322" customWidth="1"/>
    <col min="11756" max="11756" width="8.3984375" style="322"/>
    <col min="11757" max="11757" width="2" style="322" customWidth="1"/>
    <col min="11758" max="11758" width="6.796875" style="322" customWidth="1"/>
    <col min="11759" max="11759" width="9.3984375" style="322" customWidth="1"/>
    <col min="11760" max="11760" width="8.19921875" style="322" customWidth="1"/>
    <col min="11761" max="11761" width="8" style="322" customWidth="1"/>
    <col min="11762" max="11762" width="9" style="322" customWidth="1"/>
    <col min="11763" max="11763" width="8.796875" style="322" customWidth="1"/>
    <col min="11764" max="12009" width="8.3984375" style="322"/>
    <col min="12010" max="12010" width="8.19921875" style="322" customWidth="1"/>
    <col min="12011" max="12011" width="9.19921875" style="322" customWidth="1"/>
    <col min="12012" max="12012" width="8.3984375" style="322"/>
    <col min="12013" max="12013" width="2" style="322" customWidth="1"/>
    <col min="12014" max="12014" width="6.796875" style="322" customWidth="1"/>
    <col min="12015" max="12015" width="9.3984375" style="322" customWidth="1"/>
    <col min="12016" max="12016" width="8.19921875" style="322" customWidth="1"/>
    <col min="12017" max="12017" width="8" style="322" customWidth="1"/>
    <col min="12018" max="12018" width="9" style="322" customWidth="1"/>
    <col min="12019" max="12019" width="8.796875" style="322" customWidth="1"/>
    <col min="12020" max="12265" width="8.3984375" style="322"/>
    <col min="12266" max="12266" width="8.19921875" style="322" customWidth="1"/>
    <col min="12267" max="12267" width="9.19921875" style="322" customWidth="1"/>
    <col min="12268" max="12268" width="8.3984375" style="322"/>
    <col min="12269" max="12269" width="2" style="322" customWidth="1"/>
    <col min="12270" max="12270" width="6.796875" style="322" customWidth="1"/>
    <col min="12271" max="12271" width="9.3984375" style="322" customWidth="1"/>
    <col min="12272" max="12272" width="8.19921875" style="322" customWidth="1"/>
    <col min="12273" max="12273" width="8" style="322" customWidth="1"/>
    <col min="12274" max="12274" width="9" style="322" customWidth="1"/>
    <col min="12275" max="12275" width="8.796875" style="322" customWidth="1"/>
    <col min="12276" max="12521" width="8.3984375" style="322"/>
    <col min="12522" max="12522" width="8.19921875" style="322" customWidth="1"/>
    <col min="12523" max="12523" width="9.19921875" style="322" customWidth="1"/>
    <col min="12524" max="12524" width="8.3984375" style="322"/>
    <col min="12525" max="12525" width="2" style="322" customWidth="1"/>
    <col min="12526" max="12526" width="6.796875" style="322" customWidth="1"/>
    <col min="12527" max="12527" width="9.3984375" style="322" customWidth="1"/>
    <col min="12528" max="12528" width="8.19921875" style="322" customWidth="1"/>
    <col min="12529" max="12529" width="8" style="322" customWidth="1"/>
    <col min="12530" max="12530" width="9" style="322" customWidth="1"/>
    <col min="12531" max="12531" width="8.796875" style="322" customWidth="1"/>
    <col min="12532" max="12777" width="8.3984375" style="322"/>
    <col min="12778" max="12778" width="8.19921875" style="322" customWidth="1"/>
    <col min="12779" max="12779" width="9.19921875" style="322" customWidth="1"/>
    <col min="12780" max="12780" width="8.3984375" style="322"/>
    <col min="12781" max="12781" width="2" style="322" customWidth="1"/>
    <col min="12782" max="12782" width="6.796875" style="322" customWidth="1"/>
    <col min="12783" max="12783" width="9.3984375" style="322" customWidth="1"/>
    <col min="12784" max="12784" width="8.19921875" style="322" customWidth="1"/>
    <col min="12785" max="12785" width="8" style="322" customWidth="1"/>
    <col min="12786" max="12786" width="9" style="322" customWidth="1"/>
    <col min="12787" max="12787" width="8.796875" style="322" customWidth="1"/>
    <col min="12788" max="13033" width="8.3984375" style="322"/>
    <col min="13034" max="13034" width="8.19921875" style="322" customWidth="1"/>
    <col min="13035" max="13035" width="9.19921875" style="322" customWidth="1"/>
    <col min="13036" max="13036" width="8.3984375" style="322"/>
    <col min="13037" max="13037" width="2" style="322" customWidth="1"/>
    <col min="13038" max="13038" width="6.796875" style="322" customWidth="1"/>
    <col min="13039" max="13039" width="9.3984375" style="322" customWidth="1"/>
    <col min="13040" max="13040" width="8.19921875" style="322" customWidth="1"/>
    <col min="13041" max="13041" width="8" style="322" customWidth="1"/>
    <col min="13042" max="13042" width="9" style="322" customWidth="1"/>
    <col min="13043" max="13043" width="8.796875" style="322" customWidth="1"/>
    <col min="13044" max="13289" width="8.3984375" style="322"/>
    <col min="13290" max="13290" width="8.19921875" style="322" customWidth="1"/>
    <col min="13291" max="13291" width="9.19921875" style="322" customWidth="1"/>
    <col min="13292" max="13292" width="8.3984375" style="322"/>
    <col min="13293" max="13293" width="2" style="322" customWidth="1"/>
    <col min="13294" max="13294" width="6.796875" style="322" customWidth="1"/>
    <col min="13295" max="13295" width="9.3984375" style="322" customWidth="1"/>
    <col min="13296" max="13296" width="8.19921875" style="322" customWidth="1"/>
    <col min="13297" max="13297" width="8" style="322" customWidth="1"/>
    <col min="13298" max="13298" width="9" style="322" customWidth="1"/>
    <col min="13299" max="13299" width="8.796875" style="322" customWidth="1"/>
    <col min="13300" max="13545" width="8.3984375" style="322"/>
    <col min="13546" max="13546" width="8.19921875" style="322" customWidth="1"/>
    <col min="13547" max="13547" width="9.19921875" style="322" customWidth="1"/>
    <col min="13548" max="13548" width="8.3984375" style="322"/>
    <col min="13549" max="13549" width="2" style="322" customWidth="1"/>
    <col min="13550" max="13550" width="6.796875" style="322" customWidth="1"/>
    <col min="13551" max="13551" width="9.3984375" style="322" customWidth="1"/>
    <col min="13552" max="13552" width="8.19921875" style="322" customWidth="1"/>
    <col min="13553" max="13553" width="8" style="322" customWidth="1"/>
    <col min="13554" max="13554" width="9" style="322" customWidth="1"/>
    <col min="13555" max="13555" width="8.796875" style="322" customWidth="1"/>
    <col min="13556" max="13801" width="8.3984375" style="322"/>
    <col min="13802" max="13802" width="8.19921875" style="322" customWidth="1"/>
    <col min="13803" max="13803" width="9.19921875" style="322" customWidth="1"/>
    <col min="13804" max="13804" width="8.3984375" style="322"/>
    <col min="13805" max="13805" width="2" style="322" customWidth="1"/>
    <col min="13806" max="13806" width="6.796875" style="322" customWidth="1"/>
    <col min="13807" max="13807" width="9.3984375" style="322" customWidth="1"/>
    <col min="13808" max="13808" width="8.19921875" style="322" customWidth="1"/>
    <col min="13809" max="13809" width="8" style="322" customWidth="1"/>
    <col min="13810" max="13810" width="9" style="322" customWidth="1"/>
    <col min="13811" max="13811" width="8.796875" style="322" customWidth="1"/>
    <col min="13812" max="14057" width="8.3984375" style="322"/>
    <col min="14058" max="14058" width="8.19921875" style="322" customWidth="1"/>
    <col min="14059" max="14059" width="9.19921875" style="322" customWidth="1"/>
    <col min="14060" max="14060" width="8.3984375" style="322"/>
    <col min="14061" max="14061" width="2" style="322" customWidth="1"/>
    <col min="14062" max="14062" width="6.796875" style="322" customWidth="1"/>
    <col min="14063" max="14063" width="9.3984375" style="322" customWidth="1"/>
    <col min="14064" max="14064" width="8.19921875" style="322" customWidth="1"/>
    <col min="14065" max="14065" width="8" style="322" customWidth="1"/>
    <col min="14066" max="14066" width="9" style="322" customWidth="1"/>
    <col min="14067" max="14067" width="8.796875" style="322" customWidth="1"/>
    <col min="14068" max="14313" width="8.3984375" style="322"/>
    <col min="14314" max="14314" width="8.19921875" style="322" customWidth="1"/>
    <col min="14315" max="14315" width="9.19921875" style="322" customWidth="1"/>
    <col min="14316" max="14316" width="8.3984375" style="322"/>
    <col min="14317" max="14317" width="2" style="322" customWidth="1"/>
    <col min="14318" max="14318" width="6.796875" style="322" customWidth="1"/>
    <col min="14319" max="14319" width="9.3984375" style="322" customWidth="1"/>
    <col min="14320" max="14320" width="8.19921875" style="322" customWidth="1"/>
    <col min="14321" max="14321" width="8" style="322" customWidth="1"/>
    <col min="14322" max="14322" width="9" style="322" customWidth="1"/>
    <col min="14323" max="14323" width="8.796875" style="322" customWidth="1"/>
    <col min="14324" max="14569" width="8.3984375" style="322"/>
    <col min="14570" max="14570" width="8.19921875" style="322" customWidth="1"/>
    <col min="14571" max="14571" width="9.19921875" style="322" customWidth="1"/>
    <col min="14572" max="14572" width="8.3984375" style="322"/>
    <col min="14573" max="14573" width="2" style="322" customWidth="1"/>
    <col min="14574" max="14574" width="6.796875" style="322" customWidth="1"/>
    <col min="14575" max="14575" width="9.3984375" style="322" customWidth="1"/>
    <col min="14576" max="14576" width="8.19921875" style="322" customWidth="1"/>
    <col min="14577" max="14577" width="8" style="322" customWidth="1"/>
    <col min="14578" max="14578" width="9" style="322" customWidth="1"/>
    <col min="14579" max="14579" width="8.796875" style="322" customWidth="1"/>
    <col min="14580" max="14825" width="8.3984375" style="322"/>
    <col min="14826" max="14826" width="8.19921875" style="322" customWidth="1"/>
    <col min="14827" max="14827" width="9.19921875" style="322" customWidth="1"/>
    <col min="14828" max="14828" width="8.3984375" style="322"/>
    <col min="14829" max="14829" width="2" style="322" customWidth="1"/>
    <col min="14830" max="14830" width="6.796875" style="322" customWidth="1"/>
    <col min="14831" max="14831" width="9.3984375" style="322" customWidth="1"/>
    <col min="14832" max="14832" width="8.19921875" style="322" customWidth="1"/>
    <col min="14833" max="14833" width="8" style="322" customWidth="1"/>
    <col min="14834" max="14834" width="9" style="322" customWidth="1"/>
    <col min="14835" max="14835" width="8.796875" style="322" customWidth="1"/>
    <col min="14836" max="15081" width="8.3984375" style="322"/>
    <col min="15082" max="15082" width="8.19921875" style="322" customWidth="1"/>
    <col min="15083" max="15083" width="9.19921875" style="322" customWidth="1"/>
    <col min="15084" max="15084" width="8.3984375" style="322"/>
    <col min="15085" max="15085" width="2" style="322" customWidth="1"/>
    <col min="15086" max="15086" width="6.796875" style="322" customWidth="1"/>
    <col min="15087" max="15087" width="9.3984375" style="322" customWidth="1"/>
    <col min="15088" max="15088" width="8.19921875" style="322" customWidth="1"/>
    <col min="15089" max="15089" width="8" style="322" customWidth="1"/>
    <col min="15090" max="15090" width="9" style="322" customWidth="1"/>
    <col min="15091" max="15091" width="8.796875" style="322" customWidth="1"/>
    <col min="15092" max="15337" width="8.3984375" style="322"/>
    <col min="15338" max="15338" width="8.19921875" style="322" customWidth="1"/>
    <col min="15339" max="15339" width="9.19921875" style="322" customWidth="1"/>
    <col min="15340" max="15340" width="8.3984375" style="322"/>
    <col min="15341" max="15341" width="2" style="322" customWidth="1"/>
    <col min="15342" max="15342" width="6.796875" style="322" customWidth="1"/>
    <col min="15343" max="15343" width="9.3984375" style="322" customWidth="1"/>
    <col min="15344" max="15344" width="8.19921875" style="322" customWidth="1"/>
    <col min="15345" max="15345" width="8" style="322" customWidth="1"/>
    <col min="15346" max="15346" width="9" style="322" customWidth="1"/>
    <col min="15347" max="15347" width="8.796875" style="322" customWidth="1"/>
    <col min="15348" max="15593" width="8.3984375" style="322"/>
    <col min="15594" max="15594" width="8.19921875" style="322" customWidth="1"/>
    <col min="15595" max="15595" width="9.19921875" style="322" customWidth="1"/>
    <col min="15596" max="15596" width="8.3984375" style="322"/>
    <col min="15597" max="15597" width="2" style="322" customWidth="1"/>
    <col min="15598" max="15598" width="6.796875" style="322" customWidth="1"/>
    <col min="15599" max="15599" width="9.3984375" style="322" customWidth="1"/>
    <col min="15600" max="15600" width="8.19921875" style="322" customWidth="1"/>
    <col min="15601" max="15601" width="8" style="322" customWidth="1"/>
    <col min="15602" max="15602" width="9" style="322" customWidth="1"/>
    <col min="15603" max="15603" width="8.796875" style="322" customWidth="1"/>
    <col min="15604" max="15849" width="8.3984375" style="322"/>
    <col min="15850" max="15850" width="8.19921875" style="322" customWidth="1"/>
    <col min="15851" max="15851" width="9.19921875" style="322" customWidth="1"/>
    <col min="15852" max="15852" width="8.3984375" style="322"/>
    <col min="15853" max="15853" width="2" style="322" customWidth="1"/>
    <col min="15854" max="15854" width="6.796875" style="322" customWidth="1"/>
    <col min="15855" max="15855" width="9.3984375" style="322" customWidth="1"/>
    <col min="15856" max="15856" width="8.19921875" style="322" customWidth="1"/>
    <col min="15857" max="15857" width="8" style="322" customWidth="1"/>
    <col min="15858" max="15858" width="9" style="322" customWidth="1"/>
    <col min="15859" max="15859" width="8.796875" style="322" customWidth="1"/>
    <col min="15860" max="16105" width="8.3984375" style="322"/>
    <col min="16106" max="16106" width="8.19921875" style="322" customWidth="1"/>
    <col min="16107" max="16107" width="9.19921875" style="322" customWidth="1"/>
    <col min="16108" max="16108" width="8.3984375" style="322"/>
    <col min="16109" max="16109" width="2" style="322" customWidth="1"/>
    <col min="16110" max="16110" width="6.796875" style="322" customWidth="1"/>
    <col min="16111" max="16111" width="9.3984375" style="322" customWidth="1"/>
    <col min="16112" max="16112" width="8.19921875" style="322" customWidth="1"/>
    <col min="16113" max="16113" width="8" style="322" customWidth="1"/>
    <col min="16114" max="16114" width="9" style="322" customWidth="1"/>
    <col min="16115" max="16115" width="8.796875" style="322" customWidth="1"/>
    <col min="16116" max="16384" width="8.3984375" style="322"/>
  </cols>
  <sheetData>
    <row r="3" spans="1:18" ht="15" customHeight="1">
      <c r="B3" s="350" t="s">
        <v>460</v>
      </c>
      <c r="C3" s="348"/>
      <c r="D3" s="348"/>
      <c r="E3" s="348"/>
      <c r="F3" s="348"/>
      <c r="G3" s="348"/>
      <c r="H3" s="348"/>
      <c r="I3" s="348"/>
      <c r="J3" s="348"/>
      <c r="K3" s="348"/>
    </row>
    <row r="4" spans="1:18" ht="15" customHeight="1">
      <c r="B4" s="349" t="s">
        <v>257</v>
      </c>
      <c r="C4" s="348"/>
      <c r="D4" s="348"/>
      <c r="E4" s="348"/>
      <c r="F4" s="348"/>
      <c r="G4" s="348"/>
      <c r="H4" s="348"/>
      <c r="I4" s="348"/>
      <c r="J4" s="348"/>
      <c r="K4" s="348"/>
    </row>
    <row r="5" spans="1:18" ht="4.25" customHeight="1" thickBot="1">
      <c r="A5" s="323"/>
      <c r="B5" s="324"/>
      <c r="C5" s="324"/>
      <c r="D5" s="324"/>
      <c r="E5" s="324"/>
      <c r="F5" s="324"/>
      <c r="G5" s="324"/>
      <c r="H5" s="324"/>
      <c r="I5" s="324"/>
      <c r="J5" s="323"/>
      <c r="K5" s="323"/>
      <c r="L5" s="323"/>
      <c r="M5" s="323"/>
      <c r="N5" s="323"/>
      <c r="O5" s="323"/>
    </row>
    <row r="6" spans="1:18" ht="22" customHeight="1">
      <c r="A6" s="323"/>
      <c r="B6" s="1042" t="s">
        <v>108</v>
      </c>
      <c r="C6" s="1042" t="s">
        <v>106</v>
      </c>
      <c r="D6" s="758"/>
      <c r="E6" s="1046" t="s">
        <v>248</v>
      </c>
      <c r="F6" s="1046"/>
      <c r="G6" s="1046"/>
      <c r="H6" s="1046"/>
      <c r="I6" s="759"/>
      <c r="J6" s="1045" t="s">
        <v>260</v>
      </c>
      <c r="K6" s="1045"/>
      <c r="L6" s="1045"/>
      <c r="M6" s="1045"/>
      <c r="N6" s="1045"/>
      <c r="O6" s="1045"/>
    </row>
    <row r="7" spans="1:18" ht="12" customHeight="1">
      <c r="A7" s="325"/>
      <c r="B7" s="1043"/>
      <c r="C7" s="1043"/>
      <c r="D7" s="760"/>
      <c r="E7" s="760"/>
      <c r="F7" s="760"/>
      <c r="G7" s="760"/>
      <c r="H7" s="760"/>
      <c r="I7" s="760"/>
      <c r="J7" s="760"/>
      <c r="K7" s="760" t="s">
        <v>118</v>
      </c>
      <c r="L7" s="760" t="s">
        <v>119</v>
      </c>
      <c r="M7" s="760" t="s">
        <v>120</v>
      </c>
      <c r="N7" s="760"/>
      <c r="O7" s="760"/>
    </row>
    <row r="8" spans="1:18" ht="12" customHeight="1">
      <c r="A8" s="325"/>
      <c r="B8" s="1043"/>
      <c r="C8" s="1043"/>
      <c r="D8" s="760"/>
      <c r="E8" s="760" t="s">
        <v>106</v>
      </c>
      <c r="F8" s="760" t="s">
        <v>117</v>
      </c>
      <c r="G8" s="760" t="s">
        <v>173</v>
      </c>
      <c r="H8" s="760" t="s">
        <v>173</v>
      </c>
      <c r="I8" s="760"/>
      <c r="J8" s="760" t="s">
        <v>106</v>
      </c>
      <c r="K8" s="760" t="s">
        <v>431</v>
      </c>
      <c r="L8" s="760" t="s">
        <v>432</v>
      </c>
      <c r="M8" s="760" t="s">
        <v>121</v>
      </c>
      <c r="N8" s="760" t="s">
        <v>117</v>
      </c>
      <c r="O8" s="760" t="s">
        <v>173</v>
      </c>
    </row>
    <row r="9" spans="1:18" ht="12" customHeight="1">
      <c r="A9" s="323"/>
      <c r="B9" s="1044"/>
      <c r="C9" s="1044"/>
      <c r="D9" s="761"/>
      <c r="E9" s="762"/>
      <c r="F9" s="761" t="s">
        <v>177</v>
      </c>
      <c r="G9" s="761" t="s">
        <v>429</v>
      </c>
      <c r="H9" s="761" t="s">
        <v>430</v>
      </c>
      <c r="I9" s="762"/>
      <c r="J9" s="762"/>
      <c r="K9" s="763" t="s">
        <v>174</v>
      </c>
      <c r="L9" s="763" t="s">
        <v>175</v>
      </c>
      <c r="M9" s="763" t="s">
        <v>176</v>
      </c>
      <c r="N9" s="761" t="s">
        <v>433</v>
      </c>
      <c r="O9" s="761" t="s">
        <v>430</v>
      </c>
    </row>
    <row r="10" spans="1:18" ht="18" customHeight="1">
      <c r="A10" s="326"/>
      <c r="B10" s="404">
        <v>2007</v>
      </c>
      <c r="C10" s="899">
        <f>E10+J10</f>
        <v>1616354.4553722292</v>
      </c>
      <c r="D10" s="900"/>
      <c r="E10" s="905">
        <f>SUM(F10:H10)</f>
        <v>1455814.9253722292</v>
      </c>
      <c r="F10" s="903">
        <v>548992.92537222907</v>
      </c>
      <c r="G10" s="903">
        <v>67929</v>
      </c>
      <c r="H10" s="903">
        <v>838893.00000000012</v>
      </c>
      <c r="I10" s="351"/>
      <c r="J10" s="905">
        <f>SUM(K10:O10)</f>
        <v>160539.53</v>
      </c>
      <c r="K10" s="903">
        <v>77853.7</v>
      </c>
      <c r="L10" s="903">
        <v>61498</v>
      </c>
      <c r="M10" s="903">
        <v>13870.71</v>
      </c>
      <c r="N10" s="903">
        <v>7313.16</v>
      </c>
      <c r="O10" s="903">
        <v>3.96</v>
      </c>
    </row>
    <row r="11" spans="1:18" ht="18" customHeight="1">
      <c r="A11" s="326"/>
      <c r="B11" s="404">
        <v>2008</v>
      </c>
      <c r="C11" s="899">
        <f t="shared" ref="C11:C19" si="0">E11+J11</f>
        <v>1734485.7971279395</v>
      </c>
      <c r="D11" s="900"/>
      <c r="E11" s="905">
        <f t="shared" ref="E11:E19" si="1">SUM(F11:H11)</f>
        <v>1565528.2071279394</v>
      </c>
      <c r="F11" s="903">
        <v>614295.0248572774</v>
      </c>
      <c r="G11" s="903">
        <v>100479.98227066199</v>
      </c>
      <c r="H11" s="903">
        <v>850753.20000000007</v>
      </c>
      <c r="I11" s="351"/>
      <c r="J11" s="905">
        <f t="shared" ref="J11:J19" si="2">SUM(K11:O11)</f>
        <v>168957.59000000003</v>
      </c>
      <c r="K11" s="903">
        <v>83128.62</v>
      </c>
      <c r="L11" s="903">
        <v>47816</v>
      </c>
      <c r="M11" s="903">
        <v>29932.79</v>
      </c>
      <c r="N11" s="903">
        <v>8042.54</v>
      </c>
      <c r="O11" s="903">
        <v>37.64</v>
      </c>
    </row>
    <row r="12" spans="1:18" ht="18" customHeight="1">
      <c r="A12" s="326"/>
      <c r="B12" s="404">
        <v>2009</v>
      </c>
      <c r="C12" s="899">
        <f t="shared" si="0"/>
        <v>1828015.6218322685</v>
      </c>
      <c r="D12" s="900"/>
      <c r="E12" s="905">
        <f t="shared" si="1"/>
        <v>1652112.3218322685</v>
      </c>
      <c r="F12" s="903">
        <v>742737.92183226848</v>
      </c>
      <c r="G12" s="903">
        <v>110077</v>
      </c>
      <c r="H12" s="903">
        <v>799297.4</v>
      </c>
      <c r="I12" s="351"/>
      <c r="J12" s="905">
        <f t="shared" si="2"/>
        <v>175903.30000000002</v>
      </c>
      <c r="K12" s="903">
        <v>92891.02</v>
      </c>
      <c r="L12" s="903">
        <v>58104.5</v>
      </c>
      <c r="M12" s="903">
        <v>16755.32</v>
      </c>
      <c r="N12" s="903">
        <v>8152.46</v>
      </c>
      <c r="O12" s="903">
        <v>0</v>
      </c>
      <c r="P12" s="969"/>
      <c r="Q12" s="969"/>
      <c r="R12" s="969"/>
    </row>
    <row r="13" spans="1:18" ht="18" customHeight="1">
      <c r="A13" s="326"/>
      <c r="B13" s="404">
        <v>2010</v>
      </c>
      <c r="C13" s="899">
        <f t="shared" si="0"/>
        <v>1937365.8905932233</v>
      </c>
      <c r="D13" s="900"/>
      <c r="E13" s="905">
        <f t="shared" si="1"/>
        <v>1678372.0905932232</v>
      </c>
      <c r="F13" s="903">
        <v>649309.49059322313</v>
      </c>
      <c r="G13" s="903">
        <v>126924</v>
      </c>
      <c r="H13" s="903">
        <v>902138.60000000009</v>
      </c>
      <c r="I13" s="351"/>
      <c r="J13" s="905">
        <f t="shared" si="2"/>
        <v>258993.80000000002</v>
      </c>
      <c r="K13" s="903">
        <v>140077.39000000001</v>
      </c>
      <c r="L13" s="903">
        <v>84932.6</v>
      </c>
      <c r="M13" s="903">
        <v>22822.19</v>
      </c>
      <c r="N13" s="903">
        <v>11161.62</v>
      </c>
      <c r="O13" s="903">
        <v>0</v>
      </c>
      <c r="P13" s="969"/>
      <c r="Q13" s="969"/>
      <c r="R13" s="969"/>
    </row>
    <row r="14" spans="1:18" ht="18" customHeight="1">
      <c r="A14" s="326"/>
      <c r="B14" s="404">
        <v>2011</v>
      </c>
      <c r="C14" s="899">
        <f t="shared" si="0"/>
        <v>1992741.5962142714</v>
      </c>
      <c r="D14" s="900"/>
      <c r="E14" s="905">
        <f t="shared" si="1"/>
        <v>1755528.6562142714</v>
      </c>
      <c r="F14" s="903">
        <v>705017.11221427133</v>
      </c>
      <c r="G14" s="903">
        <v>126616</v>
      </c>
      <c r="H14" s="903">
        <v>923895.54400000011</v>
      </c>
      <c r="I14" s="351"/>
      <c r="J14" s="905">
        <f t="shared" si="2"/>
        <v>237212.94</v>
      </c>
      <c r="K14" s="903">
        <v>106709.1</v>
      </c>
      <c r="L14" s="903">
        <v>88374.1</v>
      </c>
      <c r="M14" s="903">
        <v>33657.660000000003</v>
      </c>
      <c r="N14" s="903">
        <v>8472.08</v>
      </c>
      <c r="O14" s="903">
        <v>0</v>
      </c>
      <c r="P14" s="969"/>
      <c r="Q14" s="969"/>
      <c r="R14" s="969"/>
    </row>
    <row r="15" spans="1:18" ht="18" customHeight="1">
      <c r="A15" s="326"/>
      <c r="B15" s="404">
        <v>2012</v>
      </c>
      <c r="C15" s="899">
        <f t="shared" si="0"/>
        <v>2267828.9213017663</v>
      </c>
      <c r="D15" s="900"/>
      <c r="E15" s="905">
        <f t="shared" si="1"/>
        <v>1790669.6513017665</v>
      </c>
      <c r="F15" s="903">
        <v>690076.6513017664</v>
      </c>
      <c r="G15" s="903">
        <v>130591</v>
      </c>
      <c r="H15" s="903">
        <v>970002.00000000012</v>
      </c>
      <c r="I15" s="351"/>
      <c r="J15" s="905">
        <f t="shared" si="2"/>
        <v>477159.27</v>
      </c>
      <c r="K15" s="903">
        <v>214696.71</v>
      </c>
      <c r="L15" s="903">
        <v>214467.9</v>
      </c>
      <c r="M15" s="903">
        <v>38195.879999999997</v>
      </c>
      <c r="N15" s="903">
        <v>9798.7800000000007</v>
      </c>
      <c r="O15" s="903">
        <v>0</v>
      </c>
      <c r="P15" s="969"/>
      <c r="Q15" s="969"/>
      <c r="R15" s="969"/>
    </row>
    <row r="16" spans="1:18" ht="18" customHeight="1">
      <c r="A16" s="326"/>
      <c r="B16" s="404">
        <v>2013</v>
      </c>
      <c r="C16" s="899">
        <f t="shared" si="0"/>
        <v>2128930.1037818054</v>
      </c>
      <c r="D16" s="900"/>
      <c r="E16" s="905">
        <f t="shared" si="1"/>
        <v>1807805.9137818054</v>
      </c>
      <c r="F16" s="903">
        <v>657694.11378180538</v>
      </c>
      <c r="G16" s="903">
        <v>133758</v>
      </c>
      <c r="H16" s="903">
        <v>1016353.8</v>
      </c>
      <c r="I16" s="351"/>
      <c r="J16" s="905">
        <f t="shared" si="2"/>
        <v>321124.19000000006</v>
      </c>
      <c r="K16" s="903">
        <v>138680.34</v>
      </c>
      <c r="L16" s="903">
        <v>136471.20000000001</v>
      </c>
      <c r="M16" s="903">
        <v>36205.769999999997</v>
      </c>
      <c r="N16" s="903">
        <v>9766.8799999999992</v>
      </c>
      <c r="O16" s="903">
        <v>0</v>
      </c>
      <c r="P16" s="969"/>
      <c r="Q16" s="969"/>
      <c r="R16" s="969"/>
    </row>
    <row r="17" spans="1:27" ht="18" customHeight="1">
      <c r="A17" s="326"/>
      <c r="B17" s="404">
        <v>2014</v>
      </c>
      <c r="C17" s="899">
        <f t="shared" si="0"/>
        <v>2292587.82628723</v>
      </c>
      <c r="D17" s="900"/>
      <c r="E17" s="905">
        <f t="shared" si="1"/>
        <v>1840225.9962872302</v>
      </c>
      <c r="F17" s="903">
        <v>672023.59628723003</v>
      </c>
      <c r="G17" s="903">
        <v>133758</v>
      </c>
      <c r="H17" s="903">
        <v>1034444.4000000001</v>
      </c>
      <c r="I17" s="351"/>
      <c r="J17" s="905">
        <f t="shared" si="2"/>
        <v>452361.83</v>
      </c>
      <c r="K17" s="903">
        <v>217804.09</v>
      </c>
      <c r="L17" s="903">
        <v>176705.8</v>
      </c>
      <c r="M17" s="903">
        <v>49875.199999999997</v>
      </c>
      <c r="N17" s="903">
        <v>7976.74</v>
      </c>
      <c r="O17" s="903">
        <v>0</v>
      </c>
      <c r="P17" s="969"/>
      <c r="Q17" s="969"/>
      <c r="R17" s="969"/>
    </row>
    <row r="18" spans="1:27" ht="18" customHeight="1">
      <c r="A18" s="326"/>
      <c r="B18" s="404">
        <v>2015</v>
      </c>
      <c r="C18" s="899">
        <f t="shared" si="0"/>
        <v>2297373.8856046489</v>
      </c>
      <c r="D18" s="900"/>
      <c r="E18" s="905">
        <f t="shared" si="1"/>
        <v>1903176.7256046487</v>
      </c>
      <c r="F18" s="903">
        <v>761492.19658307137</v>
      </c>
      <c r="G18" s="903">
        <v>143437.26490692</v>
      </c>
      <c r="H18" s="903">
        <v>998247.2641146573</v>
      </c>
      <c r="I18" s="351"/>
      <c r="J18" s="905">
        <f t="shared" si="2"/>
        <v>394197.16000000003</v>
      </c>
      <c r="K18" s="903">
        <v>166926.12</v>
      </c>
      <c r="L18" s="903">
        <v>163494.20000000001</v>
      </c>
      <c r="M18" s="903">
        <v>55966.080000000002</v>
      </c>
      <c r="N18" s="903">
        <v>7810.76</v>
      </c>
      <c r="O18" s="903">
        <v>0</v>
      </c>
      <c r="P18" s="969"/>
      <c r="Q18" s="969"/>
      <c r="R18" s="969"/>
    </row>
    <row r="19" spans="1:27" ht="18" customHeight="1">
      <c r="A19" s="326"/>
      <c r="B19" s="404">
        <v>2016</v>
      </c>
      <c r="C19" s="899">
        <f t="shared" si="0"/>
        <v>2385094.9111687611</v>
      </c>
      <c r="D19" s="900"/>
      <c r="E19" s="905">
        <f t="shared" si="1"/>
        <v>1954231.7411687609</v>
      </c>
      <c r="F19" s="903">
        <v>787491.48211196112</v>
      </c>
      <c r="G19" s="903">
        <v>159259.82905679996</v>
      </c>
      <c r="H19" s="903">
        <v>1007480.4299999998</v>
      </c>
      <c r="I19" s="351"/>
      <c r="J19" s="905">
        <f t="shared" si="2"/>
        <v>430863.17000000004</v>
      </c>
      <c r="K19" s="903">
        <v>183910.85</v>
      </c>
      <c r="L19" s="903">
        <v>188044.1</v>
      </c>
      <c r="M19" s="903">
        <v>49622.58</v>
      </c>
      <c r="N19" s="903">
        <v>9285.64</v>
      </c>
      <c r="O19" s="903">
        <v>0</v>
      </c>
      <c r="P19" s="969"/>
      <c r="Q19" s="969"/>
      <c r="R19" s="969"/>
    </row>
    <row r="20" spans="1:27" ht="18" customHeight="1">
      <c r="A20" s="326"/>
      <c r="B20" s="404">
        <v>2017</v>
      </c>
      <c r="C20" s="899">
        <v>2445401.6005432447</v>
      </c>
      <c r="D20" s="900"/>
      <c r="E20" s="905">
        <v>2013673.7182955265</v>
      </c>
      <c r="F20" s="903">
        <v>879838.29279272642</v>
      </c>
      <c r="G20" s="903">
        <v>168649.45870279998</v>
      </c>
      <c r="H20" s="903">
        <v>965185.96680000005</v>
      </c>
      <c r="I20" s="351"/>
      <c r="J20" s="905">
        <v>431727.88224771805</v>
      </c>
      <c r="K20" s="903">
        <v>185979.32</v>
      </c>
      <c r="L20" s="903">
        <v>179968</v>
      </c>
      <c r="M20" s="903">
        <v>58209.25</v>
      </c>
      <c r="N20" s="903">
        <v>7571.3</v>
      </c>
      <c r="O20" s="903">
        <v>0</v>
      </c>
      <c r="P20" s="969"/>
      <c r="Q20" s="969"/>
      <c r="R20" s="969"/>
    </row>
    <row r="21" spans="1:27" ht="18" customHeight="1">
      <c r="A21" s="326"/>
      <c r="B21" s="404" t="s">
        <v>180</v>
      </c>
      <c r="C21" s="899">
        <v>2613117.3787831371</v>
      </c>
      <c r="D21" s="900"/>
      <c r="E21" s="905">
        <v>2067142.5065071944</v>
      </c>
      <c r="F21" s="903">
        <v>902351.18868039432</v>
      </c>
      <c r="G21" s="903">
        <v>163706.68162679998</v>
      </c>
      <c r="H21" s="903">
        <v>1001084.6362000001</v>
      </c>
      <c r="I21" s="351"/>
      <c r="J21" s="905">
        <v>545974.8722759427</v>
      </c>
      <c r="K21" s="903">
        <v>237743.78</v>
      </c>
      <c r="L21" s="903">
        <v>218940</v>
      </c>
      <c r="M21" s="903">
        <v>77851.759999999995</v>
      </c>
      <c r="N21" s="903">
        <v>9937.17</v>
      </c>
      <c r="O21" s="903">
        <v>1502.17</v>
      </c>
      <c r="P21" s="969"/>
      <c r="Q21" s="969"/>
      <c r="R21" s="969"/>
    </row>
    <row r="22" spans="1:27" ht="18" customHeight="1">
      <c r="A22" s="326"/>
      <c r="B22" s="404" t="s">
        <v>296</v>
      </c>
      <c r="C22" s="899">
        <v>2543478.8730534455</v>
      </c>
      <c r="D22" s="900"/>
      <c r="E22" s="905">
        <v>2082142.5065071899</v>
      </c>
      <c r="F22" s="903">
        <v>915878.13173239003</v>
      </c>
      <c r="G22" s="903">
        <v>164731.26452679999</v>
      </c>
      <c r="H22" s="903">
        <v>1001533.110248</v>
      </c>
      <c r="I22" s="351"/>
      <c r="J22" s="905">
        <v>461336.36654625548</v>
      </c>
      <c r="K22" s="903">
        <v>188216.75</v>
      </c>
      <c r="L22" s="903">
        <v>215412.45</v>
      </c>
      <c r="M22" s="903">
        <v>45378.84</v>
      </c>
      <c r="N22" s="903">
        <v>9468.2800000000007</v>
      </c>
      <c r="O22" s="903">
        <v>2860.04</v>
      </c>
      <c r="P22" s="969"/>
      <c r="Q22" s="969"/>
      <c r="R22" s="969"/>
    </row>
    <row r="23" spans="1:27" ht="18" customHeight="1">
      <c r="A23" s="326"/>
      <c r="B23" s="404" t="s">
        <v>299</v>
      </c>
      <c r="C23" s="899">
        <v>2618152.7592673395</v>
      </c>
      <c r="D23" s="900"/>
      <c r="E23" s="905">
        <v>2104851.2000000002</v>
      </c>
      <c r="F23" s="903">
        <v>930500</v>
      </c>
      <c r="G23" s="903">
        <v>152306</v>
      </c>
      <c r="H23" s="903">
        <v>1022045.2000000001</v>
      </c>
      <c r="I23" s="351"/>
      <c r="J23" s="905">
        <v>513301.55926733918</v>
      </c>
      <c r="K23" s="903">
        <v>195646.05</v>
      </c>
      <c r="L23" s="903">
        <v>216110</v>
      </c>
      <c r="M23" s="903">
        <v>81185.320000000007</v>
      </c>
      <c r="N23" s="903">
        <v>12311</v>
      </c>
      <c r="O23" s="903">
        <v>8049.18</v>
      </c>
      <c r="P23" s="969"/>
      <c r="Q23" s="969"/>
      <c r="R23" s="969"/>
    </row>
    <row r="24" spans="1:27" ht="18" customHeight="1">
      <c r="A24" s="326"/>
      <c r="B24" s="404">
        <v>2021</v>
      </c>
      <c r="C24" s="899">
        <v>2707314.0275722267</v>
      </c>
      <c r="D24" s="900"/>
      <c r="E24" s="905">
        <v>2111947.5097544296</v>
      </c>
      <c r="F24" s="903">
        <v>951870.10975442955</v>
      </c>
      <c r="G24" s="903">
        <v>148469</v>
      </c>
      <c r="H24" s="903">
        <v>1011608.4000000001</v>
      </c>
      <c r="I24" s="351"/>
      <c r="J24" s="905">
        <v>595366.51781779737</v>
      </c>
      <c r="K24" s="903">
        <v>267869.21999999997</v>
      </c>
      <c r="L24" s="903">
        <v>257180</v>
      </c>
      <c r="M24" s="903">
        <v>49205.36</v>
      </c>
      <c r="N24" s="903">
        <v>14624.55</v>
      </c>
      <c r="O24" s="903">
        <v>6487.38</v>
      </c>
      <c r="P24" s="969"/>
      <c r="Q24" s="969"/>
      <c r="R24" s="969"/>
      <c r="S24" s="971"/>
      <c r="T24" s="972"/>
      <c r="U24" s="973"/>
    </row>
    <row r="25" spans="1:27" ht="18" customHeight="1">
      <c r="A25" s="326"/>
      <c r="B25" s="404" t="s">
        <v>396</v>
      </c>
      <c r="C25" s="899">
        <f>E25+J25</f>
        <v>2800825.552161335</v>
      </c>
      <c r="D25" s="900"/>
      <c r="E25" s="905">
        <v>2234179.2085490003</v>
      </c>
      <c r="F25" s="903">
        <v>1220904.2085490001</v>
      </c>
      <c r="G25" s="903">
        <v>154109</v>
      </c>
      <c r="H25" s="903">
        <v>859166</v>
      </c>
      <c r="I25" s="351"/>
      <c r="J25" s="905">
        <v>566646.34361233469</v>
      </c>
      <c r="K25" s="903">
        <v>276149.90999999997</v>
      </c>
      <c r="L25" s="903">
        <v>222990</v>
      </c>
      <c r="M25" s="903">
        <v>52854.43</v>
      </c>
      <c r="N25" s="903">
        <v>9576.6</v>
      </c>
      <c r="O25" s="903">
        <v>5075.3999999999996</v>
      </c>
      <c r="P25" s="969"/>
      <c r="Q25" s="969"/>
      <c r="R25" s="969"/>
      <c r="S25" s="971"/>
      <c r="T25" s="971"/>
      <c r="U25" s="971"/>
    </row>
    <row r="26" spans="1:27" ht="18" customHeight="1">
      <c r="A26" s="326"/>
      <c r="B26" s="404" t="s">
        <v>459</v>
      </c>
      <c r="C26" s="899">
        <f>E26+J26</f>
        <v>2756087.4126630006</v>
      </c>
      <c r="D26" s="900"/>
      <c r="E26" s="905">
        <f>SUM(F26:H26)</f>
        <v>2232945.4834780004</v>
      </c>
      <c r="F26" s="903">
        <v>1210682</v>
      </c>
      <c r="G26" s="903">
        <v>150581.38099999996</v>
      </c>
      <c r="H26" s="903">
        <v>871682.10247800022</v>
      </c>
      <c r="I26" s="351"/>
      <c r="J26" s="905">
        <f>SUM(K26:O26)</f>
        <v>523141.92918500007</v>
      </c>
      <c r="K26" s="903">
        <v>296210.90812100004</v>
      </c>
      <c r="L26" s="903">
        <v>178188.23</v>
      </c>
      <c r="M26" s="903">
        <v>37099.425600000002</v>
      </c>
      <c r="N26" s="903">
        <v>8612.7530000000006</v>
      </c>
      <c r="O26" s="903">
        <v>3030.6124639999998</v>
      </c>
      <c r="P26" s="969"/>
      <c r="Q26" s="969"/>
      <c r="R26" s="969"/>
      <c r="S26" s="970"/>
      <c r="T26" s="970"/>
      <c r="U26" s="970"/>
      <c r="V26" s="975"/>
      <c r="W26" s="968"/>
      <c r="X26" s="976"/>
      <c r="Y26" s="968"/>
      <c r="AA26" s="968"/>
    </row>
    <row r="27" spans="1:27" ht="18" customHeight="1" thickBot="1">
      <c r="A27" s="326"/>
      <c r="B27" s="405" t="s">
        <v>462</v>
      </c>
      <c r="C27" s="901">
        <f>E27+J27</f>
        <v>2749245.9651563903</v>
      </c>
      <c r="D27" s="902"/>
      <c r="E27" s="906">
        <f>SUM(F27:H27)</f>
        <v>2208103.6792853903</v>
      </c>
      <c r="F27" s="904">
        <v>1226429.2965873899</v>
      </c>
      <c r="G27" s="904">
        <v>158181.63000000003</v>
      </c>
      <c r="H27" s="904">
        <v>823492.75269800005</v>
      </c>
      <c r="I27" s="352"/>
      <c r="J27" s="906">
        <f>SUM(K27:O27)</f>
        <v>541142.28587100003</v>
      </c>
      <c r="K27" s="904">
        <v>239721.59035300004</v>
      </c>
      <c r="L27" s="904">
        <v>241835.61800000002</v>
      </c>
      <c r="M27" s="904">
        <v>46815.602669999993</v>
      </c>
      <c r="N27" s="904">
        <v>10557.12</v>
      </c>
      <c r="O27" s="904">
        <v>2212.3548480000004</v>
      </c>
      <c r="Q27" s="969"/>
      <c r="S27" s="970"/>
      <c r="T27" s="970"/>
      <c r="U27" s="970"/>
      <c r="V27" s="975"/>
      <c r="W27" s="968"/>
      <c r="X27" s="976"/>
      <c r="Y27" s="968"/>
      <c r="AA27" s="968"/>
    </row>
    <row r="28" spans="1:27" ht="9" customHeight="1">
      <c r="A28" s="323"/>
      <c r="B28" s="514" t="s">
        <v>338</v>
      </c>
      <c r="C28" s="515"/>
      <c r="D28" s="515"/>
      <c r="E28" s="515"/>
      <c r="F28" s="515"/>
      <c r="G28" s="515"/>
      <c r="H28" s="515"/>
      <c r="I28" s="515"/>
      <c r="J28" s="515"/>
      <c r="K28" s="515"/>
      <c r="L28" s="346"/>
      <c r="M28" s="346"/>
      <c r="N28" s="346"/>
      <c r="O28" s="346"/>
      <c r="S28" s="970"/>
      <c r="T28" s="970"/>
      <c r="U28" s="970"/>
      <c r="V28" s="968"/>
      <c r="W28" s="968"/>
      <c r="X28" s="968"/>
    </row>
    <row r="29" spans="1:27" ht="9" customHeight="1">
      <c r="A29" s="323"/>
      <c r="B29" s="498" t="s">
        <v>304</v>
      </c>
      <c r="C29" s="493"/>
      <c r="D29" s="493"/>
      <c r="E29" s="511"/>
      <c r="F29" s="331"/>
      <c r="G29" s="331"/>
      <c r="H29" s="331"/>
      <c r="I29" s="515"/>
      <c r="J29" s="515"/>
      <c r="K29" s="515"/>
      <c r="L29" s="346"/>
      <c r="M29" s="346"/>
      <c r="N29" s="331"/>
      <c r="O29" s="331"/>
      <c r="S29" s="971"/>
      <c r="T29" s="971"/>
      <c r="U29" s="971"/>
    </row>
    <row r="30" spans="1:27" ht="9" customHeight="1">
      <c r="A30" s="323"/>
      <c r="B30" s="451" t="s">
        <v>303</v>
      </c>
      <c r="C30" s="493"/>
      <c r="D30" s="493"/>
      <c r="E30" s="511"/>
      <c r="F30" s="515"/>
      <c r="G30" s="515"/>
      <c r="H30" s="515"/>
      <c r="I30" s="515"/>
      <c r="J30" s="515"/>
      <c r="K30" s="515"/>
      <c r="L30" s="346"/>
      <c r="M30" s="346"/>
      <c r="N30" s="346"/>
      <c r="O30" s="347"/>
      <c r="S30" s="970"/>
      <c r="T30" s="970"/>
      <c r="U30" s="970"/>
      <c r="V30" s="968"/>
      <c r="W30" s="970"/>
      <c r="X30" s="968"/>
    </row>
    <row r="31" spans="1:27" ht="9" customHeight="1">
      <c r="A31" s="323"/>
      <c r="B31" s="451"/>
      <c r="C31" s="493"/>
      <c r="D31" s="493"/>
      <c r="E31" s="511"/>
      <c r="F31" s="978"/>
      <c r="G31" s="515"/>
      <c r="H31" s="515"/>
      <c r="I31" s="515"/>
      <c r="J31" s="515"/>
      <c r="K31" s="515"/>
      <c r="L31" s="346"/>
      <c r="M31" s="346"/>
      <c r="N31" s="346"/>
      <c r="O31" s="347"/>
      <c r="S31" s="970"/>
      <c r="T31" s="970"/>
      <c r="U31" s="970"/>
      <c r="V31" s="968"/>
      <c r="W31" s="970"/>
      <c r="X31" s="968"/>
    </row>
    <row r="32" spans="1:27" ht="10.25" customHeight="1">
      <c r="A32" s="323"/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7"/>
      <c r="S32" s="970"/>
      <c r="T32" s="970"/>
      <c r="U32" s="970"/>
      <c r="V32" s="968"/>
    </row>
    <row r="33" spans="1:19" ht="15" customHeight="1">
      <c r="A33" s="350" t="s">
        <v>461</v>
      </c>
      <c r="B33" s="348"/>
      <c r="C33" s="348"/>
      <c r="D33" s="348"/>
      <c r="E33" s="348"/>
      <c r="F33" s="348"/>
      <c r="S33" s="968"/>
    </row>
    <row r="34" spans="1:19" ht="15" customHeight="1">
      <c r="A34" s="288" t="s">
        <v>352</v>
      </c>
      <c r="B34" s="348"/>
      <c r="C34" s="348"/>
      <c r="D34" s="348"/>
      <c r="E34" s="348"/>
      <c r="F34" s="348"/>
      <c r="S34" s="968"/>
    </row>
    <row r="35" spans="1:19" ht="4.25" customHeight="1" thickBot="1">
      <c r="A35" s="328"/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</row>
    <row r="36" spans="1:19" ht="21" customHeight="1">
      <c r="A36" s="759"/>
      <c r="B36" s="760"/>
      <c r="C36" s="759"/>
      <c r="D36" s="764"/>
      <c r="E36" s="1044" t="s">
        <v>248</v>
      </c>
      <c r="F36" s="1044"/>
      <c r="G36" s="1044"/>
      <c r="H36" s="1044"/>
      <c r="I36" s="764"/>
      <c r="J36" s="1044" t="s">
        <v>249</v>
      </c>
      <c r="K36" s="1044"/>
      <c r="L36" s="1044"/>
      <c r="M36" s="1044"/>
      <c r="N36" s="1044"/>
      <c r="O36" s="1044"/>
    </row>
    <row r="37" spans="1:19" ht="12" customHeight="1">
      <c r="A37" s="760" t="s">
        <v>108</v>
      </c>
      <c r="B37" s="765" t="s">
        <v>122</v>
      </c>
      <c r="C37" s="760" t="s">
        <v>106</v>
      </c>
      <c r="D37" s="760"/>
      <c r="E37" s="760"/>
      <c r="F37" s="760"/>
      <c r="G37" s="760"/>
      <c r="H37" s="760"/>
      <c r="I37" s="760"/>
      <c r="J37" s="760"/>
      <c r="K37" s="760" t="s">
        <v>118</v>
      </c>
      <c r="L37" s="760" t="s">
        <v>119</v>
      </c>
      <c r="M37" s="760" t="s">
        <v>120</v>
      </c>
      <c r="N37" s="760"/>
      <c r="O37" s="760"/>
      <c r="S37" s="968"/>
    </row>
    <row r="38" spans="1:19" ht="12" customHeight="1">
      <c r="A38" s="764"/>
      <c r="B38" s="766" t="s">
        <v>130</v>
      </c>
      <c r="C38" s="764"/>
      <c r="D38" s="764"/>
      <c r="E38" s="760" t="s">
        <v>106</v>
      </c>
      <c r="F38" s="760" t="s">
        <v>117</v>
      </c>
      <c r="G38" s="760" t="s">
        <v>173</v>
      </c>
      <c r="H38" s="760" t="s">
        <v>173</v>
      </c>
      <c r="I38" s="760"/>
      <c r="J38" s="760" t="s">
        <v>106</v>
      </c>
      <c r="K38" s="760" t="s">
        <v>431</v>
      </c>
      <c r="L38" s="760" t="s">
        <v>432</v>
      </c>
      <c r="M38" s="760" t="s">
        <v>121</v>
      </c>
      <c r="N38" s="760" t="s">
        <v>117</v>
      </c>
      <c r="O38" s="760" t="s">
        <v>173</v>
      </c>
      <c r="S38" s="968"/>
    </row>
    <row r="39" spans="1:19" ht="12" customHeight="1">
      <c r="A39" s="762"/>
      <c r="B39" s="761"/>
      <c r="C39" s="762"/>
      <c r="D39" s="762"/>
      <c r="E39" s="762"/>
      <c r="F39" s="761" t="s">
        <v>177</v>
      </c>
      <c r="G39" s="761" t="s">
        <v>429</v>
      </c>
      <c r="H39" s="761" t="s">
        <v>430</v>
      </c>
      <c r="I39" s="762"/>
      <c r="J39" s="762"/>
      <c r="K39" s="763" t="s">
        <v>174</v>
      </c>
      <c r="L39" s="763" t="s">
        <v>175</v>
      </c>
      <c r="M39" s="763" t="s">
        <v>176</v>
      </c>
      <c r="N39" s="761" t="s">
        <v>433</v>
      </c>
      <c r="O39" s="761" t="s">
        <v>430</v>
      </c>
    </row>
    <row r="40" spans="1:19" ht="18" customHeight="1">
      <c r="A40" s="404">
        <v>2007</v>
      </c>
      <c r="B40" s="353">
        <v>28481.901000000002</v>
      </c>
      <c r="C40" s="687">
        <f>E40+J40</f>
        <v>56.75</v>
      </c>
      <c r="D40" s="418"/>
      <c r="E40" s="907">
        <f>SUM(F40:H40)</f>
        <v>51.113999999999997</v>
      </c>
      <c r="F40" s="353">
        <v>19.274999999999999</v>
      </c>
      <c r="G40" s="353">
        <v>2.3849999999999998</v>
      </c>
      <c r="H40" s="353">
        <v>29.454000000000001</v>
      </c>
      <c r="I40" s="353"/>
      <c r="J40" s="907">
        <f>SUM(K40:O40)</f>
        <v>5.6359999999999992</v>
      </c>
      <c r="K40" s="353">
        <v>2.7330000000000001</v>
      </c>
      <c r="L40" s="353">
        <v>2.1589999999999998</v>
      </c>
      <c r="M40" s="353">
        <v>0.48699999999999999</v>
      </c>
      <c r="N40" s="353">
        <v>0.25700000000000001</v>
      </c>
      <c r="O40" s="353">
        <v>0</v>
      </c>
    </row>
    <row r="41" spans="1:19" ht="18" customHeight="1">
      <c r="A41" s="404">
        <v>2008</v>
      </c>
      <c r="B41" s="353">
        <v>28807.034</v>
      </c>
      <c r="C41" s="687">
        <f t="shared" ref="C41:C49" si="3">E41+J41</f>
        <v>60.210150453178336</v>
      </c>
      <c r="D41" s="418"/>
      <c r="E41" s="907">
        <f t="shared" ref="E41:E49" si="4">SUM(F41:H41)</f>
        <v>54.344999999999999</v>
      </c>
      <c r="F41" s="353">
        <v>21.324000000000002</v>
      </c>
      <c r="G41" s="353">
        <v>3.488</v>
      </c>
      <c r="H41" s="353">
        <v>29.533000000000001</v>
      </c>
      <c r="I41" s="353"/>
      <c r="J41" s="907">
        <v>5.8651504531783374</v>
      </c>
      <c r="K41" s="353">
        <v>2.8860000000000001</v>
      </c>
      <c r="L41" s="353">
        <v>1.66</v>
      </c>
      <c r="M41" s="353">
        <v>1.0389999999999999</v>
      </c>
      <c r="N41" s="353">
        <v>0.27900000000000003</v>
      </c>
      <c r="O41" s="353">
        <v>1E-3</v>
      </c>
    </row>
    <row r="42" spans="1:19" ht="18" customHeight="1">
      <c r="A42" s="404">
        <v>2009</v>
      </c>
      <c r="B42" s="353">
        <v>29132.012999999999</v>
      </c>
      <c r="C42" s="687">
        <f t="shared" si="3"/>
        <v>62.751000000000005</v>
      </c>
      <c r="D42" s="418"/>
      <c r="E42" s="907">
        <f t="shared" si="4"/>
        <v>56.712000000000003</v>
      </c>
      <c r="F42" s="353">
        <v>25.495999999999999</v>
      </c>
      <c r="G42" s="353">
        <v>3.7789999999999999</v>
      </c>
      <c r="H42" s="353">
        <v>27.437000000000001</v>
      </c>
      <c r="I42" s="353"/>
      <c r="J42" s="907">
        <f t="shared" ref="J42:J49" si="5">SUM(K42:O42)</f>
        <v>6.0390000000000006</v>
      </c>
      <c r="K42" s="353">
        <v>3.1890000000000001</v>
      </c>
      <c r="L42" s="353">
        <v>1.9950000000000001</v>
      </c>
      <c r="M42" s="353">
        <v>0.57499999999999996</v>
      </c>
      <c r="N42" s="353">
        <v>0.28000000000000003</v>
      </c>
      <c r="O42" s="353">
        <v>0</v>
      </c>
    </row>
    <row r="43" spans="1:19" ht="18" customHeight="1">
      <c r="A43" s="404">
        <v>2010</v>
      </c>
      <c r="B43" s="353">
        <v>29461.933000000001</v>
      </c>
      <c r="C43" s="687">
        <f t="shared" si="3"/>
        <v>65.759</v>
      </c>
      <c r="D43" s="418"/>
      <c r="E43" s="907">
        <f t="shared" si="4"/>
        <v>56.966999999999999</v>
      </c>
      <c r="F43" s="353">
        <v>22.039000000000001</v>
      </c>
      <c r="G43" s="353">
        <v>4.3079999999999998</v>
      </c>
      <c r="H43" s="353">
        <v>30.62</v>
      </c>
      <c r="I43" s="353"/>
      <c r="J43" s="907">
        <f t="shared" si="5"/>
        <v>8.7919999999999998</v>
      </c>
      <c r="K43" s="353">
        <v>4.7549999999999999</v>
      </c>
      <c r="L43" s="353">
        <v>2.883</v>
      </c>
      <c r="M43" s="353">
        <v>0.77500000000000002</v>
      </c>
      <c r="N43" s="353">
        <v>0.379</v>
      </c>
      <c r="O43" s="353">
        <v>0</v>
      </c>
    </row>
    <row r="44" spans="1:19" ht="18" customHeight="1">
      <c r="A44" s="404">
        <v>2011</v>
      </c>
      <c r="B44" s="353">
        <v>29797.694</v>
      </c>
      <c r="C44" s="687">
        <f t="shared" si="3"/>
        <v>66.876000000000005</v>
      </c>
      <c r="D44" s="418"/>
      <c r="E44" s="907">
        <f t="shared" si="4"/>
        <v>58.914999999999999</v>
      </c>
      <c r="F44" s="353">
        <v>23.66</v>
      </c>
      <c r="G44" s="353">
        <v>4.2489999999999997</v>
      </c>
      <c r="H44" s="353">
        <v>31.006</v>
      </c>
      <c r="I44" s="353"/>
      <c r="J44" s="907">
        <f t="shared" si="5"/>
        <v>7.9610000000000003</v>
      </c>
      <c r="K44" s="353">
        <v>3.581</v>
      </c>
      <c r="L44" s="353">
        <v>2.9660000000000002</v>
      </c>
      <c r="M44" s="353">
        <v>1.1299999999999999</v>
      </c>
      <c r="N44" s="353">
        <v>0.28399999999999997</v>
      </c>
      <c r="O44" s="353">
        <v>0</v>
      </c>
    </row>
    <row r="45" spans="1:19" ht="18" customHeight="1">
      <c r="A45" s="404">
        <v>2012</v>
      </c>
      <c r="B45" s="353">
        <v>30135.875</v>
      </c>
      <c r="C45" s="687">
        <f t="shared" si="3"/>
        <v>75.253</v>
      </c>
      <c r="D45" s="418"/>
      <c r="E45" s="907">
        <f t="shared" si="4"/>
        <v>59.42</v>
      </c>
      <c r="F45" s="353">
        <v>22.899000000000001</v>
      </c>
      <c r="G45" s="353">
        <v>4.3330000000000002</v>
      </c>
      <c r="H45" s="353">
        <v>32.188000000000002</v>
      </c>
      <c r="I45" s="353"/>
      <c r="J45" s="907">
        <f t="shared" si="5"/>
        <v>15.832999999999998</v>
      </c>
      <c r="K45" s="353">
        <v>7.1239999999999997</v>
      </c>
      <c r="L45" s="353">
        <v>7.117</v>
      </c>
      <c r="M45" s="353">
        <v>1.2669999999999999</v>
      </c>
      <c r="N45" s="353">
        <v>0.32500000000000001</v>
      </c>
      <c r="O45" s="353">
        <v>0</v>
      </c>
    </row>
    <row r="46" spans="1:19" ht="18" customHeight="1">
      <c r="A46" s="404">
        <v>2013</v>
      </c>
      <c r="B46" s="353">
        <v>30475.144</v>
      </c>
      <c r="C46" s="687">
        <f t="shared" si="3"/>
        <v>69.856999999999999</v>
      </c>
      <c r="D46" s="418"/>
      <c r="E46" s="907">
        <f t="shared" si="4"/>
        <v>59.32</v>
      </c>
      <c r="F46" s="353">
        <v>21.581</v>
      </c>
      <c r="G46" s="353">
        <v>4.3890000000000002</v>
      </c>
      <c r="H46" s="353">
        <v>33.35</v>
      </c>
      <c r="I46" s="353"/>
      <c r="J46" s="907">
        <f t="shared" si="5"/>
        <v>10.537000000000001</v>
      </c>
      <c r="K46" s="353">
        <v>4.5510000000000002</v>
      </c>
      <c r="L46" s="353">
        <v>4.4779999999999998</v>
      </c>
      <c r="M46" s="353">
        <v>1.1879999999999999</v>
      </c>
      <c r="N46" s="353">
        <v>0.32</v>
      </c>
      <c r="O46" s="353">
        <v>0</v>
      </c>
    </row>
    <row r="47" spans="1:19" ht="18" customHeight="1">
      <c r="A47" s="404">
        <v>2014</v>
      </c>
      <c r="B47" s="353">
        <v>30814.174999999999</v>
      </c>
      <c r="C47" s="687">
        <f t="shared" si="3"/>
        <v>74.400999999999996</v>
      </c>
      <c r="D47" s="418"/>
      <c r="E47" s="907">
        <f t="shared" si="4"/>
        <v>59.72</v>
      </c>
      <c r="F47" s="353">
        <v>21.809000000000001</v>
      </c>
      <c r="G47" s="353">
        <v>4.3410000000000002</v>
      </c>
      <c r="H47" s="353">
        <v>33.57</v>
      </c>
      <c r="I47" s="353"/>
      <c r="J47" s="907">
        <f t="shared" si="5"/>
        <v>14.681000000000001</v>
      </c>
      <c r="K47" s="353">
        <v>7.0679999999999996</v>
      </c>
      <c r="L47" s="353">
        <v>5.7350000000000003</v>
      </c>
      <c r="M47" s="353">
        <v>1.619</v>
      </c>
      <c r="N47" s="353">
        <v>0.25900000000000001</v>
      </c>
      <c r="O47" s="353">
        <v>0</v>
      </c>
    </row>
    <row r="48" spans="1:19" ht="18" customHeight="1">
      <c r="A48" s="404">
        <v>2015</v>
      </c>
      <c r="B48" s="353">
        <v>31151.643</v>
      </c>
      <c r="C48" s="687">
        <f t="shared" si="3"/>
        <v>73.748999999999995</v>
      </c>
      <c r="D48" s="418"/>
      <c r="E48" s="907">
        <f t="shared" si="4"/>
        <v>61.094000000000001</v>
      </c>
      <c r="F48" s="353">
        <v>24.445</v>
      </c>
      <c r="G48" s="353">
        <v>4.6040000000000001</v>
      </c>
      <c r="H48" s="353">
        <v>32.045000000000002</v>
      </c>
      <c r="I48" s="353"/>
      <c r="J48" s="907">
        <f t="shared" si="5"/>
        <v>12.654999999999999</v>
      </c>
      <c r="K48" s="353">
        <v>5.359</v>
      </c>
      <c r="L48" s="353">
        <v>5.2480000000000002</v>
      </c>
      <c r="M48" s="353">
        <v>1.7969999999999999</v>
      </c>
      <c r="N48" s="353">
        <v>0.251</v>
      </c>
      <c r="O48" s="353">
        <v>0</v>
      </c>
    </row>
    <row r="49" spans="1:15" ht="18" customHeight="1">
      <c r="A49" s="404">
        <v>2016</v>
      </c>
      <c r="B49" s="353">
        <v>31488.625</v>
      </c>
      <c r="C49" s="687">
        <f t="shared" si="3"/>
        <v>75.745999999999995</v>
      </c>
      <c r="D49" s="418"/>
      <c r="E49" s="907">
        <f t="shared" si="4"/>
        <v>62.061999999999998</v>
      </c>
      <c r="F49" s="353">
        <v>25.009</v>
      </c>
      <c r="G49" s="353">
        <v>5.0579999999999998</v>
      </c>
      <c r="H49" s="353">
        <v>31.995000000000001</v>
      </c>
      <c r="I49" s="353"/>
      <c r="J49" s="907">
        <f t="shared" si="5"/>
        <v>13.684000000000001</v>
      </c>
      <c r="K49" s="353">
        <v>5.8410000000000002</v>
      </c>
      <c r="L49" s="353">
        <v>5.9720000000000004</v>
      </c>
      <c r="M49" s="353">
        <v>1.5760000000000001</v>
      </c>
      <c r="N49" s="353">
        <v>0.29499999999999998</v>
      </c>
      <c r="O49" s="353">
        <v>0</v>
      </c>
    </row>
    <row r="50" spans="1:15" ht="18" customHeight="1">
      <c r="A50" s="404">
        <v>2017</v>
      </c>
      <c r="B50" s="353">
        <v>31826.018</v>
      </c>
      <c r="C50" s="687">
        <v>76.836555567311137</v>
      </c>
      <c r="D50" s="418"/>
      <c r="E50" s="907">
        <v>63.271305832087648</v>
      </c>
      <c r="F50" s="353">
        <v>27.645</v>
      </c>
      <c r="G50" s="353">
        <v>5.2990000000000004</v>
      </c>
      <c r="H50" s="353">
        <v>30.327000000000002</v>
      </c>
      <c r="I50" s="353"/>
      <c r="J50" s="907">
        <v>13.565249735223489</v>
      </c>
      <c r="K50" s="353">
        <v>5.8440000000000003</v>
      </c>
      <c r="L50" s="353">
        <v>5.6550000000000002</v>
      </c>
      <c r="M50" s="353">
        <v>1.829</v>
      </c>
      <c r="N50" s="353">
        <v>0.23799999999999999</v>
      </c>
      <c r="O50" s="353">
        <v>0</v>
      </c>
    </row>
    <row r="51" spans="1:15" ht="18" customHeight="1">
      <c r="A51" s="326" t="s">
        <v>180</v>
      </c>
      <c r="B51" s="353">
        <v>32162.184000000001</v>
      </c>
      <c r="C51" s="687">
        <v>81.248132240743885</v>
      </c>
      <c r="D51" s="418"/>
      <c r="E51" s="907">
        <v>64.272454461027721</v>
      </c>
      <c r="F51" s="353">
        <v>28.056000000000001</v>
      </c>
      <c r="G51" s="353">
        <v>5.09</v>
      </c>
      <c r="H51" s="353">
        <v>31.126000000000001</v>
      </c>
      <c r="I51" s="353"/>
      <c r="J51" s="907">
        <v>16.975677779716165</v>
      </c>
      <c r="K51" s="353">
        <v>7.3920000000000003</v>
      </c>
      <c r="L51" s="353">
        <v>6.8070000000000004</v>
      </c>
      <c r="M51" s="353">
        <v>2.4209999999999998</v>
      </c>
      <c r="N51" s="353">
        <v>0.309</v>
      </c>
      <c r="O51" s="354">
        <v>4.7E-2</v>
      </c>
    </row>
    <row r="52" spans="1:15" ht="18" customHeight="1">
      <c r="A52" s="326" t="s">
        <v>296</v>
      </c>
      <c r="B52" s="353">
        <v>32495.51</v>
      </c>
      <c r="C52" s="687">
        <v>78.271701938312276</v>
      </c>
      <c r="D52" s="418"/>
      <c r="E52" s="907">
        <v>64.074775453814709</v>
      </c>
      <c r="F52" s="353">
        <v>28.184999999999999</v>
      </c>
      <c r="G52" s="353">
        <v>5.069</v>
      </c>
      <c r="H52" s="353">
        <v>30.821000000000002</v>
      </c>
      <c r="I52" s="353"/>
      <c r="J52" s="907">
        <v>14.196926484497565</v>
      </c>
      <c r="K52" s="353">
        <v>5.7919999999999998</v>
      </c>
      <c r="L52" s="353">
        <v>6.6289999999999996</v>
      </c>
      <c r="M52" s="353">
        <v>1.3959999999999999</v>
      </c>
      <c r="N52" s="353">
        <v>0.29099999999999998</v>
      </c>
      <c r="O52" s="353">
        <v>8.7999999999999995E-2</v>
      </c>
    </row>
    <row r="53" spans="1:15" ht="18" customHeight="1">
      <c r="A53" s="326" t="s">
        <v>299</v>
      </c>
      <c r="B53" s="353">
        <v>32824.358</v>
      </c>
      <c r="C53" s="687">
        <v>79.762497084248807</v>
      </c>
      <c r="D53" s="418"/>
      <c r="E53" s="907">
        <v>64.124672293666791</v>
      </c>
      <c r="F53" s="353">
        <v>28.347999999999999</v>
      </c>
      <c r="G53" s="353">
        <v>4.6399999999999997</v>
      </c>
      <c r="H53" s="353">
        <v>31.137</v>
      </c>
      <c r="I53" s="353"/>
      <c r="J53" s="907">
        <v>15.637824790582018</v>
      </c>
      <c r="K53" s="353">
        <v>5.96</v>
      </c>
      <c r="L53" s="353">
        <v>6.5839999999999996</v>
      </c>
      <c r="M53" s="353">
        <v>2.4729999999999999</v>
      </c>
      <c r="N53" s="353">
        <v>0.375</v>
      </c>
      <c r="O53" s="353">
        <v>0.245</v>
      </c>
    </row>
    <row r="54" spans="1:15" ht="18" customHeight="1">
      <c r="A54" s="326" t="s">
        <v>398</v>
      </c>
      <c r="B54" s="353">
        <v>33149.016000000003</v>
      </c>
      <c r="C54" s="687">
        <v>81.671022378830997</v>
      </c>
      <c r="D54" s="418"/>
      <c r="E54" s="907">
        <v>63.710714965247519</v>
      </c>
      <c r="F54" s="353">
        <v>28.715</v>
      </c>
      <c r="G54" s="353">
        <v>4.4790000000000001</v>
      </c>
      <c r="H54" s="353">
        <v>30.516999999999999</v>
      </c>
      <c r="I54" s="353"/>
      <c r="J54" s="907">
        <v>17.960307413583475</v>
      </c>
      <c r="K54" s="353">
        <v>8.0809999999999995</v>
      </c>
      <c r="L54" s="353">
        <v>7.758</v>
      </c>
      <c r="M54" s="353">
        <v>1.484</v>
      </c>
      <c r="N54" s="353">
        <v>0.441</v>
      </c>
      <c r="O54" s="353">
        <v>0.19600000000000001</v>
      </c>
    </row>
    <row r="55" spans="1:15" ht="18" customHeight="1">
      <c r="A55" s="326" t="s">
        <v>396</v>
      </c>
      <c r="B55" s="353">
        <v>33470.569000000003</v>
      </c>
      <c r="C55" s="687">
        <f>C25/B$55</f>
        <v>83.680249121589029</v>
      </c>
      <c r="D55" s="418"/>
      <c r="E55" s="907">
        <v>66.750559530344404</v>
      </c>
      <c r="F55" s="353">
        <v>36.476948107724134</v>
      </c>
      <c r="G55" s="353">
        <v>4.6043137181205367</v>
      </c>
      <c r="H55" s="353">
        <v>25.669297704499733</v>
      </c>
      <c r="I55" s="353"/>
      <c r="J55" s="907">
        <v>16.929689591244617</v>
      </c>
      <c r="K55" s="353">
        <v>8.2509999999999994</v>
      </c>
      <c r="L55" s="353">
        <v>6.6619999999999999</v>
      </c>
      <c r="M55" s="353">
        <v>1.579</v>
      </c>
      <c r="N55" s="353">
        <v>0.28599999999999998</v>
      </c>
      <c r="O55" s="353">
        <v>0.152</v>
      </c>
    </row>
    <row r="56" spans="1:15" ht="18" customHeight="1">
      <c r="A56" s="326" t="s">
        <v>459</v>
      </c>
      <c r="B56" s="353">
        <v>33725.843999999997</v>
      </c>
      <c r="C56" s="687">
        <f>C26/B$57</f>
        <v>80.969810490028976</v>
      </c>
      <c r="D56" s="418"/>
      <c r="E56" s="907">
        <f>E26/B56</f>
        <v>66.208735457532228</v>
      </c>
      <c r="F56" s="353">
        <f>F26/B56</f>
        <v>35.897752477299015</v>
      </c>
      <c r="G56" s="353">
        <f>G26/B56</f>
        <v>4.46486620171759</v>
      </c>
      <c r="H56" s="353">
        <f>H26/B56</f>
        <v>25.846116778515619</v>
      </c>
      <c r="I56" s="353"/>
      <c r="J56" s="907">
        <f>J26/B56</f>
        <v>15.511603777358399</v>
      </c>
      <c r="K56" s="353">
        <f>K26/B56</f>
        <v>8.7829057182675712</v>
      </c>
      <c r="L56" s="353">
        <f>L26/B56</f>
        <v>5.2834327882202157</v>
      </c>
      <c r="M56" s="353">
        <f>M26/B56</f>
        <v>1.1000295678293479</v>
      </c>
      <c r="N56" s="353">
        <f>N26/B56</f>
        <v>0.25537546221230228</v>
      </c>
      <c r="O56" s="353">
        <f>O26/B56</f>
        <v>8.9860240828961907E-2</v>
      </c>
    </row>
    <row r="57" spans="1:15" ht="18" customHeight="1" thickBot="1">
      <c r="A57" s="327" t="s">
        <v>462</v>
      </c>
      <c r="B57" s="355">
        <v>34038.457000000002</v>
      </c>
      <c r="C57" s="688">
        <f>C27/B$57</f>
        <v>80.768818785069783</v>
      </c>
      <c r="D57" s="419"/>
      <c r="E57" s="908">
        <f>E27/B57</f>
        <v>64.87085120472382</v>
      </c>
      <c r="F57" s="355">
        <f>F27/B57</f>
        <v>36.030696003270357</v>
      </c>
      <c r="G57" s="355">
        <f>G27/B57</f>
        <v>4.6471445518226639</v>
      </c>
      <c r="H57" s="355">
        <f>H27/B57</f>
        <v>24.1930106496308</v>
      </c>
      <c r="I57" s="355"/>
      <c r="J57" s="908">
        <f>J27/B57</f>
        <v>15.897967580345959</v>
      </c>
      <c r="K57" s="355">
        <f>K27/B57</f>
        <v>7.0426691301841329</v>
      </c>
      <c r="L57" s="355">
        <f>L27/B57</f>
        <v>7.1047761653825852</v>
      </c>
      <c r="M57" s="355">
        <f>M27/B57</f>
        <v>1.3753738211458877</v>
      </c>
      <c r="N57" s="355">
        <f>N27/B57</f>
        <v>0.3101527193197976</v>
      </c>
      <c r="O57" s="355">
        <f>O27/B57</f>
        <v>6.4995744313556883E-2</v>
      </c>
    </row>
    <row r="58" spans="1:15" ht="9" customHeight="1">
      <c r="A58" s="514" t="s">
        <v>338</v>
      </c>
      <c r="B58" s="516"/>
      <c r="C58" s="514"/>
      <c r="D58" s="514"/>
      <c r="E58" s="514"/>
      <c r="F58" s="514"/>
      <c r="G58" s="356"/>
      <c r="H58" s="356"/>
      <c r="I58" s="323"/>
      <c r="J58" s="329"/>
      <c r="K58" s="329"/>
      <c r="L58" s="323"/>
      <c r="M58" s="330"/>
      <c r="N58" s="330"/>
      <c r="O58" s="329"/>
    </row>
    <row r="59" spans="1:15" ht="9" customHeight="1">
      <c r="A59" s="498" t="s">
        <v>304</v>
      </c>
      <c r="B59" s="493"/>
      <c r="C59" s="511"/>
      <c r="D59" s="511"/>
      <c r="E59" s="514"/>
      <c r="F59" s="514"/>
      <c r="G59" s="356"/>
      <c r="H59" s="421"/>
      <c r="I59" s="323"/>
      <c r="J59" s="331"/>
      <c r="K59" s="331"/>
      <c r="L59" s="331"/>
      <c r="M59" s="331"/>
      <c r="N59" s="331"/>
      <c r="O59" s="331"/>
    </row>
    <row r="60" spans="1:15" ht="9" customHeight="1">
      <c r="A60" s="451" t="s">
        <v>303</v>
      </c>
      <c r="B60" s="493"/>
      <c r="C60" s="511"/>
      <c r="D60" s="511"/>
      <c r="E60" s="514"/>
      <c r="F60" s="514"/>
      <c r="G60" s="356"/>
      <c r="H60" s="356"/>
      <c r="I60" s="323"/>
      <c r="J60" s="323"/>
      <c r="K60" s="323"/>
      <c r="L60" s="323"/>
      <c r="M60" s="323"/>
      <c r="N60" s="323"/>
      <c r="O60" s="323"/>
    </row>
    <row r="61" spans="1:15" ht="15" customHeight="1">
      <c r="A61" s="323"/>
      <c r="B61" s="330"/>
      <c r="C61" s="323"/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  <c r="O61" s="323"/>
    </row>
    <row r="62" spans="1:15" ht="15" customHeight="1">
      <c r="A62" s="323"/>
      <c r="B62" s="332"/>
      <c r="C62" s="323"/>
      <c r="D62" s="323"/>
      <c r="E62" s="323"/>
      <c r="F62" s="422"/>
      <c r="G62" s="323"/>
      <c r="H62" s="323"/>
      <c r="I62" s="323"/>
      <c r="J62" s="323"/>
      <c r="K62" s="323"/>
      <c r="L62" s="323"/>
      <c r="M62" s="323"/>
      <c r="N62" s="323"/>
      <c r="O62" s="323"/>
    </row>
  </sheetData>
  <mergeCells count="6">
    <mergeCell ref="B6:B9"/>
    <mergeCell ref="J36:O36"/>
    <mergeCell ref="J6:O6"/>
    <mergeCell ref="E6:H6"/>
    <mergeCell ref="E36:H36"/>
    <mergeCell ref="C6:C9"/>
  </mergeCells>
  <printOptions horizontalCentered="1" verticalCentered="1" gridLinesSet="0"/>
  <pageMargins left="0" right="0" top="0" bottom="0" header="0" footer="0"/>
  <pageSetup paperSize="8" orientation="portrait" r:id="rId1"/>
  <headerFooter scaleWithDoc="0"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Hoja99">
    <tabColor theme="9" tint="0.59999389629810485"/>
  </sheetPr>
  <dimension ref="A1"/>
  <sheetViews>
    <sheetView showGridLines="0" zoomScaleNormal="100" workbookViewId="0">
      <selection activeCell="B1" sqref="B1"/>
    </sheetView>
  </sheetViews>
  <sheetFormatPr baseColWidth="10" defaultColWidth="7" defaultRowHeight="13.25" customHeight="1"/>
  <cols>
    <col min="1" max="1" width="11.19921875" style="17" customWidth="1"/>
    <col min="2" max="9" width="8" style="17" customWidth="1"/>
    <col min="10" max="16384" width="7" style="17"/>
  </cols>
  <sheetData/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Hoja100">
    <tabColor theme="9" tint="0.59999389629810485"/>
  </sheetPr>
  <dimension ref="A3:Z53"/>
  <sheetViews>
    <sheetView showGridLines="0" zoomScaleNormal="100" workbookViewId="0">
      <selection activeCell="H1" sqref="H1"/>
    </sheetView>
  </sheetViews>
  <sheetFormatPr baseColWidth="10" defaultColWidth="7" defaultRowHeight="13.25" customHeight="1"/>
  <cols>
    <col min="1" max="1" width="8.796875" style="121" customWidth="1"/>
    <col min="2" max="3" width="9.796875" style="121" customWidth="1"/>
    <col min="4" max="4" width="1.3984375" style="121" customWidth="1"/>
    <col min="5" max="6" width="9.796875" style="121" customWidth="1"/>
    <col min="7" max="7" width="1.3984375" style="121" customWidth="1"/>
    <col min="8" max="9" width="9.796875" style="121" customWidth="1"/>
    <col min="10" max="10" width="1.19921875" style="121" customWidth="1"/>
    <col min="11" max="12" width="9.796875" style="121" customWidth="1"/>
    <col min="13" max="14" width="4.19921875" style="121" customWidth="1"/>
    <col min="15" max="16384" width="7" style="121"/>
  </cols>
  <sheetData>
    <row r="3" spans="1:26" ht="13.25" customHeight="1">
      <c r="A3" s="358" t="s">
        <v>527</v>
      </c>
      <c r="B3" s="359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</row>
    <row r="4" spans="1:26" ht="13.25" customHeight="1">
      <c r="A4" s="360" t="s">
        <v>294</v>
      </c>
      <c r="B4" s="361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</row>
    <row r="5" spans="1:26" ht="6" customHeight="1" thickBot="1">
      <c r="A5" s="1023"/>
      <c r="B5" s="1023"/>
      <c r="C5" s="1023"/>
      <c r="D5" s="1023"/>
      <c r="E5" s="1023"/>
      <c r="F5" s="1023"/>
      <c r="G5" s="1023"/>
      <c r="H5" s="1023"/>
      <c r="I5" s="1023"/>
      <c r="J5" s="1023"/>
      <c r="K5" s="1023"/>
      <c r="L5" s="1023"/>
      <c r="M5" s="122"/>
      <c r="N5" s="122"/>
    </row>
    <row r="6" spans="1:26" ht="16" customHeight="1">
      <c r="A6" s="1049" t="s">
        <v>107</v>
      </c>
      <c r="B6" s="1047" t="s">
        <v>261</v>
      </c>
      <c r="C6" s="1047"/>
      <c r="D6" s="767"/>
      <c r="E6" s="1047" t="s">
        <v>262</v>
      </c>
      <c r="F6" s="1047"/>
      <c r="G6" s="767"/>
      <c r="H6" s="1047" t="s">
        <v>181</v>
      </c>
      <c r="I6" s="1047"/>
      <c r="J6" s="767"/>
      <c r="K6" s="1048" t="s">
        <v>263</v>
      </c>
      <c r="L6" s="1048"/>
      <c r="M6" s="122"/>
      <c r="N6" s="122"/>
    </row>
    <row r="7" spans="1:26" ht="16" customHeight="1">
      <c r="A7" s="1050"/>
      <c r="B7" s="768">
        <v>2023</v>
      </c>
      <c r="C7" s="768" t="s">
        <v>471</v>
      </c>
      <c r="D7" s="768"/>
      <c r="E7" s="768">
        <v>2023</v>
      </c>
      <c r="F7" s="768" t="s">
        <v>471</v>
      </c>
      <c r="G7" s="768"/>
      <c r="H7" s="768">
        <v>2023</v>
      </c>
      <c r="I7" s="768" t="s">
        <v>471</v>
      </c>
      <c r="J7" s="768"/>
      <c r="K7" s="768">
        <v>2023</v>
      </c>
      <c r="L7" s="768" t="s">
        <v>471</v>
      </c>
    </row>
    <row r="8" spans="1:26" ht="16" customHeight="1">
      <c r="A8" s="689" t="s">
        <v>52</v>
      </c>
      <c r="B8" s="690">
        <f t="shared" ref="B8:C8" si="0">AVERAGE(B9:B20)</f>
        <v>6.5325093260633906</v>
      </c>
      <c r="C8" s="690">
        <f t="shared" si="0"/>
        <v>6.5224390617984502</v>
      </c>
      <c r="D8" s="690"/>
      <c r="E8" s="690">
        <f t="shared" ref="E8" si="1">AVERAGE(E9:E20)</f>
        <v>6.7791666666666659</v>
      </c>
      <c r="F8" s="690">
        <f t="shared" ref="F8" si="2">AVERAGE(F9:F20)</f>
        <v>6.7739882772767368</v>
      </c>
      <c r="G8" s="690"/>
      <c r="H8" s="690">
        <f t="shared" ref="H8" si="3">AVERAGE(H9:H20)</f>
        <v>8.0424999999999986</v>
      </c>
      <c r="I8" s="690">
        <f t="shared" ref="I8" si="4">AVERAGE(I9:I20)</f>
        <v>8.6508333333333347</v>
      </c>
      <c r="J8" s="690"/>
      <c r="K8" s="690">
        <f>AVERAGE(K9:K20)</f>
        <v>10.557499999999999</v>
      </c>
      <c r="L8" s="690">
        <f>AVERAGE(L9:L20)</f>
        <v>10.696666666666667</v>
      </c>
      <c r="M8" s="123"/>
      <c r="N8" s="123"/>
    </row>
    <row r="9" spans="1:26" ht="16" customHeight="1">
      <c r="A9" s="306" t="s">
        <v>53</v>
      </c>
      <c r="B9" s="363">
        <v>5.4912104348110411</v>
      </c>
      <c r="C9" s="363">
        <v>6.4453599185815733</v>
      </c>
      <c r="D9" s="363"/>
      <c r="E9" s="363">
        <v>5.79</v>
      </c>
      <c r="F9" s="363">
        <v>6.7047638987982694</v>
      </c>
      <c r="G9" s="363"/>
      <c r="H9" s="363">
        <v>7.04</v>
      </c>
      <c r="I9" s="363">
        <v>8.2799999999999994</v>
      </c>
      <c r="J9" s="363"/>
      <c r="K9" s="364">
        <v>9.85</v>
      </c>
      <c r="L9" s="364">
        <v>10.61</v>
      </c>
      <c r="M9" s="124"/>
      <c r="N9" s="98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</row>
    <row r="10" spans="1:26" ht="16" customHeight="1">
      <c r="A10" s="306" t="s">
        <v>54</v>
      </c>
      <c r="B10" s="363">
        <v>7.35</v>
      </c>
      <c r="C10" s="363">
        <v>6.9691634848025945</v>
      </c>
      <c r="D10" s="363"/>
      <c r="E10" s="363">
        <v>7.63</v>
      </c>
      <c r="F10" s="363">
        <v>7.2351910749911914</v>
      </c>
      <c r="G10" s="363"/>
      <c r="H10" s="363">
        <v>9.0299999999999994</v>
      </c>
      <c r="I10" s="363">
        <v>9.3500000000000014</v>
      </c>
      <c r="J10" s="363"/>
      <c r="K10" s="364">
        <v>10.69</v>
      </c>
      <c r="L10" s="364">
        <v>11.36</v>
      </c>
      <c r="M10" s="124"/>
      <c r="N10" s="98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</row>
    <row r="11" spans="1:26" ht="16" customHeight="1">
      <c r="A11" s="306" t="s">
        <v>55</v>
      </c>
      <c r="B11" s="363">
        <v>8.2700821391542139</v>
      </c>
      <c r="C11" s="363">
        <v>7.2801278812615324</v>
      </c>
      <c r="D11" s="363"/>
      <c r="E11" s="363">
        <v>8.6199999999999992</v>
      </c>
      <c r="F11" s="363">
        <v>7.6456904801313668</v>
      </c>
      <c r="G11" s="363"/>
      <c r="H11" s="363">
        <v>9.86</v>
      </c>
      <c r="I11" s="363">
        <v>10.3</v>
      </c>
      <c r="J11" s="363"/>
      <c r="K11" s="364">
        <v>12.4</v>
      </c>
      <c r="L11" s="364">
        <v>12.05</v>
      </c>
      <c r="M11" s="124"/>
      <c r="N11" s="98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</row>
    <row r="12" spans="1:26" ht="16" customHeight="1">
      <c r="A12" s="306" t="s">
        <v>56</v>
      </c>
      <c r="B12" s="363">
        <v>8.3765035318256551</v>
      </c>
      <c r="C12" s="363">
        <v>5.8551368827610455</v>
      </c>
      <c r="D12" s="363"/>
      <c r="E12" s="363">
        <v>8.69</v>
      </c>
      <c r="F12" s="363">
        <v>6.0898334844303763</v>
      </c>
      <c r="G12" s="363"/>
      <c r="H12" s="363">
        <v>9.9499999999999993</v>
      </c>
      <c r="I12" s="363">
        <v>8.16</v>
      </c>
      <c r="J12" s="363"/>
      <c r="K12" s="364">
        <v>12.58</v>
      </c>
      <c r="L12" s="364">
        <v>10.42</v>
      </c>
      <c r="M12" s="124"/>
      <c r="N12" s="98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</row>
    <row r="13" spans="1:26" ht="16" customHeight="1">
      <c r="A13" s="306" t="s">
        <v>57</v>
      </c>
      <c r="B13" s="363">
        <v>7.5488395272950823</v>
      </c>
      <c r="C13" s="363">
        <v>6.0331305414222163</v>
      </c>
      <c r="D13" s="363"/>
      <c r="E13" s="363">
        <v>7.86</v>
      </c>
      <c r="F13" s="363">
        <v>6.2666633368021643</v>
      </c>
      <c r="G13" s="363"/>
      <c r="H13" s="363">
        <v>9.1</v>
      </c>
      <c r="I13" s="363">
        <v>8.4199999999999982</v>
      </c>
      <c r="J13" s="363"/>
      <c r="K13" s="364">
        <v>12.08</v>
      </c>
      <c r="L13" s="364">
        <v>10.28</v>
      </c>
      <c r="M13" s="124"/>
      <c r="N13" s="98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</row>
    <row r="14" spans="1:26" ht="16" customHeight="1">
      <c r="A14" s="306" t="s">
        <v>58</v>
      </c>
      <c r="B14" s="363">
        <v>5.7605219919169866</v>
      </c>
      <c r="C14" s="363">
        <v>5.2602980980983416</v>
      </c>
      <c r="D14" s="363"/>
      <c r="E14" s="363">
        <v>5.98</v>
      </c>
      <c r="F14" s="363">
        <v>5.4432392219998293</v>
      </c>
      <c r="G14" s="363"/>
      <c r="H14" s="363">
        <v>7.28</v>
      </c>
      <c r="I14" s="363">
        <v>8.1900000000000013</v>
      </c>
      <c r="J14" s="363"/>
      <c r="K14" s="364">
        <v>10.09</v>
      </c>
      <c r="L14" s="364">
        <v>9.8800000000000008</v>
      </c>
      <c r="M14" s="124"/>
      <c r="N14" s="98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</row>
    <row r="15" spans="1:26" ht="16" customHeight="1">
      <c r="A15" s="306" t="s">
        <v>59</v>
      </c>
      <c r="B15" s="363">
        <v>6.9327453239176737</v>
      </c>
      <c r="C15" s="363">
        <v>5.9863827316692175</v>
      </c>
      <c r="D15" s="363"/>
      <c r="E15" s="363">
        <v>7.12</v>
      </c>
      <c r="F15" s="363">
        <v>6.1888229369767629</v>
      </c>
      <c r="G15" s="363"/>
      <c r="H15" s="363">
        <v>8.3699999999999992</v>
      </c>
      <c r="I15" s="363">
        <v>8.120000000000001</v>
      </c>
      <c r="J15" s="363"/>
      <c r="K15" s="364">
        <v>10.47</v>
      </c>
      <c r="L15" s="364">
        <v>10.18</v>
      </c>
      <c r="M15" s="124"/>
      <c r="N15" s="98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spans="1:26" ht="16" customHeight="1">
      <c r="A16" s="306" t="s">
        <v>60</v>
      </c>
      <c r="B16" s="363">
        <v>6.1864493040871595</v>
      </c>
      <c r="C16" s="363">
        <v>6.64</v>
      </c>
      <c r="D16" s="363"/>
      <c r="E16" s="363">
        <v>6.41</v>
      </c>
      <c r="F16" s="363">
        <v>6.89</v>
      </c>
      <c r="G16" s="363"/>
      <c r="H16" s="363">
        <v>7.65</v>
      </c>
      <c r="I16" s="363">
        <v>8.73</v>
      </c>
      <c r="J16" s="363"/>
      <c r="K16" s="364">
        <v>10.050000000000001</v>
      </c>
      <c r="L16" s="364">
        <v>10.68</v>
      </c>
      <c r="M16" s="124"/>
      <c r="N16" s="98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</row>
    <row r="17" spans="1:26" ht="16" customHeight="1">
      <c r="A17" s="306" t="s">
        <v>61</v>
      </c>
      <c r="B17" s="363">
        <v>4.6306124845090499</v>
      </c>
      <c r="C17" s="363">
        <v>6.99</v>
      </c>
      <c r="D17" s="363"/>
      <c r="E17" s="363">
        <v>4.91</v>
      </c>
      <c r="F17" s="363">
        <v>7.2</v>
      </c>
      <c r="G17" s="363"/>
      <c r="H17" s="363">
        <v>6.16</v>
      </c>
      <c r="I17" s="363">
        <v>8.5100000000000016</v>
      </c>
      <c r="J17" s="363"/>
      <c r="K17" s="364">
        <v>9.16</v>
      </c>
      <c r="L17" s="364">
        <v>10.97</v>
      </c>
      <c r="M17" s="124"/>
      <c r="N17" s="984"/>
      <c r="O17" s="124"/>
      <c r="P17" s="985"/>
      <c r="Q17" s="124"/>
      <c r="R17" s="124"/>
      <c r="S17" s="124"/>
      <c r="T17" s="124"/>
      <c r="U17" s="124"/>
      <c r="V17" s="124"/>
      <c r="W17" s="124"/>
      <c r="X17" s="124"/>
      <c r="Y17" s="124"/>
      <c r="Z17" s="124"/>
    </row>
    <row r="18" spans="1:26" ht="16" customHeight="1">
      <c r="A18" s="306" t="s">
        <v>62</v>
      </c>
      <c r="B18" s="363">
        <v>5.198733091975078</v>
      </c>
      <c r="C18" s="363">
        <v>7.0030064725178116</v>
      </c>
      <c r="D18" s="363"/>
      <c r="E18" s="363">
        <v>5.37</v>
      </c>
      <c r="F18" s="363">
        <v>7.2175497205448238</v>
      </c>
      <c r="G18" s="363"/>
      <c r="H18" s="363">
        <v>6.61</v>
      </c>
      <c r="I18" s="363">
        <v>8.9400000000000013</v>
      </c>
      <c r="J18" s="363"/>
      <c r="K18" s="364">
        <v>9.2899999999999991</v>
      </c>
      <c r="L18" s="364">
        <v>10.91</v>
      </c>
      <c r="M18" s="124"/>
      <c r="N18" s="984"/>
      <c r="O18" s="124"/>
      <c r="P18" s="985"/>
      <c r="Q18" s="124"/>
      <c r="R18" s="124"/>
      <c r="S18" s="124"/>
      <c r="T18" s="124"/>
      <c r="U18" s="124"/>
      <c r="V18" s="124"/>
      <c r="W18" s="124"/>
      <c r="X18" s="124"/>
      <c r="Y18" s="124"/>
      <c r="Z18" s="124"/>
    </row>
    <row r="19" spans="1:26" ht="16" customHeight="1">
      <c r="A19" s="306" t="s">
        <v>63</v>
      </c>
      <c r="B19" s="363">
        <v>5.7078791424378208</v>
      </c>
      <c r="C19" s="363">
        <v>7.1750969500722617</v>
      </c>
      <c r="D19" s="363"/>
      <c r="E19" s="363">
        <v>5.88</v>
      </c>
      <c r="F19" s="363">
        <v>7.4270722129845375</v>
      </c>
      <c r="G19" s="363"/>
      <c r="H19" s="363">
        <v>7.13</v>
      </c>
      <c r="I19" s="363">
        <v>8.86</v>
      </c>
      <c r="J19" s="363"/>
      <c r="K19" s="364">
        <v>9.31</v>
      </c>
      <c r="L19" s="364">
        <v>11.01</v>
      </c>
      <c r="M19" s="124"/>
      <c r="N19" s="98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</row>
    <row r="20" spans="1:26" ht="16" customHeight="1" thickBot="1">
      <c r="A20" s="319" t="s">
        <v>64</v>
      </c>
      <c r="B20" s="365">
        <v>6.9365349408309216</v>
      </c>
      <c r="C20" s="365">
        <v>6.631565780394812</v>
      </c>
      <c r="D20" s="365"/>
      <c r="E20" s="365">
        <v>7.09</v>
      </c>
      <c r="F20" s="365">
        <v>6.9790329596615077</v>
      </c>
      <c r="G20" s="365"/>
      <c r="H20" s="365">
        <v>8.33</v>
      </c>
      <c r="I20" s="365">
        <v>7.95</v>
      </c>
      <c r="J20" s="365"/>
      <c r="K20" s="366">
        <v>10.72</v>
      </c>
      <c r="L20" s="366">
        <v>10.01</v>
      </c>
      <c r="M20" s="124"/>
      <c r="N20" s="98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</row>
    <row r="21" spans="1:26" ht="9" customHeight="1">
      <c r="A21" s="476" t="s">
        <v>312</v>
      </c>
      <c r="B21" s="476"/>
      <c r="C21" s="476"/>
      <c r="D21" s="476"/>
      <c r="E21" s="476"/>
      <c r="F21" s="476"/>
      <c r="G21" s="476"/>
      <c r="H21" s="517"/>
      <c r="I21" s="476"/>
      <c r="J21" s="235"/>
      <c r="K21" s="357"/>
      <c r="L21" s="357"/>
      <c r="M21" s="124"/>
      <c r="N21" s="124"/>
    </row>
    <row r="22" spans="1:26" ht="9" customHeight="1">
      <c r="A22" s="449" t="s">
        <v>330</v>
      </c>
      <c r="B22" s="476"/>
      <c r="C22" s="476"/>
      <c r="D22" s="476"/>
      <c r="E22" s="517"/>
      <c r="F22" s="476"/>
      <c r="G22" s="476"/>
      <c r="H22" s="476"/>
      <c r="I22" s="476"/>
      <c r="J22" s="235"/>
      <c r="K22" s="235"/>
      <c r="L22" s="235"/>
    </row>
    <row r="23" spans="1:26" ht="9" customHeight="1">
      <c r="A23" s="517" t="s">
        <v>313</v>
      </c>
      <c r="B23" s="476"/>
      <c r="C23" s="476"/>
      <c r="D23" s="476"/>
      <c r="E23" s="476"/>
      <c r="F23" s="476"/>
      <c r="G23" s="476"/>
      <c r="H23" s="476"/>
      <c r="I23" s="476"/>
      <c r="J23" s="235"/>
      <c r="K23" s="235"/>
      <c r="L23" s="235"/>
    </row>
    <row r="24" spans="1:26" ht="9" customHeight="1">
      <c r="A24" s="476" t="s">
        <v>314</v>
      </c>
      <c r="B24" s="476"/>
      <c r="C24" s="476"/>
      <c r="D24" s="476"/>
      <c r="E24" s="476"/>
      <c r="F24" s="476"/>
      <c r="G24" s="476"/>
      <c r="H24" s="476"/>
      <c r="I24" s="476"/>
      <c r="J24" s="235"/>
      <c r="K24" s="235"/>
      <c r="L24" s="235"/>
    </row>
    <row r="25" spans="1:26" ht="9" customHeight="1">
      <c r="A25" s="451" t="s">
        <v>303</v>
      </c>
      <c r="B25" s="476"/>
      <c r="C25" s="476"/>
      <c r="D25" s="476"/>
      <c r="E25" s="476"/>
      <c r="F25" s="476"/>
      <c r="G25" s="476"/>
      <c r="H25" s="476"/>
      <c r="I25" s="476"/>
      <c r="J25" s="235"/>
      <c r="K25" s="235"/>
      <c r="L25" s="235"/>
    </row>
    <row r="26" spans="1:26" ht="122" customHeight="1"/>
    <row r="27" spans="1:26" ht="13.25" customHeight="1">
      <c r="A27" s="362" t="s">
        <v>526</v>
      </c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0"/>
      <c r="N27" s="120"/>
    </row>
    <row r="28" spans="1:26" ht="13.25" customHeight="1">
      <c r="A28" s="360" t="s">
        <v>294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</row>
    <row r="29" spans="1:26" ht="6" customHeight="1" thickBo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22"/>
      <c r="N29" s="122"/>
    </row>
    <row r="30" spans="1:26" ht="16" customHeight="1">
      <c r="A30" s="1049" t="s">
        <v>107</v>
      </c>
      <c r="B30" s="1047" t="s">
        <v>261</v>
      </c>
      <c r="C30" s="1047"/>
      <c r="D30" s="767"/>
      <c r="E30" s="1047" t="s">
        <v>262</v>
      </c>
      <c r="F30" s="1047"/>
      <c r="G30" s="767"/>
      <c r="H30" s="1047" t="s">
        <v>264</v>
      </c>
      <c r="I30" s="1047"/>
      <c r="J30" s="767"/>
      <c r="K30" s="1048" t="s">
        <v>265</v>
      </c>
      <c r="L30" s="1048"/>
      <c r="M30" s="122"/>
      <c r="N30" s="122"/>
    </row>
    <row r="31" spans="1:26" ht="16" customHeight="1">
      <c r="A31" s="1050"/>
      <c r="B31" s="768">
        <v>2021</v>
      </c>
      <c r="C31" s="768">
        <v>2022</v>
      </c>
      <c r="D31" s="768"/>
      <c r="E31" s="768">
        <v>2021</v>
      </c>
      <c r="F31" s="768">
        <v>2022</v>
      </c>
      <c r="G31" s="768"/>
      <c r="H31" s="768">
        <v>2021</v>
      </c>
      <c r="I31" s="768">
        <v>2022</v>
      </c>
      <c r="J31" s="768"/>
      <c r="K31" s="768">
        <v>2021</v>
      </c>
      <c r="L31" s="768">
        <v>2022</v>
      </c>
    </row>
    <row r="32" spans="1:26" ht="16" customHeight="1">
      <c r="A32" s="689" t="s">
        <v>52</v>
      </c>
      <c r="B32" s="690">
        <f>AVERAGE(B33:B44)</f>
        <v>5.8875000000000002</v>
      </c>
      <c r="C32" s="690">
        <f>AVERAGE(C33:C44)</f>
        <v>5.9833333333333334</v>
      </c>
      <c r="D32" s="690"/>
      <c r="E32" s="690">
        <f>AVERAGE(E33:E44)</f>
        <v>6.2208333333333341</v>
      </c>
      <c r="F32" s="690">
        <f>AVERAGE(F33:F44)</f>
        <v>6.3024999999999993</v>
      </c>
      <c r="G32" s="690"/>
      <c r="H32" s="690">
        <f>AVERAGE(H33:H44)</f>
        <v>7.5049999999999999</v>
      </c>
      <c r="I32" s="690">
        <f>AVERAGE(I33:I44)</f>
        <v>7.5866666666666687</v>
      </c>
      <c r="J32" s="690"/>
      <c r="K32" s="690">
        <f>AVERAGE(K33:K44)</f>
        <v>9.0050000000000008</v>
      </c>
      <c r="L32" s="690">
        <f>AVERAGE(L33:L44)</f>
        <v>9.67</v>
      </c>
      <c r="M32" s="125"/>
      <c r="N32" s="125"/>
      <c r="O32" s="573"/>
    </row>
    <row r="33" spans="1:20" ht="16" customHeight="1">
      <c r="A33" s="306" t="s">
        <v>53</v>
      </c>
      <c r="B33" s="363">
        <v>5.86</v>
      </c>
      <c r="C33" s="363">
        <v>5.23</v>
      </c>
      <c r="D33" s="363"/>
      <c r="E33" s="363">
        <v>6.2</v>
      </c>
      <c r="F33" s="363">
        <v>5.62</v>
      </c>
      <c r="G33" s="363"/>
      <c r="H33" s="363">
        <v>7.47</v>
      </c>
      <c r="I33" s="363">
        <v>6.9</v>
      </c>
      <c r="J33" s="363"/>
      <c r="K33" s="364">
        <v>8.9700000000000006</v>
      </c>
      <c r="L33" s="364">
        <v>9.23</v>
      </c>
      <c r="M33" s="125"/>
      <c r="N33" s="125"/>
      <c r="O33" s="125"/>
      <c r="P33" s="125"/>
    </row>
    <row r="34" spans="1:20" ht="16" customHeight="1">
      <c r="A34" s="306" t="s">
        <v>54</v>
      </c>
      <c r="B34" s="363">
        <v>4.5599999999999996</v>
      </c>
      <c r="C34" s="363">
        <v>5.0999999999999996</v>
      </c>
      <c r="D34" s="363"/>
      <c r="E34" s="363">
        <v>4.9000000000000004</v>
      </c>
      <c r="F34" s="363">
        <v>5.41</v>
      </c>
      <c r="G34" s="363"/>
      <c r="H34" s="363">
        <v>6.35</v>
      </c>
      <c r="I34" s="363">
        <v>6.69</v>
      </c>
      <c r="J34" s="363"/>
      <c r="K34" s="364">
        <v>7.85</v>
      </c>
      <c r="L34" s="364">
        <v>8.6999999999999993</v>
      </c>
      <c r="M34" s="125"/>
      <c r="N34" s="125"/>
      <c r="O34" s="125"/>
      <c r="P34" s="125"/>
    </row>
    <row r="35" spans="1:20" ht="16" customHeight="1">
      <c r="A35" s="306" t="s">
        <v>55</v>
      </c>
      <c r="B35" s="363">
        <v>5.64</v>
      </c>
      <c r="C35" s="363">
        <v>6.04</v>
      </c>
      <c r="D35" s="363"/>
      <c r="E35" s="363">
        <v>6.01</v>
      </c>
      <c r="F35" s="363">
        <v>6.37</v>
      </c>
      <c r="G35" s="363"/>
      <c r="H35" s="363">
        <v>7.07</v>
      </c>
      <c r="I35" s="363">
        <v>7.65</v>
      </c>
      <c r="J35" s="363"/>
      <c r="K35" s="364">
        <v>8.57</v>
      </c>
      <c r="L35" s="364">
        <v>9.4</v>
      </c>
      <c r="M35" s="125"/>
      <c r="N35" s="125"/>
      <c r="O35" s="125"/>
      <c r="P35" s="125"/>
    </row>
    <row r="36" spans="1:20" ht="16" customHeight="1">
      <c r="A36" s="306" t="s">
        <v>56</v>
      </c>
      <c r="B36" s="363">
        <v>4.47</v>
      </c>
      <c r="C36" s="363">
        <v>5.49</v>
      </c>
      <c r="D36" s="363"/>
      <c r="E36" s="363">
        <v>4.79</v>
      </c>
      <c r="F36" s="363">
        <v>5.86</v>
      </c>
      <c r="G36" s="363"/>
      <c r="H36" s="363">
        <v>6.33</v>
      </c>
      <c r="I36" s="363">
        <v>7.14</v>
      </c>
      <c r="J36" s="363"/>
      <c r="K36" s="364">
        <v>7.83</v>
      </c>
      <c r="L36" s="364">
        <v>9.4</v>
      </c>
      <c r="M36" s="125"/>
      <c r="N36" s="125"/>
      <c r="O36" s="125"/>
      <c r="P36" s="125"/>
    </row>
    <row r="37" spans="1:20" ht="16" customHeight="1">
      <c r="A37" s="306" t="s">
        <v>57</v>
      </c>
      <c r="B37" s="363">
        <v>5.58</v>
      </c>
      <c r="C37" s="363">
        <v>5.7</v>
      </c>
      <c r="D37" s="363"/>
      <c r="E37" s="363">
        <v>5.87</v>
      </c>
      <c r="F37" s="363">
        <v>6.07</v>
      </c>
      <c r="G37" s="363"/>
      <c r="H37" s="363">
        <v>7.09</v>
      </c>
      <c r="I37" s="363">
        <v>7.36</v>
      </c>
      <c r="J37" s="363"/>
      <c r="K37" s="364">
        <v>8.59</v>
      </c>
      <c r="L37" s="364">
        <v>9.2200000000000006</v>
      </c>
      <c r="M37" s="125"/>
      <c r="N37" s="125"/>
      <c r="O37" s="125"/>
      <c r="P37" s="125"/>
    </row>
    <row r="38" spans="1:20" ht="16" customHeight="1">
      <c r="A38" s="306" t="s">
        <v>58</v>
      </c>
      <c r="B38" s="363">
        <v>5.77</v>
      </c>
      <c r="C38" s="363">
        <v>6.17</v>
      </c>
      <c r="D38" s="363"/>
      <c r="E38" s="363">
        <v>6.07</v>
      </c>
      <c r="F38" s="363">
        <v>6.64</v>
      </c>
      <c r="G38" s="363"/>
      <c r="H38" s="363">
        <v>7.27</v>
      </c>
      <c r="I38" s="363">
        <v>7.93</v>
      </c>
      <c r="J38" s="363"/>
      <c r="K38" s="364">
        <v>8.77</v>
      </c>
      <c r="L38" s="364">
        <v>9.6199999999999992</v>
      </c>
      <c r="M38" s="125"/>
      <c r="N38" s="125"/>
      <c r="O38" s="125"/>
      <c r="P38" s="125"/>
    </row>
    <row r="39" spans="1:20" ht="16" customHeight="1">
      <c r="A39" s="306" t="s">
        <v>59</v>
      </c>
      <c r="B39" s="363">
        <v>6.11</v>
      </c>
      <c r="C39" s="363">
        <v>6.23</v>
      </c>
      <c r="D39" s="363"/>
      <c r="E39" s="363">
        <v>6.43</v>
      </c>
      <c r="F39" s="363">
        <v>6.59</v>
      </c>
      <c r="G39" s="363"/>
      <c r="H39" s="363">
        <v>7.63</v>
      </c>
      <c r="I39" s="363">
        <v>7.88</v>
      </c>
      <c r="J39" s="363"/>
      <c r="K39" s="364">
        <v>9.1300000000000008</v>
      </c>
      <c r="L39" s="364">
        <v>9.94</v>
      </c>
      <c r="M39" s="125"/>
      <c r="N39" s="125"/>
      <c r="O39" s="125"/>
      <c r="P39" s="125"/>
    </row>
    <row r="40" spans="1:20" ht="16" customHeight="1">
      <c r="A40" s="306" t="s">
        <v>60</v>
      </c>
      <c r="B40" s="363">
        <v>6.35</v>
      </c>
      <c r="C40" s="363">
        <v>6.97</v>
      </c>
      <c r="D40" s="363"/>
      <c r="E40" s="363">
        <v>6.72</v>
      </c>
      <c r="F40" s="363">
        <v>7.27</v>
      </c>
      <c r="G40" s="363"/>
      <c r="H40" s="363">
        <v>7.97</v>
      </c>
      <c r="I40" s="363">
        <v>8.5500000000000007</v>
      </c>
      <c r="J40" s="363"/>
      <c r="K40" s="364">
        <v>9.4700000000000006</v>
      </c>
      <c r="L40" s="364">
        <v>10.5</v>
      </c>
      <c r="M40" s="125"/>
      <c r="N40" s="125"/>
      <c r="O40" s="125"/>
      <c r="P40" s="125"/>
    </row>
    <row r="41" spans="1:20" ht="16" customHeight="1">
      <c r="A41" s="306" t="s">
        <v>61</v>
      </c>
      <c r="B41" s="363">
        <v>6.32</v>
      </c>
      <c r="C41" s="363">
        <v>6.58</v>
      </c>
      <c r="D41" s="363"/>
      <c r="E41" s="363">
        <v>6.66</v>
      </c>
      <c r="F41" s="363">
        <v>6.85</v>
      </c>
      <c r="G41" s="363"/>
      <c r="H41" s="363">
        <v>7.98</v>
      </c>
      <c r="I41" s="363">
        <v>8.14</v>
      </c>
      <c r="J41" s="363"/>
      <c r="K41" s="364">
        <v>9.48</v>
      </c>
      <c r="L41" s="364">
        <v>10.6</v>
      </c>
      <c r="M41" s="125"/>
      <c r="N41" s="125"/>
      <c r="O41" s="125"/>
      <c r="P41" s="125"/>
    </row>
    <row r="42" spans="1:20" ht="16" customHeight="1">
      <c r="A42" s="306" t="s">
        <v>62</v>
      </c>
      <c r="B42" s="363">
        <v>6.5</v>
      </c>
      <c r="C42" s="363">
        <v>6.23</v>
      </c>
      <c r="D42" s="363"/>
      <c r="E42" s="363">
        <v>6.79</v>
      </c>
      <c r="F42" s="363">
        <v>6.36</v>
      </c>
      <c r="G42" s="363"/>
      <c r="H42" s="363">
        <v>8.1300000000000008</v>
      </c>
      <c r="I42" s="363">
        <v>7.65</v>
      </c>
      <c r="J42" s="363"/>
      <c r="K42" s="364">
        <v>9.6300000000000008</v>
      </c>
      <c r="L42" s="364">
        <v>9.6199999999999992</v>
      </c>
      <c r="M42" s="125"/>
      <c r="N42" s="125"/>
      <c r="O42" s="125"/>
      <c r="P42" s="125"/>
    </row>
    <row r="43" spans="1:20" ht="16" customHeight="1">
      <c r="A43" s="306" t="s">
        <v>63</v>
      </c>
      <c r="B43" s="363">
        <v>6.6</v>
      </c>
      <c r="C43" s="363">
        <v>6.27</v>
      </c>
      <c r="D43" s="363"/>
      <c r="E43" s="363">
        <v>6.94</v>
      </c>
      <c r="F43" s="363">
        <v>6.53</v>
      </c>
      <c r="G43" s="363"/>
      <c r="H43" s="363">
        <v>8.1999999999999993</v>
      </c>
      <c r="I43" s="363">
        <v>7.81</v>
      </c>
      <c r="J43" s="363"/>
      <c r="K43" s="364">
        <v>9.6999999999999993</v>
      </c>
      <c r="L43" s="364">
        <v>9.9600000000000009</v>
      </c>
      <c r="M43" s="125"/>
      <c r="N43" s="125"/>
      <c r="O43" s="125"/>
      <c r="P43" s="125"/>
    </row>
    <row r="44" spans="1:20" ht="16" customHeight="1" thickBot="1">
      <c r="A44" s="319" t="s">
        <v>64</v>
      </c>
      <c r="B44" s="365">
        <v>6.89</v>
      </c>
      <c r="C44" s="365">
        <v>5.79</v>
      </c>
      <c r="D44" s="365"/>
      <c r="E44" s="365">
        <v>7.27</v>
      </c>
      <c r="F44" s="365">
        <v>6.06</v>
      </c>
      <c r="G44" s="365"/>
      <c r="H44" s="365">
        <v>8.57</v>
      </c>
      <c r="I44" s="365">
        <v>7.34</v>
      </c>
      <c r="J44" s="365"/>
      <c r="K44" s="366">
        <v>10.07</v>
      </c>
      <c r="L44" s="366">
        <v>9.85</v>
      </c>
      <c r="M44" s="125"/>
      <c r="N44" s="125"/>
      <c r="O44" s="125"/>
      <c r="P44" s="125"/>
    </row>
    <row r="45" spans="1:20" ht="9" customHeight="1">
      <c r="A45" s="476" t="s">
        <v>312</v>
      </c>
      <c r="B45" s="476"/>
      <c r="C45" s="476"/>
      <c r="D45" s="476"/>
      <c r="E45" s="476"/>
      <c r="F45" s="476"/>
      <c r="G45" s="476"/>
      <c r="H45" s="476"/>
      <c r="I45" s="476"/>
      <c r="J45" s="476"/>
      <c r="K45" s="518"/>
      <c r="L45" s="124"/>
      <c r="S45" s="129"/>
      <c r="T45" s="129"/>
    </row>
    <row r="46" spans="1:20" ht="9" customHeight="1">
      <c r="A46" s="449" t="s">
        <v>330</v>
      </c>
      <c r="B46" s="476"/>
      <c r="C46" s="476"/>
      <c r="D46" s="476"/>
      <c r="E46" s="517"/>
      <c r="F46" s="476"/>
      <c r="G46" s="476"/>
      <c r="H46" s="476"/>
      <c r="I46" s="476"/>
      <c r="J46" s="476"/>
      <c r="K46" s="476"/>
      <c r="S46" s="129"/>
      <c r="T46" s="129"/>
    </row>
    <row r="47" spans="1:20" ht="9" customHeight="1">
      <c r="A47" s="517" t="s">
        <v>315</v>
      </c>
      <c r="B47" s="476"/>
      <c r="C47" s="476"/>
      <c r="D47" s="476"/>
      <c r="E47" s="476"/>
      <c r="F47" s="476"/>
      <c r="G47" s="476"/>
      <c r="H47" s="476"/>
      <c r="I47" s="476"/>
      <c r="J47" s="476"/>
      <c r="K47" s="476"/>
      <c r="S47" s="129"/>
      <c r="T47" s="129"/>
    </row>
    <row r="48" spans="1:20" ht="9" customHeight="1">
      <c r="A48" s="476" t="s">
        <v>316</v>
      </c>
      <c r="B48" s="476"/>
      <c r="C48" s="476"/>
      <c r="D48" s="476"/>
      <c r="E48" s="476"/>
      <c r="F48" s="476"/>
      <c r="G48" s="476"/>
      <c r="H48" s="476"/>
      <c r="I48" s="476"/>
      <c r="J48" s="476"/>
      <c r="K48" s="476"/>
    </row>
    <row r="49" spans="1:11" ht="9" customHeight="1">
      <c r="A49" s="476" t="s">
        <v>317</v>
      </c>
      <c r="B49" s="476"/>
      <c r="C49" s="476"/>
      <c r="D49" s="476"/>
      <c r="E49" s="476"/>
      <c r="F49" s="476"/>
      <c r="G49" s="476"/>
      <c r="H49" s="476"/>
      <c r="I49" s="476"/>
      <c r="J49" s="476"/>
      <c r="K49" s="476"/>
    </row>
    <row r="50" spans="1:11" ht="9" customHeight="1">
      <c r="A50" s="451" t="s">
        <v>303</v>
      </c>
      <c r="B50" s="476"/>
      <c r="C50" s="476"/>
      <c r="D50" s="476"/>
      <c r="E50" s="476"/>
      <c r="F50" s="476"/>
      <c r="G50" s="476"/>
      <c r="H50" s="476"/>
      <c r="I50" s="476"/>
      <c r="J50" s="476"/>
      <c r="K50" s="476"/>
    </row>
    <row r="51" spans="1:11" ht="13.25" customHeight="1">
      <c r="A51" s="476"/>
      <c r="B51" s="476"/>
      <c r="C51" s="476"/>
      <c r="D51" s="476"/>
      <c r="E51" s="476"/>
      <c r="F51" s="476"/>
      <c r="G51" s="476"/>
      <c r="H51" s="476"/>
      <c r="I51" s="476"/>
      <c r="J51" s="476"/>
      <c r="K51" s="476"/>
    </row>
    <row r="52" spans="1:11" ht="13.25" customHeight="1">
      <c r="A52" s="476"/>
      <c r="B52" s="476"/>
      <c r="C52" s="476"/>
      <c r="D52" s="476"/>
      <c r="E52" s="476"/>
      <c r="F52" s="476"/>
      <c r="G52" s="476"/>
      <c r="H52" s="476"/>
      <c r="I52" s="476"/>
      <c r="J52" s="476"/>
      <c r="K52" s="476"/>
    </row>
    <row r="53" spans="1:11" ht="13.25" customHeight="1">
      <c r="A53" s="476"/>
      <c r="B53" s="476"/>
      <c r="C53" s="476"/>
      <c r="D53" s="476"/>
      <c r="E53" s="476"/>
      <c r="F53" s="476"/>
      <c r="G53" s="476"/>
      <c r="H53" s="476"/>
      <c r="I53" s="476"/>
      <c r="J53" s="476"/>
      <c r="K53" s="476"/>
    </row>
  </sheetData>
  <mergeCells count="12">
    <mergeCell ref="A5:L5"/>
    <mergeCell ref="B6:C6"/>
    <mergeCell ref="E6:F6"/>
    <mergeCell ref="H6:I6"/>
    <mergeCell ref="K6:L6"/>
    <mergeCell ref="A6:A7"/>
    <mergeCell ref="A29:L29"/>
    <mergeCell ref="B30:C30"/>
    <mergeCell ref="E30:F30"/>
    <mergeCell ref="H30:I30"/>
    <mergeCell ref="K30:L30"/>
    <mergeCell ref="A30:A31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Hoja101">
    <tabColor theme="9" tint="0.59999389629810485"/>
  </sheetPr>
  <dimension ref="A1:Z41"/>
  <sheetViews>
    <sheetView showGridLines="0" zoomScaleNormal="100" workbookViewId="0">
      <selection activeCell="O8" sqref="O8"/>
    </sheetView>
  </sheetViews>
  <sheetFormatPr baseColWidth="10" defaultColWidth="7" defaultRowHeight="13.25" customHeight="1"/>
  <cols>
    <col min="1" max="1" width="14.59765625" style="67" customWidth="1"/>
    <col min="2" max="5" width="9" style="67" customWidth="1"/>
    <col min="6" max="9" width="10" style="67" customWidth="1"/>
    <col min="10" max="10" width="11.59765625" style="67" customWidth="1"/>
    <col min="11" max="13" width="10" style="67" customWidth="1"/>
    <col min="14" max="16384" width="7" style="67"/>
  </cols>
  <sheetData>
    <row r="1" spans="1:26" ht="15" customHeight="1">
      <c r="A1" s="369" t="s">
        <v>534</v>
      </c>
      <c r="B1" s="370"/>
      <c r="C1" s="371"/>
      <c r="D1" s="370"/>
      <c r="E1" s="370"/>
      <c r="F1" s="370"/>
      <c r="G1" s="370"/>
      <c r="H1" s="370"/>
      <c r="I1" s="370"/>
      <c r="J1" s="370"/>
      <c r="K1" s="370"/>
      <c r="L1" s="370"/>
      <c r="M1" s="370"/>
    </row>
    <row r="2" spans="1:26" ht="13.25" customHeight="1">
      <c r="A2" s="372" t="s">
        <v>294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3" spans="1:26" ht="6" customHeight="1" thickBot="1">
      <c r="A3" s="104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</row>
    <row r="4" spans="1:26" ht="16" customHeight="1">
      <c r="A4" s="1051" t="s">
        <v>16</v>
      </c>
      <c r="B4" s="1051" t="s">
        <v>17</v>
      </c>
      <c r="C4" s="1051" t="s">
        <v>5</v>
      </c>
      <c r="D4" s="1051" t="s">
        <v>6</v>
      </c>
      <c r="E4" s="1051" t="s">
        <v>7</v>
      </c>
      <c r="F4" s="1051" t="s">
        <v>8</v>
      </c>
      <c r="G4" s="1051" t="s">
        <v>9</v>
      </c>
      <c r="H4" s="1051" t="s">
        <v>10</v>
      </c>
      <c r="I4" s="769" t="s">
        <v>353</v>
      </c>
      <c r="J4" s="769" t="s">
        <v>266</v>
      </c>
      <c r="K4" s="770" t="s">
        <v>267</v>
      </c>
      <c r="L4" s="770"/>
      <c r="M4" s="769" t="s">
        <v>11</v>
      </c>
    </row>
    <row r="5" spans="1:26" ht="16" customHeight="1">
      <c r="A5" s="1052"/>
      <c r="B5" s="1052"/>
      <c r="C5" s="1052"/>
      <c r="D5" s="1052"/>
      <c r="E5" s="1052"/>
      <c r="F5" s="1052"/>
      <c r="G5" s="1052"/>
      <c r="H5" s="1052"/>
      <c r="I5" s="771" t="s">
        <v>123</v>
      </c>
      <c r="J5" s="771" t="s">
        <v>354</v>
      </c>
      <c r="K5" s="771" t="s">
        <v>9</v>
      </c>
      <c r="L5" s="771" t="s">
        <v>10</v>
      </c>
      <c r="M5" s="772" t="s">
        <v>268</v>
      </c>
    </row>
    <row r="6" spans="1:26" ht="18" customHeight="1">
      <c r="A6" s="691" t="s">
        <v>100</v>
      </c>
      <c r="B6" s="692">
        <v>7.1117354259506538</v>
      </c>
      <c r="C6" s="692">
        <v>5.6617201274754603</v>
      </c>
      <c r="D6" s="692">
        <v>7.3371273104837744</v>
      </c>
      <c r="E6" s="692">
        <v>5.9100678408924443</v>
      </c>
      <c r="F6" s="692">
        <v>4.8358450824020132</v>
      </c>
      <c r="G6" s="692">
        <v>4.7840641109549926</v>
      </c>
      <c r="H6" s="692">
        <v>3.86088675537352</v>
      </c>
      <c r="I6" s="692">
        <v>5.2360585756598015</v>
      </c>
      <c r="J6" s="692">
        <v>1.5387871674935578</v>
      </c>
      <c r="K6" s="692">
        <v>14.74780990183822</v>
      </c>
      <c r="L6" s="692">
        <v>6.6147688046628588</v>
      </c>
      <c r="M6" s="692">
        <v>6.885016857383178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 ht="16" customHeight="1">
      <c r="A7" s="67" t="s">
        <v>19</v>
      </c>
      <c r="B7" s="374">
        <v>6.6379227236516485</v>
      </c>
      <c r="C7" s="374">
        <v>5.7688140884564723</v>
      </c>
      <c r="D7" s="374">
        <v>6.3711751383922186</v>
      </c>
      <c r="E7" s="374">
        <v>6.0019768648657319</v>
      </c>
      <c r="F7" s="374">
        <v>4.5627400727747043</v>
      </c>
      <c r="G7" s="374">
        <v>0</v>
      </c>
      <c r="H7" s="374">
        <v>0</v>
      </c>
      <c r="I7" s="374">
        <v>5.2672431796310404</v>
      </c>
      <c r="J7" s="374">
        <v>2.1308484931300526</v>
      </c>
      <c r="K7" s="374">
        <v>0</v>
      </c>
      <c r="L7" s="374">
        <v>0</v>
      </c>
      <c r="M7" s="374">
        <v>0</v>
      </c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 ht="16" customHeight="1">
      <c r="A8" s="67" t="s">
        <v>20</v>
      </c>
      <c r="B8" s="374">
        <v>7.1348148921429697</v>
      </c>
      <c r="C8" s="374">
        <v>5.9950137952663098</v>
      </c>
      <c r="D8" s="374">
        <v>6.851019314678588</v>
      </c>
      <c r="E8" s="374">
        <v>6.0266436287086158</v>
      </c>
      <c r="F8" s="374">
        <v>4.8688816568798199</v>
      </c>
      <c r="G8" s="374">
        <v>0</v>
      </c>
      <c r="H8" s="374">
        <v>0</v>
      </c>
      <c r="I8" s="374">
        <v>5.2951701310662909</v>
      </c>
      <c r="J8" s="374">
        <v>1.9194638226959297</v>
      </c>
      <c r="K8" s="374">
        <v>0</v>
      </c>
      <c r="L8" s="374">
        <v>0</v>
      </c>
      <c r="M8" s="374">
        <v>7.0327603266329302</v>
      </c>
      <c r="N8" s="101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ht="16" customHeight="1">
      <c r="A9" s="67" t="s">
        <v>21</v>
      </c>
      <c r="B9" s="374">
        <v>7.1341410963599001</v>
      </c>
      <c r="C9" s="374">
        <v>6.0157758366792358</v>
      </c>
      <c r="D9" s="374">
        <v>6.6608167849064888</v>
      </c>
      <c r="E9" s="374">
        <v>6.116820233144602</v>
      </c>
      <c r="F9" s="374">
        <v>4.7833437542343002</v>
      </c>
      <c r="G9" s="374">
        <v>0</v>
      </c>
      <c r="H9" s="374">
        <v>0</v>
      </c>
      <c r="I9" s="374">
        <v>5.3116844160221559</v>
      </c>
      <c r="J9" s="374">
        <v>1.4768606809438587</v>
      </c>
      <c r="K9" s="374">
        <v>0</v>
      </c>
      <c r="L9" s="374">
        <v>0</v>
      </c>
      <c r="M9" s="374">
        <v>0</v>
      </c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ht="16" customHeight="1">
      <c r="A10" s="67" t="s">
        <v>22</v>
      </c>
      <c r="B10" s="374">
        <v>7.1590979175680038</v>
      </c>
      <c r="C10" s="374">
        <v>6.0072723877495067</v>
      </c>
      <c r="D10" s="374">
        <v>7.4530599463956797</v>
      </c>
      <c r="E10" s="374">
        <v>6.510363271617928</v>
      </c>
      <c r="F10" s="374">
        <v>5.6726034225577724</v>
      </c>
      <c r="G10" s="374">
        <v>4.4873171611436042</v>
      </c>
      <c r="H10" s="374">
        <v>0</v>
      </c>
      <c r="I10" s="374">
        <v>5.3629262871566352</v>
      </c>
      <c r="J10" s="374">
        <v>1.551336147326676</v>
      </c>
      <c r="K10" s="374">
        <v>14.589805051013231</v>
      </c>
      <c r="L10" s="374">
        <v>0</v>
      </c>
      <c r="M10" s="374">
        <v>7.0082647830220699</v>
      </c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 ht="16" customHeight="1">
      <c r="A11" s="67" t="s">
        <v>23</v>
      </c>
      <c r="B11" s="374">
        <v>6.9798144689968815</v>
      </c>
      <c r="C11" s="374">
        <v>4.8719215722068521</v>
      </c>
      <c r="D11" s="374">
        <v>6.4680892434461255</v>
      </c>
      <c r="E11" s="374">
        <v>6.2180294793101787</v>
      </c>
      <c r="F11" s="374">
        <v>4.3608967785585779</v>
      </c>
      <c r="G11" s="374">
        <v>0</v>
      </c>
      <c r="H11" s="374">
        <v>0</v>
      </c>
      <c r="I11" s="374">
        <v>5.0943096694753143</v>
      </c>
      <c r="J11" s="374">
        <v>1.3992200167153177</v>
      </c>
      <c r="K11" s="374">
        <v>0</v>
      </c>
      <c r="L11" s="374">
        <v>0</v>
      </c>
      <c r="M11" s="374">
        <v>6.8414181324385206</v>
      </c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 ht="16" customHeight="1">
      <c r="A12" s="67" t="s">
        <v>94</v>
      </c>
      <c r="B12" s="374">
        <v>6.9692620058180657</v>
      </c>
      <c r="C12" s="374">
        <v>4.9527999249730179</v>
      </c>
      <c r="D12" s="374">
        <v>6.7522785389784001</v>
      </c>
      <c r="E12" s="374">
        <v>6.2108186851558438</v>
      </c>
      <c r="F12" s="374">
        <v>4.3756071617268848</v>
      </c>
      <c r="G12" s="374">
        <v>0</v>
      </c>
      <c r="H12" s="374">
        <v>0</v>
      </c>
      <c r="I12" s="374">
        <v>5.0880775542368797</v>
      </c>
      <c r="J12" s="374">
        <v>1.4158145862746192</v>
      </c>
      <c r="K12" s="374">
        <v>0</v>
      </c>
      <c r="L12" s="374">
        <v>0</v>
      </c>
      <c r="M12" s="374">
        <v>6.868588560086744</v>
      </c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 ht="16" customHeight="1">
      <c r="A13" s="67" t="s">
        <v>95</v>
      </c>
      <c r="B13" s="374">
        <v>6.8809464426238103</v>
      </c>
      <c r="C13" s="374">
        <v>4.6948660322975231</v>
      </c>
      <c r="D13" s="374">
        <v>5.7027319255236755</v>
      </c>
      <c r="E13" s="374">
        <v>6.1981870163631658</v>
      </c>
      <c r="F13" s="374">
        <v>4.198688621607646</v>
      </c>
      <c r="G13" s="374">
        <v>0</v>
      </c>
      <c r="H13" s="374">
        <v>0</v>
      </c>
      <c r="I13" s="374">
        <v>5.048144229419373</v>
      </c>
      <c r="J13" s="374">
        <v>1.3635502537738313</v>
      </c>
      <c r="K13" s="374">
        <v>0</v>
      </c>
      <c r="L13" s="374">
        <v>0</v>
      </c>
      <c r="M13" s="374">
        <v>6.7154604982272543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ht="16" customHeight="1">
      <c r="A14" s="67" t="s">
        <v>124</v>
      </c>
      <c r="B14" s="374">
        <v>7.0971261001549273</v>
      </c>
      <c r="C14" s="374">
        <v>4.7082344842173383</v>
      </c>
      <c r="D14" s="374">
        <v>6.9032992620546541</v>
      </c>
      <c r="E14" s="374">
        <v>6.2645112913762793</v>
      </c>
      <c r="F14" s="374">
        <v>4.3679886407576394</v>
      </c>
      <c r="G14" s="374">
        <v>0</v>
      </c>
      <c r="H14" s="374">
        <v>0</v>
      </c>
      <c r="I14" s="374">
        <v>5.1833094913686786</v>
      </c>
      <c r="J14" s="374">
        <v>1.5159983128487011</v>
      </c>
      <c r="K14" s="374">
        <v>0</v>
      </c>
      <c r="L14" s="374">
        <v>0</v>
      </c>
      <c r="M14" s="374">
        <v>0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ht="16" customHeight="1">
      <c r="A15" s="67" t="s">
        <v>27</v>
      </c>
      <c r="B15" s="374">
        <v>7.1195145601672563</v>
      </c>
      <c r="C15" s="374">
        <v>5.4966024818743904</v>
      </c>
      <c r="D15" s="374">
        <v>6.7877942712142882</v>
      </c>
      <c r="E15" s="374">
        <v>5.7689293170306151</v>
      </c>
      <c r="F15" s="374">
        <v>4.5678253621639717</v>
      </c>
      <c r="G15" s="374">
        <v>0</v>
      </c>
      <c r="H15" s="374">
        <v>0</v>
      </c>
      <c r="I15" s="374">
        <v>5.2089324941258068</v>
      </c>
      <c r="J15" s="374">
        <v>1.4663378758645889</v>
      </c>
      <c r="K15" s="374">
        <v>0</v>
      </c>
      <c r="L15" s="374">
        <v>0</v>
      </c>
      <c r="M15" s="374">
        <v>7.1300231051071483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ht="16" customHeight="1">
      <c r="A16" s="67" t="s">
        <v>28</v>
      </c>
      <c r="B16" s="374">
        <v>7.0458743047697086</v>
      </c>
      <c r="C16" s="374">
        <v>4.9087425859569498</v>
      </c>
      <c r="D16" s="374">
        <v>7.2658019973709598</v>
      </c>
      <c r="E16" s="374">
        <v>5.568096548015574</v>
      </c>
      <c r="F16" s="374">
        <v>4.4552672706074103</v>
      </c>
      <c r="G16" s="374">
        <v>4.0555754744451047</v>
      </c>
      <c r="H16" s="374">
        <v>0</v>
      </c>
      <c r="I16" s="374">
        <v>5.0485597564948881</v>
      </c>
      <c r="J16" s="374">
        <v>1.4365355752817557</v>
      </c>
      <c r="K16" s="374">
        <v>0</v>
      </c>
      <c r="L16" s="374">
        <v>0</v>
      </c>
      <c r="M16" s="374">
        <v>7.1011101310319056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16" customHeight="1">
      <c r="A17" s="67" t="s">
        <v>29</v>
      </c>
      <c r="B17" s="374">
        <v>7.1466897839317429</v>
      </c>
      <c r="C17" s="374">
        <v>6.171741079987271</v>
      </c>
      <c r="D17" s="374">
        <v>7.5699722539954806</v>
      </c>
      <c r="E17" s="374">
        <v>5.9442269629347502</v>
      </c>
      <c r="F17" s="374">
        <v>5.6530740242537769</v>
      </c>
      <c r="G17" s="374">
        <v>4.2550268705395951</v>
      </c>
      <c r="H17" s="374">
        <v>3.3646038105396423</v>
      </c>
      <c r="I17" s="374">
        <v>5.2444672950579836</v>
      </c>
      <c r="J17" s="374">
        <v>1.6208061798559088</v>
      </c>
      <c r="K17" s="374">
        <v>14.927078010823294</v>
      </c>
      <c r="L17" s="374">
        <v>6.5049607913467877</v>
      </c>
      <c r="M17" s="374">
        <v>7.2467937700111085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16" customHeight="1">
      <c r="A18" s="67" t="s">
        <v>30</v>
      </c>
      <c r="B18" s="374">
        <v>6.848998701529645</v>
      </c>
      <c r="C18" s="374">
        <v>5.6393362879361764</v>
      </c>
      <c r="D18" s="374">
        <v>7.142655891693197</v>
      </c>
      <c r="E18" s="374">
        <v>5.7935902310052967</v>
      </c>
      <c r="F18" s="374">
        <v>5.2430336273016476</v>
      </c>
      <c r="G18" s="374">
        <v>0</v>
      </c>
      <c r="H18" s="374">
        <v>0</v>
      </c>
      <c r="I18" s="374">
        <v>5.1660133448679382</v>
      </c>
      <c r="J18" s="374">
        <v>1.6019163804842591</v>
      </c>
      <c r="K18" s="374">
        <v>0</v>
      </c>
      <c r="L18" s="374">
        <v>0</v>
      </c>
      <c r="M18" s="374">
        <v>0</v>
      </c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ht="16" customHeight="1">
      <c r="A19" s="67" t="s">
        <v>31</v>
      </c>
      <c r="B19" s="374">
        <v>6.7008868002245645</v>
      </c>
      <c r="C19" s="374">
        <v>5.550614461331925</v>
      </c>
      <c r="D19" s="374">
        <v>7.2278317042408613</v>
      </c>
      <c r="E19" s="374">
        <v>5.660824878747353</v>
      </c>
      <c r="F19" s="374">
        <v>4.8685212829626545</v>
      </c>
      <c r="G19" s="374">
        <v>4.377875919792265</v>
      </c>
      <c r="H19" s="374">
        <v>0</v>
      </c>
      <c r="I19" s="374">
        <v>5.1864894573267195</v>
      </c>
      <c r="J19" s="374">
        <v>1.6179864906200834</v>
      </c>
      <c r="K19" s="374">
        <v>13.881136274438582</v>
      </c>
      <c r="L19" s="374">
        <v>0</v>
      </c>
      <c r="M19" s="374">
        <v>6.8904120208133772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ht="16" customHeight="1">
      <c r="A20" s="67" t="s">
        <v>32</v>
      </c>
      <c r="B20" s="374">
        <v>6.5085468457160385</v>
      </c>
      <c r="C20" s="374">
        <v>5.4569823250168055</v>
      </c>
      <c r="D20" s="374">
        <v>6.6523368068971749</v>
      </c>
      <c r="E20" s="374">
        <v>5.5877106624004602</v>
      </c>
      <c r="F20" s="374">
        <v>4.0431615345867575</v>
      </c>
      <c r="G20" s="374">
        <v>4.3525505461351717</v>
      </c>
      <c r="H20" s="374">
        <v>3.4438690928430566</v>
      </c>
      <c r="I20" s="374">
        <v>5.1542644489467015</v>
      </c>
      <c r="J20" s="374">
        <v>1.5736716824772343</v>
      </c>
      <c r="K20" s="374">
        <v>13.858044182925585</v>
      </c>
      <c r="L20" s="374">
        <v>7.088992310433321</v>
      </c>
      <c r="M20" s="374">
        <v>7.1033414456566337</v>
      </c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16" customHeight="1">
      <c r="A21" s="67" t="s">
        <v>33</v>
      </c>
      <c r="B21" s="374">
        <v>7.0116222975818063</v>
      </c>
      <c r="C21" s="374">
        <v>5.8003505121465366</v>
      </c>
      <c r="D21" s="374">
        <v>7.2886437913544171</v>
      </c>
      <c r="E21" s="374">
        <v>6.4142551998509063</v>
      </c>
      <c r="F21" s="374">
        <v>4.7574046392700788</v>
      </c>
      <c r="G21" s="374">
        <v>4.6227735445353213</v>
      </c>
      <c r="H21" s="374">
        <v>3.4991603721001825</v>
      </c>
      <c r="I21" s="374">
        <v>5.3060480188005226</v>
      </c>
      <c r="J21" s="374">
        <v>1.6698745419298091</v>
      </c>
      <c r="K21" s="374">
        <v>14.017448616229075</v>
      </c>
      <c r="L21" s="374">
        <v>6.9889565290781936</v>
      </c>
      <c r="M21" s="374">
        <v>7.164360645940226</v>
      </c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ht="16" customHeight="1">
      <c r="A22" s="67" t="s">
        <v>34</v>
      </c>
      <c r="B22" s="374">
        <v>6.4138627092202318</v>
      </c>
      <c r="C22" s="374">
        <v>5.2593164800311536</v>
      </c>
      <c r="D22" s="374">
        <v>6.2432761427800516</v>
      </c>
      <c r="E22" s="374">
        <v>5.3060929073675007</v>
      </c>
      <c r="F22" s="374">
        <v>4.1237938083671626</v>
      </c>
      <c r="G22" s="374">
        <v>4.2382518305063677</v>
      </c>
      <c r="H22" s="374">
        <v>3.3271847368303482</v>
      </c>
      <c r="I22" s="374">
        <v>5.1433228826605006</v>
      </c>
      <c r="J22" s="374">
        <v>1.3782520429367284</v>
      </c>
      <c r="K22" s="374">
        <v>13.952456934254149</v>
      </c>
      <c r="L22" s="374">
        <v>6.9195439320127443</v>
      </c>
      <c r="M22" s="374">
        <v>7.1227805702325462</v>
      </c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16" customHeight="1">
      <c r="A23" s="67" t="s">
        <v>35</v>
      </c>
      <c r="B23" s="374">
        <v>7.0449857532653253</v>
      </c>
      <c r="C23" s="374">
        <v>5.6852182226539796</v>
      </c>
      <c r="D23" s="374">
        <v>6.6613743075279732</v>
      </c>
      <c r="E23" s="374">
        <v>6.0140429364587371</v>
      </c>
      <c r="F23" s="374">
        <v>4.7623052437908191</v>
      </c>
      <c r="G23" s="374">
        <v>4.7664832475776731</v>
      </c>
      <c r="H23" s="374">
        <v>3.6733242084887592</v>
      </c>
      <c r="I23" s="374">
        <v>5.2615895943674271</v>
      </c>
      <c r="J23" s="374">
        <v>1.489676275019981</v>
      </c>
      <c r="K23" s="374">
        <v>16.546990592539295</v>
      </c>
      <c r="L23" s="374">
        <v>7.24221638873997</v>
      </c>
      <c r="M23" s="374">
        <v>7.5150234276119878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16" customHeight="1">
      <c r="A24" s="67" t="s">
        <v>36</v>
      </c>
      <c r="B24" s="374">
        <v>6.5374500425065465</v>
      </c>
      <c r="C24" s="374">
        <v>5.304522633877264</v>
      </c>
      <c r="D24" s="374">
        <v>6.0978236737383114</v>
      </c>
      <c r="E24" s="374">
        <v>5.7826261040170497</v>
      </c>
      <c r="F24" s="374">
        <v>4.2432458406741125</v>
      </c>
      <c r="G24" s="374">
        <v>4.3637569146381523</v>
      </c>
      <c r="H24" s="374">
        <v>3.4361523158756615</v>
      </c>
      <c r="I24" s="374">
        <v>5.1900266977956884</v>
      </c>
      <c r="J24" s="374">
        <v>1.4439042865520777</v>
      </c>
      <c r="K24" s="374">
        <v>14.854424691237218</v>
      </c>
      <c r="L24" s="374">
        <v>6.7337346585946793</v>
      </c>
      <c r="M24" s="374">
        <v>7.5866539462802907</v>
      </c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ht="16" customHeight="1">
      <c r="A25" s="67" t="s">
        <v>37</v>
      </c>
      <c r="B25" s="374">
        <v>6.6342596373491141</v>
      </c>
      <c r="C25" s="374">
        <v>5.4121183945444962</v>
      </c>
      <c r="D25" s="374">
        <v>6.815294355570054</v>
      </c>
      <c r="E25" s="374">
        <v>5.9655041934300606</v>
      </c>
      <c r="F25" s="374">
        <v>4.6182917081941097</v>
      </c>
      <c r="G25" s="374">
        <v>4.9060158510541267</v>
      </c>
      <c r="H25" s="374">
        <v>3.7880631762193446</v>
      </c>
      <c r="I25" s="374">
        <v>5.2620160829969924</v>
      </c>
      <c r="J25" s="374">
        <v>1.4660713768992935</v>
      </c>
      <c r="K25" s="374">
        <v>14.891914024817554</v>
      </c>
      <c r="L25" s="374">
        <v>0</v>
      </c>
      <c r="M25" s="374">
        <v>0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ht="16" customHeight="1">
      <c r="A26" s="67" t="s">
        <v>38</v>
      </c>
      <c r="B26" s="374">
        <v>6.6140411057804878</v>
      </c>
      <c r="C26" s="374">
        <v>5.4694607401672606</v>
      </c>
      <c r="D26" s="374">
        <v>6.5150081487421829</v>
      </c>
      <c r="E26" s="374">
        <v>5.4703404246649479</v>
      </c>
      <c r="F26" s="374">
        <v>4.1131624841087797</v>
      </c>
      <c r="G26" s="374">
        <v>4.036947040987048</v>
      </c>
      <c r="H26" s="374">
        <v>3.7163977480591512</v>
      </c>
      <c r="I26" s="374">
        <v>5.1964093405723233</v>
      </c>
      <c r="J26" s="374">
        <v>1.6554696415781922</v>
      </c>
      <c r="K26" s="374">
        <v>13.149862559127479</v>
      </c>
      <c r="L26" s="374">
        <v>6.1822895340082864</v>
      </c>
      <c r="M26" s="374">
        <v>6.3182657547817778</v>
      </c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ht="16" customHeight="1">
      <c r="A27" s="67" t="s">
        <v>39</v>
      </c>
      <c r="B27" s="374">
        <v>6.6293998235900613</v>
      </c>
      <c r="C27" s="374">
        <v>4.9519177562198413</v>
      </c>
      <c r="D27" s="374">
        <v>5.458411416541213</v>
      </c>
      <c r="E27" s="374">
        <v>5.1654271746933214</v>
      </c>
      <c r="F27" s="374">
        <v>3.5519446140383479</v>
      </c>
      <c r="G27" s="374">
        <v>3.6375569212348804</v>
      </c>
      <c r="H27" s="374">
        <v>3.4766133168108806</v>
      </c>
      <c r="I27" s="374">
        <v>5.0436804258725179</v>
      </c>
      <c r="J27" s="374">
        <v>1.5024131392580042</v>
      </c>
      <c r="K27" s="374">
        <v>12.708539253127721</v>
      </c>
      <c r="L27" s="374">
        <v>5.8576693943210492</v>
      </c>
      <c r="M27" s="374">
        <v>6.2439735893283723</v>
      </c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16" customHeight="1">
      <c r="A28" s="67" t="s">
        <v>97</v>
      </c>
      <c r="B28" s="374">
        <v>6.6239910808428162</v>
      </c>
      <c r="C28" s="374">
        <v>4.955115184714959</v>
      </c>
      <c r="D28" s="374">
        <v>5.4481591829227813</v>
      </c>
      <c r="E28" s="374">
        <v>5.1670466197764782</v>
      </c>
      <c r="F28" s="374">
        <v>3.5648951847095653</v>
      </c>
      <c r="G28" s="374">
        <v>3.6371877033099627</v>
      </c>
      <c r="H28" s="374">
        <v>3.4722468571924767</v>
      </c>
      <c r="I28" s="374">
        <v>5.0331573263982996</v>
      </c>
      <c r="J28" s="374">
        <v>1.4967636895186942</v>
      </c>
      <c r="K28" s="374">
        <v>12.710707172693336</v>
      </c>
      <c r="L28" s="374">
        <v>5.8620710745478375</v>
      </c>
      <c r="M28" s="374">
        <v>6.2424951047383548</v>
      </c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 ht="16" customHeight="1">
      <c r="A29" s="67" t="s">
        <v>98</v>
      </c>
      <c r="B29" s="374">
        <v>6.6382951183417926</v>
      </c>
      <c r="C29" s="374">
        <v>4.9482293889066185</v>
      </c>
      <c r="D29" s="374">
        <v>5.4642317864055432</v>
      </c>
      <c r="E29" s="374">
        <v>5.1637790663907408</v>
      </c>
      <c r="F29" s="374">
        <v>3.5457211563916236</v>
      </c>
      <c r="G29" s="374">
        <v>3.6383487128070162</v>
      </c>
      <c r="H29" s="374">
        <v>3.4811708554659928</v>
      </c>
      <c r="I29" s="374">
        <v>5.0548700650890241</v>
      </c>
      <c r="J29" s="374">
        <v>1.5093165515588984</v>
      </c>
      <c r="K29" s="374">
        <v>12.700029361536542</v>
      </c>
      <c r="L29" s="374">
        <v>5.850752397351684</v>
      </c>
      <c r="M29" s="374">
        <v>6.2511369397029499</v>
      </c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 ht="16" customHeight="1">
      <c r="A30" s="67" t="s">
        <v>42</v>
      </c>
      <c r="B30" s="374">
        <v>6.9988834257871924</v>
      </c>
      <c r="C30" s="374">
        <v>5.6549289453759863</v>
      </c>
      <c r="D30" s="374">
        <v>7.6730829812759964</v>
      </c>
      <c r="E30" s="374">
        <v>6.2898024518869899</v>
      </c>
      <c r="F30" s="374">
        <v>4.9341609414066774</v>
      </c>
      <c r="G30" s="374">
        <v>4.8801466180755169</v>
      </c>
      <c r="H30" s="374">
        <v>4.0448894222409022</v>
      </c>
      <c r="I30" s="374">
        <v>5.1960129667315007</v>
      </c>
      <c r="J30" s="374">
        <v>1.5410573770142224</v>
      </c>
      <c r="K30" s="374">
        <v>14.876525450329771</v>
      </c>
      <c r="L30" s="374">
        <v>6.5398290473014988</v>
      </c>
      <c r="M30" s="374">
        <v>7.0214606028439857</v>
      </c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16" customHeight="1">
      <c r="A31" s="67" t="s">
        <v>43</v>
      </c>
      <c r="B31" s="374">
        <v>6.9483193784598001</v>
      </c>
      <c r="C31" s="374">
        <v>5.796486296807533</v>
      </c>
      <c r="D31" s="374">
        <v>7.5267098237252821</v>
      </c>
      <c r="E31" s="374">
        <v>5.8981087663152421</v>
      </c>
      <c r="F31" s="374">
        <v>0</v>
      </c>
      <c r="G31" s="374">
        <v>5.0378736285540375</v>
      </c>
      <c r="H31" s="374">
        <v>4.1298442359153507</v>
      </c>
      <c r="I31" s="374">
        <v>5.2505066125091711</v>
      </c>
      <c r="J31" s="374">
        <v>1.6089029830732933</v>
      </c>
      <c r="K31" s="374">
        <v>14.917734984206396</v>
      </c>
      <c r="L31" s="374">
        <v>6.5089043093014434</v>
      </c>
      <c r="M31" s="374">
        <v>6.6356113212929237</v>
      </c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 ht="16" customHeight="1">
      <c r="A32" s="67" t="s">
        <v>44</v>
      </c>
      <c r="B32" s="374">
        <v>7.0263326275668518</v>
      </c>
      <c r="C32" s="374">
        <v>5.3938329605462449</v>
      </c>
      <c r="D32" s="374">
        <v>7.0388436456732997</v>
      </c>
      <c r="E32" s="374">
        <v>6.0323699463578953</v>
      </c>
      <c r="F32" s="374">
        <v>0</v>
      </c>
      <c r="G32" s="374">
        <v>0</v>
      </c>
      <c r="H32" s="374">
        <v>0</v>
      </c>
      <c r="I32" s="374">
        <v>5.362116468646156</v>
      </c>
      <c r="J32" s="374">
        <v>1.5516612876820111</v>
      </c>
      <c r="K32" s="374">
        <v>0</v>
      </c>
      <c r="L32" s="374">
        <v>0</v>
      </c>
      <c r="M32" s="374">
        <v>0</v>
      </c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1:26" ht="16" customHeight="1">
      <c r="A33" s="67" t="s">
        <v>45</v>
      </c>
      <c r="B33" s="374">
        <v>7.237597514493733</v>
      </c>
      <c r="C33" s="374">
        <v>4.7244836174673077</v>
      </c>
      <c r="D33" s="374">
        <v>7.0334884500108572</v>
      </c>
      <c r="E33" s="374">
        <v>5.970319817540517</v>
      </c>
      <c r="F33" s="374">
        <v>4.7840385634859066</v>
      </c>
      <c r="G33" s="374">
        <v>0</v>
      </c>
      <c r="H33" s="374">
        <v>0</v>
      </c>
      <c r="I33" s="374">
        <v>5.441893115290104</v>
      </c>
      <c r="J33" s="374">
        <v>2.0678831359896614</v>
      </c>
      <c r="K33" s="374">
        <v>0</v>
      </c>
      <c r="L33" s="374">
        <v>0</v>
      </c>
      <c r="M33" s="374">
        <v>0</v>
      </c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spans="1:26" ht="16" customHeight="1">
      <c r="A34" s="67" t="s">
        <v>46</v>
      </c>
      <c r="B34" s="374">
        <v>7.1198274749443895</v>
      </c>
      <c r="C34" s="374">
        <v>4.9324510883025567</v>
      </c>
      <c r="D34" s="374">
        <v>7.0528154995421755</v>
      </c>
      <c r="E34" s="374">
        <v>5.815017875819148</v>
      </c>
      <c r="F34" s="374">
        <v>0</v>
      </c>
      <c r="G34" s="374">
        <v>0</v>
      </c>
      <c r="H34" s="374">
        <v>0</v>
      </c>
      <c r="I34" s="374">
        <v>5.2877972336287158</v>
      </c>
      <c r="J34" s="374">
        <v>1.7329157077335493</v>
      </c>
      <c r="K34" s="374">
        <v>0</v>
      </c>
      <c r="L34" s="374">
        <v>0</v>
      </c>
      <c r="M34" s="374">
        <v>0</v>
      </c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 ht="16" customHeight="1" thickBot="1">
      <c r="A35" s="113" t="s">
        <v>47</v>
      </c>
      <c r="B35" s="375">
        <v>7.1095728893199031</v>
      </c>
      <c r="C35" s="375">
        <v>5.1244321773911699</v>
      </c>
      <c r="D35" s="375">
        <v>6.7448882232925111</v>
      </c>
      <c r="E35" s="375">
        <v>5.8117343588373558</v>
      </c>
      <c r="F35" s="375">
        <v>0</v>
      </c>
      <c r="G35" s="375">
        <v>0</v>
      </c>
      <c r="H35" s="375">
        <v>0</v>
      </c>
      <c r="I35" s="375">
        <v>5.3009934858768739</v>
      </c>
      <c r="J35" s="375">
        <v>1.7342613554415676</v>
      </c>
      <c r="K35" s="375">
        <v>0</v>
      </c>
      <c r="L35" s="375">
        <v>0</v>
      </c>
      <c r="M35" s="375">
        <v>0</v>
      </c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spans="1:26" ht="9" customHeight="1">
      <c r="A36" s="464" t="s">
        <v>318</v>
      </c>
      <c r="B36" s="519"/>
      <c r="C36" s="464" t="s">
        <v>319</v>
      </c>
      <c r="D36" s="519"/>
      <c r="E36" s="464"/>
      <c r="F36" s="519"/>
      <c r="G36" s="373"/>
      <c r="H36" s="173"/>
      <c r="I36" s="373"/>
      <c r="J36" s="173"/>
      <c r="K36" s="173"/>
      <c r="L36" s="373"/>
      <c r="M36" s="373"/>
      <c r="O36" s="112"/>
    </row>
    <row r="37" spans="1:26" ht="9" customHeight="1">
      <c r="A37" s="449" t="s">
        <v>330</v>
      </c>
      <c r="B37" s="519"/>
      <c r="C37" s="519"/>
      <c r="D37" s="519"/>
      <c r="E37" s="519"/>
      <c r="F37" s="519"/>
      <c r="G37" s="373"/>
      <c r="H37" s="373"/>
      <c r="I37" s="373"/>
      <c r="J37" s="373"/>
      <c r="K37" s="373"/>
      <c r="L37" s="373"/>
      <c r="M37" s="373"/>
    </row>
    <row r="38" spans="1:26" ht="9" customHeight="1">
      <c r="A38" s="449" t="s">
        <v>304</v>
      </c>
      <c r="B38" s="464"/>
      <c r="C38" s="464"/>
      <c r="D38" s="464"/>
      <c r="E38" s="464"/>
      <c r="F38" s="464"/>
      <c r="G38" s="173"/>
      <c r="H38" s="173"/>
      <c r="I38" s="173"/>
      <c r="J38" s="173"/>
      <c r="K38" s="173"/>
      <c r="L38" s="173"/>
      <c r="M38" s="173"/>
    </row>
    <row r="39" spans="1:26" ht="9" customHeight="1">
      <c r="A39" s="451" t="s">
        <v>303</v>
      </c>
      <c r="B39" s="464"/>
      <c r="C39" s="464"/>
      <c r="D39" s="464"/>
      <c r="E39" s="464"/>
      <c r="F39" s="464"/>
      <c r="G39" s="173"/>
      <c r="H39" s="173"/>
      <c r="I39" s="173"/>
      <c r="J39" s="173"/>
      <c r="K39" s="173"/>
      <c r="L39" s="173"/>
      <c r="M39" s="173"/>
    </row>
    <row r="40" spans="1:26" ht="13.25" customHeight="1">
      <c r="A40" s="22"/>
    </row>
    <row r="41" spans="1:26" ht="13.25" customHeight="1">
      <c r="A41" s="22"/>
    </row>
  </sheetData>
  <mergeCells count="8">
    <mergeCell ref="G4:G5"/>
    <mergeCell ref="H4:H5"/>
    <mergeCell ref="A4:A5"/>
    <mergeCell ref="B4:B5"/>
    <mergeCell ref="C4:C5"/>
    <mergeCell ref="D4:D5"/>
    <mergeCell ref="E4:E5"/>
    <mergeCell ref="F4:F5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Hoja102">
    <tabColor theme="9" tint="0.59999389629810485"/>
  </sheetPr>
  <dimension ref="A1:O39"/>
  <sheetViews>
    <sheetView showGridLines="0" zoomScaleNormal="100" workbookViewId="0">
      <selection activeCell="O7" sqref="O7"/>
    </sheetView>
  </sheetViews>
  <sheetFormatPr baseColWidth="10" defaultColWidth="7" defaultRowHeight="13.25" customHeight="1"/>
  <cols>
    <col min="1" max="1" width="14" style="67" customWidth="1"/>
    <col min="2" max="2" width="9" style="67" customWidth="1"/>
    <col min="3" max="14" width="9.19921875" style="67" customWidth="1"/>
    <col min="15" max="16384" width="7" style="67"/>
  </cols>
  <sheetData>
    <row r="1" spans="1:15" ht="17" customHeight="1">
      <c r="A1" s="380" t="s">
        <v>545</v>
      </c>
      <c r="B1" s="177"/>
      <c r="C1" s="101"/>
      <c r="D1" s="101"/>
      <c r="E1" s="101"/>
      <c r="F1" s="101"/>
      <c r="G1" s="104"/>
      <c r="H1" s="103"/>
      <c r="I1" s="101"/>
      <c r="J1" s="101"/>
      <c r="K1" s="101"/>
      <c r="L1" s="101"/>
      <c r="M1" s="101"/>
      <c r="N1" s="101"/>
    </row>
    <row r="2" spans="1:15" ht="13.25" customHeight="1">
      <c r="A2" s="368" t="s">
        <v>294</v>
      </c>
      <c r="B2" s="177"/>
      <c r="C2" s="101"/>
      <c r="D2" s="101"/>
      <c r="E2" s="101"/>
      <c r="F2" s="101"/>
      <c r="G2" s="104"/>
      <c r="H2" s="103"/>
      <c r="I2" s="101"/>
      <c r="J2" s="101"/>
      <c r="K2" s="101"/>
      <c r="L2" s="101"/>
      <c r="M2" s="101"/>
      <c r="N2" s="101"/>
    </row>
    <row r="3" spans="1:15" ht="6" customHeight="1" thickBot="1">
      <c r="A3" s="103"/>
      <c r="B3" s="101"/>
      <c r="C3" s="101"/>
      <c r="D3" s="101"/>
      <c r="E3" s="101"/>
      <c r="F3" s="101"/>
      <c r="G3" s="104"/>
      <c r="H3" s="103"/>
      <c r="I3" s="101"/>
      <c r="J3" s="101"/>
      <c r="K3" s="101"/>
      <c r="L3" s="101"/>
      <c r="M3" s="101"/>
      <c r="N3" s="101"/>
    </row>
    <row r="4" spans="1:15" ht="18" customHeight="1">
      <c r="A4" s="731" t="s">
        <v>16</v>
      </c>
      <c r="B4" s="731" t="s">
        <v>52</v>
      </c>
      <c r="C4" s="731" t="s">
        <v>53</v>
      </c>
      <c r="D4" s="731" t="s">
        <v>54</v>
      </c>
      <c r="E4" s="731" t="s">
        <v>55</v>
      </c>
      <c r="F4" s="731" t="s">
        <v>56</v>
      </c>
      <c r="G4" s="731" t="s">
        <v>57</v>
      </c>
      <c r="H4" s="731" t="s">
        <v>58</v>
      </c>
      <c r="I4" s="731" t="s">
        <v>59</v>
      </c>
      <c r="J4" s="731" t="s">
        <v>60</v>
      </c>
      <c r="K4" s="731" t="s">
        <v>61</v>
      </c>
      <c r="L4" s="731" t="s">
        <v>62</v>
      </c>
      <c r="M4" s="731" t="s">
        <v>63</v>
      </c>
      <c r="N4" s="731" t="s">
        <v>64</v>
      </c>
    </row>
    <row r="5" spans="1:15" ht="18" customHeight="1">
      <c r="A5" s="691" t="s">
        <v>100</v>
      </c>
      <c r="B5" s="909">
        <v>7.1117354259506538</v>
      </c>
      <c r="C5" s="692">
        <v>7.047264070171436</v>
      </c>
      <c r="D5" s="692">
        <v>7.0592965183132748</v>
      </c>
      <c r="E5" s="692">
        <v>7.0956672643347556</v>
      </c>
      <c r="F5" s="692">
        <v>7.0997900230146858</v>
      </c>
      <c r="G5" s="692">
        <v>7.1083450479095962</v>
      </c>
      <c r="H5" s="692">
        <v>7.1141890255911138</v>
      </c>
      <c r="I5" s="692">
        <v>7.1182203021774786</v>
      </c>
      <c r="J5" s="692">
        <v>7.1243556141221678</v>
      </c>
      <c r="K5" s="692">
        <v>7.1330947373584301</v>
      </c>
      <c r="L5" s="692">
        <v>7.1374936371016569</v>
      </c>
      <c r="M5" s="692">
        <v>7.1410089515604831</v>
      </c>
      <c r="N5" s="692">
        <v>7.1466931159245135</v>
      </c>
    </row>
    <row r="6" spans="1:15" ht="16" customHeight="1">
      <c r="A6" s="67" t="s">
        <v>19</v>
      </c>
      <c r="B6" s="910">
        <v>6.6379227236516485</v>
      </c>
      <c r="C6" s="374">
        <v>6.577</v>
      </c>
      <c r="D6" s="374">
        <v>6.589999999999999</v>
      </c>
      <c r="E6" s="374">
        <v>6.6020000000000003</v>
      </c>
      <c r="F6" s="374">
        <v>6.6119999999999992</v>
      </c>
      <c r="G6" s="374">
        <v>6.6248000000000005</v>
      </c>
      <c r="H6" s="374">
        <v>6.6351000000000013</v>
      </c>
      <c r="I6" s="374">
        <v>6.6454000000000004</v>
      </c>
      <c r="J6" s="374">
        <v>6.6479999999999997</v>
      </c>
      <c r="K6" s="374">
        <v>6.6509999999999998</v>
      </c>
      <c r="L6" s="374">
        <v>6.6529999999999996</v>
      </c>
      <c r="M6" s="374">
        <v>6.6549999999999994</v>
      </c>
      <c r="N6" s="374">
        <v>6.6580000000000004</v>
      </c>
      <c r="O6" s="101"/>
    </row>
    <row r="7" spans="1:15" ht="16" customHeight="1">
      <c r="A7" s="67" t="s">
        <v>20</v>
      </c>
      <c r="B7" s="910">
        <v>7.1348148921429697</v>
      </c>
      <c r="C7" s="374">
        <v>7.0715000000000021</v>
      </c>
      <c r="D7" s="374">
        <v>7.0949999999999998</v>
      </c>
      <c r="E7" s="374">
        <v>7.107000000000002</v>
      </c>
      <c r="F7" s="374">
        <v>7.1179999999999986</v>
      </c>
      <c r="G7" s="374">
        <v>7.125</v>
      </c>
      <c r="H7" s="374">
        <v>7.1319999999999997</v>
      </c>
      <c r="I7" s="374">
        <v>7.1436000000000002</v>
      </c>
      <c r="J7" s="374">
        <v>7.1540000000000008</v>
      </c>
      <c r="K7" s="374">
        <v>7.1630000000000003</v>
      </c>
      <c r="L7" s="374">
        <v>7.1649999999999983</v>
      </c>
      <c r="M7" s="374">
        <v>7.1680000000000001</v>
      </c>
      <c r="N7" s="374">
        <v>7.1710000000000003</v>
      </c>
    </row>
    <row r="8" spans="1:15" ht="16" customHeight="1">
      <c r="A8" s="67" t="s">
        <v>21</v>
      </c>
      <c r="B8" s="910">
        <v>7.1341410963599001</v>
      </c>
      <c r="C8" s="374">
        <v>7.0644999999999998</v>
      </c>
      <c r="D8" s="374">
        <v>7.0789999999999997</v>
      </c>
      <c r="E8" s="374">
        <v>7.1210000000000004</v>
      </c>
      <c r="F8" s="374">
        <v>7.1330000000000018</v>
      </c>
      <c r="G8" s="374">
        <v>7.1379999999999999</v>
      </c>
      <c r="H8" s="374">
        <v>7.141</v>
      </c>
      <c r="I8" s="374">
        <v>7.1450000000000005</v>
      </c>
      <c r="J8" s="374">
        <v>7.1489999999999982</v>
      </c>
      <c r="K8" s="374">
        <v>7.1580000000000004</v>
      </c>
      <c r="L8" s="374">
        <v>7.1620000000000008</v>
      </c>
      <c r="M8" s="374">
        <v>7.165</v>
      </c>
      <c r="N8" s="374">
        <v>7.1687999999999992</v>
      </c>
    </row>
    <row r="9" spans="1:15" ht="16" customHeight="1">
      <c r="A9" s="67" t="s">
        <v>22</v>
      </c>
      <c r="B9" s="910">
        <v>7.1590979175680038</v>
      </c>
      <c r="C9" s="374">
        <v>7.0839999999999996</v>
      </c>
      <c r="D9" s="374">
        <v>7.0960000000000001</v>
      </c>
      <c r="E9" s="374">
        <v>7.1280000000000001</v>
      </c>
      <c r="F9" s="374">
        <v>7.141</v>
      </c>
      <c r="G9" s="374">
        <v>7.1520000000000001</v>
      </c>
      <c r="H9" s="374">
        <v>7.1610000000000005</v>
      </c>
      <c r="I9" s="374">
        <v>7.1709999999999985</v>
      </c>
      <c r="J9" s="374">
        <v>7.181</v>
      </c>
      <c r="K9" s="374">
        <v>7.19</v>
      </c>
      <c r="L9" s="374">
        <v>7.1929999999999996</v>
      </c>
      <c r="M9" s="374">
        <v>7.1970000000000018</v>
      </c>
      <c r="N9" s="374">
        <v>7.2029999999999985</v>
      </c>
    </row>
    <row r="10" spans="1:15" ht="16" customHeight="1">
      <c r="A10" s="67" t="s">
        <v>23</v>
      </c>
      <c r="B10" s="910">
        <v>6.9798144689968815</v>
      </c>
      <c r="C10" s="374">
        <v>6.9358240002599389</v>
      </c>
      <c r="D10" s="374">
        <v>6.9460630718377523</v>
      </c>
      <c r="E10" s="374">
        <v>6.976085048355797</v>
      </c>
      <c r="F10" s="374">
        <v>6.9791619188861693</v>
      </c>
      <c r="G10" s="374">
        <v>6.9852928348434453</v>
      </c>
      <c r="H10" s="374">
        <v>6.9870671652556018</v>
      </c>
      <c r="I10" s="374">
        <v>6.9896574022259745</v>
      </c>
      <c r="J10" s="374">
        <v>6.9963506356199661</v>
      </c>
      <c r="K10" s="374">
        <v>6.9988393791087455</v>
      </c>
      <c r="L10" s="374">
        <v>6.9986144441472655</v>
      </c>
      <c r="M10" s="374">
        <v>7.0005286772994699</v>
      </c>
      <c r="N10" s="374">
        <v>6.9597717441460718</v>
      </c>
    </row>
    <row r="11" spans="1:15" ht="16" customHeight="1">
      <c r="A11" s="67" t="s">
        <v>94</v>
      </c>
      <c r="B11" s="910">
        <v>6.9692620058180657</v>
      </c>
      <c r="C11" s="374">
        <v>6.9296999999999995</v>
      </c>
      <c r="D11" s="374">
        <v>6.9409999999999998</v>
      </c>
      <c r="E11" s="374">
        <v>6.9710000000000001</v>
      </c>
      <c r="F11" s="374">
        <v>6.9740000000000002</v>
      </c>
      <c r="G11" s="374">
        <v>6.9780000000000006</v>
      </c>
      <c r="H11" s="374">
        <v>6.9800000000000022</v>
      </c>
      <c r="I11" s="374">
        <v>6.9830000000000005</v>
      </c>
      <c r="J11" s="374">
        <v>6.9860000000000007</v>
      </c>
      <c r="K11" s="374">
        <v>6.9889999999999981</v>
      </c>
      <c r="L11" s="374">
        <v>6.99</v>
      </c>
      <c r="M11" s="374">
        <v>6.99</v>
      </c>
      <c r="N11" s="374">
        <v>6.92</v>
      </c>
    </row>
    <row r="12" spans="1:15" ht="16" customHeight="1">
      <c r="A12" s="67" t="s">
        <v>95</v>
      </c>
      <c r="B12" s="910">
        <v>6.8809464426238103</v>
      </c>
      <c r="C12" s="374">
        <v>6.8320000000000016</v>
      </c>
      <c r="D12" s="374">
        <v>6.8440000000000003</v>
      </c>
      <c r="E12" s="374">
        <v>6.8740000000000006</v>
      </c>
      <c r="F12" s="374">
        <v>6.8820000000000006</v>
      </c>
      <c r="G12" s="374">
        <v>6.884999999999998</v>
      </c>
      <c r="H12" s="374">
        <v>6.8860000000000001</v>
      </c>
      <c r="I12" s="374">
        <v>6.8879999999999999</v>
      </c>
      <c r="J12" s="374">
        <v>6.89</v>
      </c>
      <c r="K12" s="374">
        <v>6.8920000000000003</v>
      </c>
      <c r="L12" s="374">
        <v>6.8939999999999984</v>
      </c>
      <c r="M12" s="374">
        <v>6.8960000000000017</v>
      </c>
      <c r="N12" s="374">
        <v>6.8989999999999982</v>
      </c>
    </row>
    <row r="13" spans="1:15" ht="16" customHeight="1">
      <c r="A13" s="67" t="s">
        <v>124</v>
      </c>
      <c r="B13" s="910">
        <v>7.0971261001549273</v>
      </c>
      <c r="C13" s="374">
        <v>7.0309999999999979</v>
      </c>
      <c r="D13" s="374">
        <v>7.0440000000000005</v>
      </c>
      <c r="E13" s="374">
        <v>7.077</v>
      </c>
      <c r="F13" s="374">
        <v>7.085</v>
      </c>
      <c r="G13" s="374">
        <v>7.0940000000000003</v>
      </c>
      <c r="H13" s="374">
        <v>7.101</v>
      </c>
      <c r="I13" s="374">
        <v>7.109</v>
      </c>
      <c r="J13" s="374">
        <v>7.117</v>
      </c>
      <c r="K13" s="374">
        <v>7.1200000000000019</v>
      </c>
      <c r="L13" s="374">
        <v>7.1210000000000004</v>
      </c>
      <c r="M13" s="374">
        <v>7.125</v>
      </c>
      <c r="N13" s="374">
        <v>7.1310000000000002</v>
      </c>
    </row>
    <row r="14" spans="1:15" ht="16" customHeight="1">
      <c r="A14" s="67" t="s">
        <v>27</v>
      </c>
      <c r="B14" s="910">
        <v>7.1195145601672563</v>
      </c>
      <c r="C14" s="374">
        <v>7.0555000000000003</v>
      </c>
      <c r="D14" s="374">
        <v>7.069</v>
      </c>
      <c r="E14" s="374">
        <v>7.101</v>
      </c>
      <c r="F14" s="374">
        <v>7.1110000000000007</v>
      </c>
      <c r="G14" s="374">
        <v>7.1210000000000004</v>
      </c>
      <c r="H14" s="374">
        <v>7.1240000000000006</v>
      </c>
      <c r="I14" s="374">
        <v>7.131000000000002</v>
      </c>
      <c r="J14" s="374">
        <v>7.1380000000000008</v>
      </c>
      <c r="K14" s="374">
        <v>7.14</v>
      </c>
      <c r="L14" s="374">
        <v>7.1419999999999986</v>
      </c>
      <c r="M14" s="374">
        <v>7.1419999999999986</v>
      </c>
      <c r="N14" s="374">
        <v>7.1420000000000003</v>
      </c>
    </row>
    <row r="15" spans="1:15" ht="16" customHeight="1">
      <c r="A15" s="67" t="s">
        <v>28</v>
      </c>
      <c r="B15" s="910">
        <v>7.0458743047697086</v>
      </c>
      <c r="C15" s="374">
        <v>6.9874999999999998</v>
      </c>
      <c r="D15" s="374">
        <v>7.0010000000000003</v>
      </c>
      <c r="E15" s="374">
        <v>7.0350000000000001</v>
      </c>
      <c r="F15" s="374">
        <v>7.0470000000000006</v>
      </c>
      <c r="G15" s="374">
        <v>7.0519999999999996</v>
      </c>
      <c r="H15" s="374">
        <v>7.0540000000000003</v>
      </c>
      <c r="I15" s="374">
        <v>7.0570000000000004</v>
      </c>
      <c r="J15" s="374">
        <v>7.0619999999999985</v>
      </c>
      <c r="K15" s="374">
        <v>7.0650000000000022</v>
      </c>
      <c r="L15" s="374">
        <v>7.0670000000000002</v>
      </c>
      <c r="M15" s="374">
        <v>7.0680000000000005</v>
      </c>
      <c r="N15" s="374">
        <v>7.07</v>
      </c>
    </row>
    <row r="16" spans="1:15" ht="16" customHeight="1">
      <c r="A16" s="67" t="s">
        <v>29</v>
      </c>
      <c r="B16" s="910">
        <v>7.1466897839317429</v>
      </c>
      <c r="C16" s="374">
        <v>7.0820000000000007</v>
      </c>
      <c r="D16" s="374">
        <v>7.0949999999999998</v>
      </c>
      <c r="E16" s="374">
        <v>7.1369999999999996</v>
      </c>
      <c r="F16" s="374">
        <v>7.1430000000000007</v>
      </c>
      <c r="G16" s="374">
        <v>7.1479999999999997</v>
      </c>
      <c r="H16" s="374">
        <v>7.15</v>
      </c>
      <c r="I16" s="374">
        <v>7.1529999999999978</v>
      </c>
      <c r="J16" s="374">
        <v>7.1559999999999997</v>
      </c>
      <c r="K16" s="374">
        <v>7.165</v>
      </c>
      <c r="L16" s="374">
        <v>7.166999999999998</v>
      </c>
      <c r="M16" s="374">
        <v>7.1710000000000003</v>
      </c>
      <c r="N16" s="374">
        <v>7.1760000000000002</v>
      </c>
    </row>
    <row r="17" spans="1:14" ht="16" customHeight="1">
      <c r="A17" s="67" t="s">
        <v>30</v>
      </c>
      <c r="B17" s="910">
        <v>6.848998701529645</v>
      </c>
      <c r="C17" s="374">
        <v>6.7777499999999993</v>
      </c>
      <c r="D17" s="374">
        <v>6.7920000000000016</v>
      </c>
      <c r="E17" s="374">
        <v>6.8340000000000005</v>
      </c>
      <c r="F17" s="374">
        <v>6.8459999999999992</v>
      </c>
      <c r="G17" s="374">
        <v>6.8530000000000015</v>
      </c>
      <c r="H17" s="374">
        <v>6.8549999999999978</v>
      </c>
      <c r="I17" s="374">
        <v>6.8590000000000018</v>
      </c>
      <c r="J17" s="374">
        <v>6.8629999999999995</v>
      </c>
      <c r="K17" s="374">
        <v>6.8680000000000003</v>
      </c>
      <c r="L17" s="374">
        <v>6.87</v>
      </c>
      <c r="M17" s="374">
        <v>6.8720000000000017</v>
      </c>
      <c r="N17" s="374">
        <v>6.8740000000000006</v>
      </c>
    </row>
    <row r="18" spans="1:14" ht="16" customHeight="1">
      <c r="A18" s="67" t="s">
        <v>31</v>
      </c>
      <c r="B18" s="910">
        <v>6.7008868002245645</v>
      </c>
      <c r="C18" s="374">
        <v>6.6224999999999996</v>
      </c>
      <c r="D18" s="374">
        <v>6.633</v>
      </c>
      <c r="E18" s="374">
        <v>6.665</v>
      </c>
      <c r="F18" s="374">
        <v>6.6740000000000022</v>
      </c>
      <c r="G18" s="374">
        <v>6.6879999999999997</v>
      </c>
      <c r="H18" s="374">
        <v>6.7009999999999996</v>
      </c>
      <c r="I18" s="374">
        <v>6.7140000000000004</v>
      </c>
      <c r="J18" s="374">
        <v>6.7270000000000003</v>
      </c>
      <c r="K18" s="374">
        <v>6.7309999999999999</v>
      </c>
      <c r="L18" s="374">
        <v>6.7329999999999997</v>
      </c>
      <c r="M18" s="374">
        <v>6.734</v>
      </c>
      <c r="N18" s="374">
        <v>6.7359999999999998</v>
      </c>
    </row>
    <row r="19" spans="1:14" ht="16" customHeight="1">
      <c r="A19" s="67" t="s">
        <v>32</v>
      </c>
      <c r="B19" s="910">
        <v>6.5085468457160385</v>
      </c>
      <c r="C19" s="374">
        <v>6.455000000000001</v>
      </c>
      <c r="D19" s="374">
        <v>6.4620000000000006</v>
      </c>
      <c r="E19" s="374">
        <v>6.492</v>
      </c>
      <c r="F19" s="374">
        <v>6.5010000000000012</v>
      </c>
      <c r="G19" s="374">
        <v>6.508</v>
      </c>
      <c r="H19" s="374">
        <v>6.51</v>
      </c>
      <c r="I19" s="374">
        <v>6.5129999999999999</v>
      </c>
      <c r="J19" s="374">
        <v>6.5170000000000012</v>
      </c>
      <c r="K19" s="374">
        <v>6.52</v>
      </c>
      <c r="L19" s="374">
        <v>6.520999999999999</v>
      </c>
      <c r="M19" s="374">
        <v>6.5220000000000002</v>
      </c>
      <c r="N19" s="374">
        <v>6.524</v>
      </c>
    </row>
    <row r="20" spans="1:14" ht="16" customHeight="1">
      <c r="A20" s="67" t="s">
        <v>33</v>
      </c>
      <c r="B20" s="910">
        <v>7.0116222975818063</v>
      </c>
      <c r="C20" s="374">
        <v>6.9460000000000006</v>
      </c>
      <c r="D20" s="374">
        <v>6.9559999999999995</v>
      </c>
      <c r="E20" s="374">
        <v>6.9870000000000001</v>
      </c>
      <c r="F20" s="374">
        <v>6.9970000000000017</v>
      </c>
      <c r="G20" s="374">
        <v>7.01</v>
      </c>
      <c r="H20" s="374">
        <v>7.0149999999999979</v>
      </c>
      <c r="I20" s="374">
        <v>7.024</v>
      </c>
      <c r="J20" s="374">
        <v>7.0329999999999995</v>
      </c>
      <c r="K20" s="374">
        <v>7.0359999999999996</v>
      </c>
      <c r="L20" s="374">
        <v>7.0379999999999985</v>
      </c>
      <c r="M20" s="374">
        <v>7.0409999999999995</v>
      </c>
      <c r="N20" s="374">
        <v>7.0440000000000005</v>
      </c>
    </row>
    <row r="21" spans="1:14" ht="16" customHeight="1">
      <c r="A21" s="67" t="s">
        <v>34</v>
      </c>
      <c r="B21" s="910">
        <v>6.4138627092202318</v>
      </c>
      <c r="C21" s="374">
        <v>6.3609999999999998</v>
      </c>
      <c r="D21" s="374">
        <v>6.3710000000000013</v>
      </c>
      <c r="E21" s="374">
        <v>6.4009999999999989</v>
      </c>
      <c r="F21" s="374">
        <v>6.4119999999999999</v>
      </c>
      <c r="G21" s="374">
        <v>6.4180000000000001</v>
      </c>
      <c r="H21" s="374">
        <v>6.42</v>
      </c>
      <c r="I21" s="374">
        <v>6.423</v>
      </c>
      <c r="J21" s="374">
        <v>6.4269999999999987</v>
      </c>
      <c r="K21" s="374">
        <v>6.43</v>
      </c>
      <c r="L21" s="374">
        <v>6.431</v>
      </c>
      <c r="M21" s="374">
        <v>6.4329999999999989</v>
      </c>
      <c r="N21" s="374">
        <v>6.4349999999999996</v>
      </c>
    </row>
    <row r="22" spans="1:14" ht="16" customHeight="1">
      <c r="A22" s="67" t="s">
        <v>35</v>
      </c>
      <c r="B22" s="910">
        <v>7.0449857532653253</v>
      </c>
      <c r="C22" s="374">
        <v>6.9817500000000008</v>
      </c>
      <c r="D22" s="374">
        <v>6.9949999999999983</v>
      </c>
      <c r="E22" s="374">
        <v>7.0340000000000007</v>
      </c>
      <c r="F22" s="374">
        <v>7.0420000000000007</v>
      </c>
      <c r="G22" s="374">
        <v>7.0469999999999997</v>
      </c>
      <c r="H22" s="374">
        <v>7.049999999999998</v>
      </c>
      <c r="I22" s="374">
        <v>7.0539999999999985</v>
      </c>
      <c r="J22" s="374">
        <v>7.0580000000000007</v>
      </c>
      <c r="K22" s="374">
        <v>7.0640000000000001</v>
      </c>
      <c r="L22" s="374">
        <v>7.0659999999999998</v>
      </c>
      <c r="M22" s="374">
        <v>7.069</v>
      </c>
      <c r="N22" s="374">
        <v>7.0739999999999998</v>
      </c>
    </row>
    <row r="23" spans="1:14" ht="16" customHeight="1">
      <c r="A23" s="67" t="s">
        <v>36</v>
      </c>
      <c r="B23" s="910">
        <v>6.5374500425065465</v>
      </c>
      <c r="C23" s="374">
        <v>6.4830000000000005</v>
      </c>
      <c r="D23" s="374">
        <v>6.4930000000000003</v>
      </c>
      <c r="E23" s="374">
        <v>6.524</v>
      </c>
      <c r="F23" s="374">
        <v>6.5329999999999986</v>
      </c>
      <c r="G23" s="374">
        <v>6.5389999999999997</v>
      </c>
      <c r="H23" s="374">
        <v>6.5410000000000013</v>
      </c>
      <c r="I23" s="374">
        <v>6.5450000000000008</v>
      </c>
      <c r="J23" s="374">
        <v>6.5490000000000013</v>
      </c>
      <c r="K23" s="374">
        <v>6.5519999999999987</v>
      </c>
      <c r="L23" s="374">
        <v>6.5539999999999985</v>
      </c>
      <c r="M23" s="374">
        <v>6.5549999999999997</v>
      </c>
      <c r="N23" s="374">
        <v>6.5570000000000013</v>
      </c>
    </row>
    <row r="24" spans="1:14" ht="16" customHeight="1">
      <c r="A24" s="67" t="s">
        <v>37</v>
      </c>
      <c r="B24" s="910">
        <v>6.6342596373491141</v>
      </c>
      <c r="C24" s="374">
        <v>6.5780000000000003</v>
      </c>
      <c r="D24" s="374">
        <v>6.5909999999999993</v>
      </c>
      <c r="E24" s="374">
        <v>6.6239999999999997</v>
      </c>
      <c r="F24" s="374">
        <v>6.6319999999999997</v>
      </c>
      <c r="G24" s="374">
        <v>6.6360000000000001</v>
      </c>
      <c r="H24" s="374">
        <v>6.6390000000000002</v>
      </c>
      <c r="I24" s="374">
        <v>6.6420000000000003</v>
      </c>
      <c r="J24" s="374">
        <v>6.6449999999999996</v>
      </c>
      <c r="K24" s="374">
        <v>6.6509999999999998</v>
      </c>
      <c r="L24" s="374">
        <v>6.6529999999999996</v>
      </c>
      <c r="M24" s="374">
        <v>6.6559999999999997</v>
      </c>
      <c r="N24" s="374">
        <v>6.6589999999999998</v>
      </c>
    </row>
    <row r="25" spans="1:14" ht="16" customHeight="1">
      <c r="A25" s="67" t="s">
        <v>38</v>
      </c>
      <c r="B25" s="910">
        <v>6.6140411057804878</v>
      </c>
      <c r="C25" s="374">
        <v>6.5620000000000003</v>
      </c>
      <c r="D25" s="374">
        <v>6.5730000000000013</v>
      </c>
      <c r="E25" s="374">
        <v>6.602999999999998</v>
      </c>
      <c r="F25" s="374">
        <v>6.6130000000000013</v>
      </c>
      <c r="G25" s="374">
        <v>6.6169999999999991</v>
      </c>
      <c r="H25" s="374">
        <v>6.6189999999999998</v>
      </c>
      <c r="I25" s="374">
        <v>6.621999999999999</v>
      </c>
      <c r="J25" s="374">
        <v>6.625</v>
      </c>
      <c r="K25" s="374">
        <v>6.6279999999999992</v>
      </c>
      <c r="L25" s="374">
        <v>6.6289999999999996</v>
      </c>
      <c r="M25" s="374">
        <v>6.6319999999999997</v>
      </c>
      <c r="N25" s="374">
        <v>6.6349999999999998</v>
      </c>
    </row>
    <row r="26" spans="1:14" ht="16" customHeight="1">
      <c r="A26" s="67" t="s">
        <v>39</v>
      </c>
      <c r="B26" s="910">
        <v>6.6293998235900613</v>
      </c>
      <c r="C26" s="374">
        <v>6.5816622704605052</v>
      </c>
      <c r="D26" s="374">
        <v>6.5886162160733521</v>
      </c>
      <c r="E26" s="374">
        <v>6.6184883446210909</v>
      </c>
      <c r="F26" s="374">
        <v>6.6265266220413883</v>
      </c>
      <c r="G26" s="374">
        <v>6.6315089100618465</v>
      </c>
      <c r="H26" s="374">
        <v>6.6332216894703473</v>
      </c>
      <c r="I26" s="374">
        <v>6.6372337170211368</v>
      </c>
      <c r="J26" s="374">
        <v>6.6399493275686208</v>
      </c>
      <c r="K26" s="374">
        <v>6.6433568777312528</v>
      </c>
      <c r="L26" s="374">
        <v>6.6442454277389675</v>
      </c>
      <c r="M26" s="374">
        <v>6.6447779564978982</v>
      </c>
      <c r="N26" s="374">
        <v>6.6592384679851646</v>
      </c>
    </row>
    <row r="27" spans="1:14" ht="16" customHeight="1">
      <c r="A27" s="67" t="s">
        <v>97</v>
      </c>
      <c r="B27" s="910">
        <v>6.6239910808428162</v>
      </c>
      <c r="C27" s="374">
        <v>6.5779999999999994</v>
      </c>
      <c r="D27" s="374">
        <v>6.5819999999999999</v>
      </c>
      <c r="E27" s="374">
        <v>6.6120000000000001</v>
      </c>
      <c r="F27" s="374">
        <v>6.6209999999999996</v>
      </c>
      <c r="G27" s="374">
        <v>6.625</v>
      </c>
      <c r="H27" s="374">
        <v>6.6269999999999998</v>
      </c>
      <c r="I27" s="374">
        <v>6.6310000000000002</v>
      </c>
      <c r="J27" s="374">
        <v>6.6339999999999995</v>
      </c>
      <c r="K27" s="374">
        <v>6.6369999999999978</v>
      </c>
      <c r="L27" s="374">
        <v>6.637999999999999</v>
      </c>
      <c r="M27" s="374">
        <v>6.6390000000000002</v>
      </c>
      <c r="N27" s="374">
        <v>6.66</v>
      </c>
    </row>
    <row r="28" spans="1:14" ht="16" customHeight="1">
      <c r="A28" s="67" t="s">
        <v>98</v>
      </c>
      <c r="B28" s="910">
        <v>6.6382951183417926</v>
      </c>
      <c r="C28" s="374">
        <v>6.5875000000000012</v>
      </c>
      <c r="D28" s="374">
        <v>6.6</v>
      </c>
      <c r="E28" s="374">
        <v>6.6310000000000002</v>
      </c>
      <c r="F28" s="374">
        <v>6.6349999999999998</v>
      </c>
      <c r="G28" s="374">
        <v>6.641</v>
      </c>
      <c r="H28" s="374">
        <v>6.642999999999998</v>
      </c>
      <c r="I28" s="374">
        <v>6.6470000000000002</v>
      </c>
      <c r="J28" s="374">
        <v>6.6509999999999998</v>
      </c>
      <c r="K28" s="374">
        <v>6.6529999999999996</v>
      </c>
      <c r="L28" s="374">
        <v>6.6549999999999976</v>
      </c>
      <c r="M28" s="374">
        <v>6.6549999999999994</v>
      </c>
      <c r="N28" s="374">
        <v>6.6580000000000004</v>
      </c>
    </row>
    <row r="29" spans="1:14" ht="16" customHeight="1">
      <c r="A29" s="67" t="s">
        <v>42</v>
      </c>
      <c r="B29" s="910">
        <v>6.9988834257871924</v>
      </c>
      <c r="C29" s="374">
        <v>6.9210000000000003</v>
      </c>
      <c r="D29" s="374">
        <v>6.9340000000000002</v>
      </c>
      <c r="E29" s="374">
        <v>6.9649999999999999</v>
      </c>
      <c r="F29" s="374">
        <v>6.9749999999999996</v>
      </c>
      <c r="G29" s="374">
        <v>6.9830000000000005</v>
      </c>
      <c r="H29" s="374">
        <v>6.9850000000000003</v>
      </c>
      <c r="I29" s="374">
        <v>6.990000000000002</v>
      </c>
      <c r="J29" s="374">
        <v>6.9950000000000001</v>
      </c>
      <c r="K29" s="374">
        <v>7.0399999999999983</v>
      </c>
      <c r="L29" s="374">
        <v>7.0430000000000001</v>
      </c>
      <c r="M29" s="374">
        <v>7.0469999999999997</v>
      </c>
      <c r="N29" s="374">
        <v>7.0519999999999996</v>
      </c>
    </row>
    <row r="30" spans="1:14" ht="16" customHeight="1">
      <c r="A30" s="67" t="s">
        <v>43</v>
      </c>
      <c r="B30" s="910">
        <v>6.9483193784598001</v>
      </c>
      <c r="C30" s="374">
        <v>6.9020000000000001</v>
      </c>
      <c r="D30" s="374">
        <v>6.9130000000000003</v>
      </c>
      <c r="E30" s="374">
        <v>6.9349999999999996</v>
      </c>
      <c r="F30" s="374">
        <v>6.9390000000000001</v>
      </c>
      <c r="G30" s="374">
        <v>6.9450000000000003</v>
      </c>
      <c r="H30" s="374">
        <v>6.95</v>
      </c>
      <c r="I30" s="374">
        <v>6.9550000000000001</v>
      </c>
      <c r="J30" s="374">
        <v>6.9600000000000017</v>
      </c>
      <c r="K30" s="374">
        <v>6.9629999999999983</v>
      </c>
      <c r="L30" s="374">
        <v>6.9640000000000004</v>
      </c>
      <c r="M30" s="374">
        <v>6.9670000000000005</v>
      </c>
      <c r="N30" s="374">
        <v>6.97</v>
      </c>
    </row>
    <row r="31" spans="1:14" ht="16" customHeight="1">
      <c r="A31" s="67" t="s">
        <v>44</v>
      </c>
      <c r="B31" s="910">
        <v>7.0263326275668518</v>
      </c>
      <c r="C31" s="374">
        <v>6.9692500000000006</v>
      </c>
      <c r="D31" s="374">
        <v>6.976</v>
      </c>
      <c r="E31" s="374">
        <v>7.0090000000000003</v>
      </c>
      <c r="F31" s="374">
        <v>7.0209999999999999</v>
      </c>
      <c r="G31" s="374">
        <v>7.0259999999999998</v>
      </c>
      <c r="H31" s="374">
        <v>7.0289999999999999</v>
      </c>
      <c r="I31" s="374">
        <v>7.0330000000000004</v>
      </c>
      <c r="J31" s="374">
        <v>7.0369999999999999</v>
      </c>
      <c r="K31" s="374">
        <v>7.0490000000000004</v>
      </c>
      <c r="L31" s="374">
        <v>7.0510000000000002</v>
      </c>
      <c r="M31" s="374">
        <v>7.0549999999999997</v>
      </c>
      <c r="N31" s="374">
        <v>7.0589999999999984</v>
      </c>
    </row>
    <row r="32" spans="1:14" ht="16" customHeight="1">
      <c r="A32" s="97" t="s">
        <v>45</v>
      </c>
      <c r="B32" s="910">
        <v>7.237597514493733</v>
      </c>
      <c r="C32" s="376">
        <v>7.1660000000000004</v>
      </c>
      <c r="D32" s="376">
        <v>7.1790000000000003</v>
      </c>
      <c r="E32" s="376">
        <v>7.22</v>
      </c>
      <c r="F32" s="376">
        <v>7.23</v>
      </c>
      <c r="G32" s="376">
        <v>7.2409999999999997</v>
      </c>
      <c r="H32" s="376">
        <v>7.2430000000000003</v>
      </c>
      <c r="I32" s="376">
        <v>7.2469999999999999</v>
      </c>
      <c r="J32" s="376">
        <v>7.2530000000000001</v>
      </c>
      <c r="K32" s="376">
        <v>7.2569999999999997</v>
      </c>
      <c r="L32" s="376">
        <v>7.2600000000000007</v>
      </c>
      <c r="M32" s="376">
        <v>7.2629999999999981</v>
      </c>
      <c r="N32" s="376">
        <v>7.2670000000000021</v>
      </c>
    </row>
    <row r="33" spans="1:14" ht="16" customHeight="1">
      <c r="A33" s="67" t="s">
        <v>46</v>
      </c>
      <c r="B33" s="910">
        <v>7.1198274749443895</v>
      </c>
      <c r="C33" s="376">
        <v>7.0453749999999991</v>
      </c>
      <c r="D33" s="376">
        <v>7.0590000000000002</v>
      </c>
      <c r="E33" s="376">
        <v>7.093</v>
      </c>
      <c r="F33" s="376">
        <v>7.11</v>
      </c>
      <c r="G33" s="376">
        <v>7.1210000000000004</v>
      </c>
      <c r="H33" s="376">
        <v>7.1230000000000002</v>
      </c>
      <c r="I33" s="376">
        <v>7.1260000000000021</v>
      </c>
      <c r="J33" s="376">
        <v>7.1310000000000002</v>
      </c>
      <c r="K33" s="376">
        <v>7.1340000000000003</v>
      </c>
      <c r="L33" s="376">
        <v>7.1360000000000001</v>
      </c>
      <c r="M33" s="376">
        <v>7.1400000000000006</v>
      </c>
      <c r="N33" s="376">
        <v>7.1450000000000005</v>
      </c>
    </row>
    <row r="34" spans="1:14" ht="16" customHeight="1" thickBot="1">
      <c r="A34" s="113" t="s">
        <v>47</v>
      </c>
      <c r="B34" s="911">
        <v>7.1095728893199031</v>
      </c>
      <c r="C34" s="375">
        <v>7.056</v>
      </c>
      <c r="D34" s="375">
        <v>7.0689999999999982</v>
      </c>
      <c r="E34" s="375">
        <v>7.0919999999999996</v>
      </c>
      <c r="F34" s="375">
        <v>7.101</v>
      </c>
      <c r="G34" s="375">
        <v>7.1079999999999997</v>
      </c>
      <c r="H34" s="375">
        <v>7.1120000000000001</v>
      </c>
      <c r="I34" s="375">
        <v>7.1150000000000002</v>
      </c>
      <c r="J34" s="375">
        <v>7.1219999999999999</v>
      </c>
      <c r="K34" s="375">
        <v>7.1269999999999998</v>
      </c>
      <c r="L34" s="375">
        <v>7.1289999999999996</v>
      </c>
      <c r="M34" s="375">
        <v>7.1340000000000003</v>
      </c>
      <c r="N34" s="375">
        <v>7.1400000000000006</v>
      </c>
    </row>
    <row r="35" spans="1:14" ht="9" customHeight="1">
      <c r="A35" s="449" t="s">
        <v>330</v>
      </c>
      <c r="B35" s="520"/>
      <c r="C35" s="521"/>
      <c r="D35" s="521"/>
      <c r="E35" s="379"/>
      <c r="F35" s="379"/>
      <c r="G35" s="379"/>
      <c r="H35" s="379"/>
      <c r="I35" s="379"/>
      <c r="J35" s="379"/>
      <c r="K35" s="379"/>
      <c r="L35" s="379"/>
      <c r="M35" s="379"/>
      <c r="N35" s="379"/>
    </row>
    <row r="36" spans="1:14" ht="9" customHeight="1">
      <c r="A36" s="449" t="s">
        <v>304</v>
      </c>
      <c r="B36" s="521"/>
      <c r="C36" s="521"/>
      <c r="D36" s="521"/>
      <c r="E36" s="379"/>
      <c r="F36" s="379"/>
      <c r="G36" s="379"/>
      <c r="H36" s="379"/>
      <c r="I36" s="379"/>
      <c r="J36" s="379"/>
      <c r="K36" s="379"/>
      <c r="L36" s="379"/>
      <c r="M36" s="379"/>
      <c r="N36" s="379"/>
    </row>
    <row r="37" spans="1:14" ht="9" customHeight="1">
      <c r="A37" s="451" t="s">
        <v>303</v>
      </c>
      <c r="B37" s="464"/>
      <c r="C37" s="464"/>
      <c r="D37" s="464"/>
      <c r="E37" s="173"/>
      <c r="F37" s="173"/>
      <c r="G37" s="173"/>
      <c r="H37" s="173"/>
      <c r="I37" s="173"/>
      <c r="J37" s="173"/>
      <c r="K37" s="173"/>
      <c r="L37" s="173"/>
      <c r="M37" s="173"/>
      <c r="N37" s="173"/>
    </row>
    <row r="38" spans="1:14" ht="13.25" customHeight="1">
      <c r="A38" s="522"/>
      <c r="B38" s="464"/>
      <c r="C38" s="464"/>
      <c r="D38" s="464"/>
    </row>
    <row r="39" spans="1:14" ht="13.25" customHeight="1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Hoja103">
    <tabColor theme="9" tint="0.59999389629810485"/>
  </sheetPr>
  <dimension ref="A1:AA39"/>
  <sheetViews>
    <sheetView showGridLines="0" zoomScaleNormal="100" workbookViewId="0">
      <selection activeCell="O7" sqref="O7"/>
    </sheetView>
  </sheetViews>
  <sheetFormatPr baseColWidth="10" defaultColWidth="7" defaultRowHeight="13.25" customHeight="1"/>
  <cols>
    <col min="1" max="1" width="14" style="67" customWidth="1"/>
    <col min="2" max="2" width="9" style="67" customWidth="1"/>
    <col min="3" max="14" width="9.19921875" style="67" customWidth="1"/>
    <col min="15" max="16384" width="7" style="67"/>
  </cols>
  <sheetData>
    <row r="1" spans="1:27" ht="17" customHeight="1">
      <c r="A1" s="380" t="s">
        <v>544</v>
      </c>
      <c r="B1" s="37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75"/>
      <c r="P1" s="75"/>
      <c r="Q1" s="75"/>
    </row>
    <row r="2" spans="1:27" ht="13.25" customHeight="1">
      <c r="A2" s="377" t="s">
        <v>294</v>
      </c>
      <c r="B2" s="226"/>
      <c r="C2" s="101"/>
      <c r="D2" s="101"/>
      <c r="E2" s="101"/>
      <c r="F2" s="101"/>
      <c r="G2" s="104"/>
      <c r="H2" s="103"/>
      <c r="I2" s="101"/>
      <c r="J2" s="101"/>
      <c r="K2" s="101"/>
      <c r="L2" s="101"/>
      <c r="M2" s="101"/>
      <c r="N2" s="101"/>
    </row>
    <row r="3" spans="1:27" ht="6" customHeight="1" thickBot="1">
      <c r="A3" s="103"/>
      <c r="B3" s="101"/>
      <c r="C3" s="101"/>
      <c r="D3" s="101"/>
      <c r="E3" s="101"/>
      <c r="F3" s="101"/>
      <c r="G3" s="104"/>
      <c r="H3" s="103"/>
      <c r="I3" s="101"/>
      <c r="J3" s="101"/>
      <c r="K3" s="101"/>
      <c r="L3" s="101"/>
      <c r="M3" s="101"/>
      <c r="N3" s="101"/>
    </row>
    <row r="4" spans="1:27" ht="18" customHeight="1">
      <c r="A4" s="732" t="s">
        <v>16</v>
      </c>
      <c r="B4" s="732" t="s">
        <v>52</v>
      </c>
      <c r="C4" s="732" t="s">
        <v>53</v>
      </c>
      <c r="D4" s="732" t="s">
        <v>54</v>
      </c>
      <c r="E4" s="732" t="s">
        <v>55</v>
      </c>
      <c r="F4" s="732" t="s">
        <v>56</v>
      </c>
      <c r="G4" s="732" t="s">
        <v>57</v>
      </c>
      <c r="H4" s="732" t="s">
        <v>58</v>
      </c>
      <c r="I4" s="732" t="s">
        <v>59</v>
      </c>
      <c r="J4" s="732" t="s">
        <v>60</v>
      </c>
      <c r="K4" s="732" t="s">
        <v>61</v>
      </c>
      <c r="L4" s="732" t="s">
        <v>62</v>
      </c>
      <c r="M4" s="732" t="s">
        <v>63</v>
      </c>
      <c r="N4" s="732" t="s">
        <v>64</v>
      </c>
    </row>
    <row r="5" spans="1:27" ht="18" customHeight="1">
      <c r="A5" s="693" t="s">
        <v>100</v>
      </c>
      <c r="B5" s="915">
        <v>5.6617201274754603</v>
      </c>
      <c r="C5" s="695">
        <v>5.6139834374496296</v>
      </c>
      <c r="D5" s="695">
        <v>5.6315969984990781</v>
      </c>
      <c r="E5" s="695">
        <v>5.6392052160117077</v>
      </c>
      <c r="F5" s="695">
        <v>5.6611118579730269</v>
      </c>
      <c r="G5" s="695">
        <v>5.6656117593980646</v>
      </c>
      <c r="H5" s="695">
        <v>5.6716040774045737</v>
      </c>
      <c r="I5" s="695">
        <v>5.6761354002956121</v>
      </c>
      <c r="J5" s="695">
        <v>5.683095875735205</v>
      </c>
      <c r="K5" s="695">
        <v>5.6766654869903093</v>
      </c>
      <c r="L5" s="695">
        <v>5.6703626179542619</v>
      </c>
      <c r="M5" s="695">
        <v>5.6678177422257559</v>
      </c>
      <c r="N5" s="695">
        <v>5.6711047480917678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</row>
    <row r="6" spans="1:27" ht="16" customHeight="1">
      <c r="A6" s="67" t="s">
        <v>19</v>
      </c>
      <c r="B6" s="913">
        <v>5.7688140884564723</v>
      </c>
      <c r="C6" s="374">
        <v>5.7404999999999999</v>
      </c>
      <c r="D6" s="374">
        <v>5.7519999999999998</v>
      </c>
      <c r="E6" s="374">
        <v>5.7569999999999997</v>
      </c>
      <c r="F6" s="374">
        <v>5.7639999999999993</v>
      </c>
      <c r="G6" s="374">
        <v>5.7679999999999998</v>
      </c>
      <c r="H6" s="374">
        <v>5.7710000000000008</v>
      </c>
      <c r="I6" s="374">
        <v>5.7744999999999997</v>
      </c>
      <c r="J6" s="374">
        <v>5.7780000000000005</v>
      </c>
      <c r="K6" s="374">
        <v>5.7799999999999994</v>
      </c>
      <c r="L6" s="374">
        <v>5.782</v>
      </c>
      <c r="M6" s="374">
        <v>5.782</v>
      </c>
      <c r="N6" s="374">
        <v>5.7839999999999998</v>
      </c>
      <c r="O6" s="101"/>
    </row>
    <row r="7" spans="1:27" ht="16" customHeight="1">
      <c r="A7" s="67" t="s">
        <v>20</v>
      </c>
      <c r="B7" s="913">
        <v>5.9950137952663098</v>
      </c>
      <c r="C7" s="374">
        <v>5.9609999999999994</v>
      </c>
      <c r="D7" s="374">
        <v>5.9729999999999999</v>
      </c>
      <c r="E7" s="374">
        <v>5.9789999999999992</v>
      </c>
      <c r="F7" s="374">
        <v>5.9860000000000007</v>
      </c>
      <c r="G7" s="374">
        <v>5.99</v>
      </c>
      <c r="H7" s="374">
        <v>5.9960000000000004</v>
      </c>
      <c r="I7" s="374">
        <v>6.0010000000000003</v>
      </c>
      <c r="J7" s="374">
        <v>6.006000000000002</v>
      </c>
      <c r="K7" s="374">
        <v>6.01</v>
      </c>
      <c r="L7" s="374">
        <v>6.012999999999999</v>
      </c>
      <c r="M7" s="374">
        <v>6.016</v>
      </c>
      <c r="N7" s="374">
        <v>6.0189999999999992</v>
      </c>
    </row>
    <row r="8" spans="1:27" ht="16" customHeight="1">
      <c r="A8" s="67" t="s">
        <v>21</v>
      </c>
      <c r="B8" s="913">
        <v>6.0157758366792358</v>
      </c>
      <c r="C8" s="374">
        <v>5.9720000000000004</v>
      </c>
      <c r="D8" s="374">
        <v>5.9820000000000002</v>
      </c>
      <c r="E8" s="374">
        <v>5.9969999999999999</v>
      </c>
      <c r="F8" s="374">
        <v>6.011000000000001</v>
      </c>
      <c r="G8" s="374">
        <v>6.0149999999999997</v>
      </c>
      <c r="H8" s="374">
        <v>6.02</v>
      </c>
      <c r="I8" s="374">
        <v>6.0244999999999997</v>
      </c>
      <c r="J8" s="374">
        <v>6.0289999999999999</v>
      </c>
      <c r="K8" s="374">
        <v>6.0350000000000001</v>
      </c>
      <c r="L8" s="374">
        <v>6.0380000000000003</v>
      </c>
      <c r="M8" s="374">
        <v>6.04</v>
      </c>
      <c r="N8" s="374">
        <v>6.0419999999999989</v>
      </c>
    </row>
    <row r="9" spans="1:27" ht="16" customHeight="1">
      <c r="A9" s="67" t="s">
        <v>22</v>
      </c>
      <c r="B9" s="913">
        <v>6.0072723877495067</v>
      </c>
      <c r="C9" s="374">
        <v>5.9759999999999991</v>
      </c>
      <c r="D9" s="374">
        <v>5.9909999999999997</v>
      </c>
      <c r="E9" s="374">
        <v>5.9949999999999992</v>
      </c>
      <c r="F9" s="374">
        <v>5.9970000000000008</v>
      </c>
      <c r="G9" s="374">
        <v>6.0019999999999989</v>
      </c>
      <c r="H9" s="374">
        <v>6.0060000000000002</v>
      </c>
      <c r="I9" s="374">
        <v>6.0105000000000004</v>
      </c>
      <c r="J9" s="374">
        <v>6.0150000000000006</v>
      </c>
      <c r="K9" s="374">
        <v>6.0190000000000001</v>
      </c>
      <c r="L9" s="374">
        <v>6.0220000000000011</v>
      </c>
      <c r="M9" s="374">
        <v>6.0250000000000012</v>
      </c>
      <c r="N9" s="374">
        <v>6.0279999999999996</v>
      </c>
    </row>
    <row r="10" spans="1:27" ht="16" customHeight="1">
      <c r="A10" s="67" t="s">
        <v>23</v>
      </c>
      <c r="B10" s="913">
        <v>4.8719215722068521</v>
      </c>
      <c r="C10" s="374">
        <v>4.8449196193568218</v>
      </c>
      <c r="D10" s="374">
        <v>4.8626265665413015</v>
      </c>
      <c r="E10" s="374">
        <v>4.8788914407852637</v>
      </c>
      <c r="F10" s="374">
        <v>4.8829320483513197</v>
      </c>
      <c r="G10" s="374">
        <v>4.8756509104336825</v>
      </c>
      <c r="H10" s="374">
        <v>4.8675982603735939</v>
      </c>
      <c r="I10" s="374">
        <v>4.8730804174841946</v>
      </c>
      <c r="J10" s="374">
        <v>4.874383671107374</v>
      </c>
      <c r="K10" s="374">
        <v>4.8763067113177145</v>
      </c>
      <c r="L10" s="374">
        <v>4.8771543497354273</v>
      </c>
      <c r="M10" s="374">
        <v>4.8751612791680552</v>
      </c>
      <c r="N10" s="374">
        <v>4.8775214237105331</v>
      </c>
    </row>
    <row r="11" spans="1:27" ht="16" customHeight="1">
      <c r="A11" s="67" t="s">
        <v>94</v>
      </c>
      <c r="B11" s="913">
        <v>4.9527999249730179</v>
      </c>
      <c r="C11" s="374">
        <v>4.9239999999999995</v>
      </c>
      <c r="D11" s="374">
        <v>4.9420000000000002</v>
      </c>
      <c r="E11" s="374">
        <v>4.9439999999999991</v>
      </c>
      <c r="F11" s="374">
        <v>4.9459999999999997</v>
      </c>
      <c r="G11" s="374">
        <v>4.95</v>
      </c>
      <c r="H11" s="374">
        <v>4.9530000000000003</v>
      </c>
      <c r="I11" s="374">
        <v>4.956500000000001</v>
      </c>
      <c r="J11" s="374">
        <v>4.9600000000000009</v>
      </c>
      <c r="K11" s="374">
        <v>4.9619999999999997</v>
      </c>
      <c r="L11" s="374">
        <v>4.963000000000001</v>
      </c>
      <c r="M11" s="374">
        <v>4.9660000000000011</v>
      </c>
      <c r="N11" s="374">
        <v>4.9690000000000012</v>
      </c>
    </row>
    <row r="12" spans="1:27" ht="16" customHeight="1">
      <c r="A12" s="67" t="s">
        <v>95</v>
      </c>
      <c r="B12" s="913">
        <v>4.6948660322975231</v>
      </c>
      <c r="C12" s="374">
        <v>4.6712500000000015</v>
      </c>
      <c r="D12" s="374">
        <v>4.681</v>
      </c>
      <c r="E12" s="374">
        <v>4.6840000000000002</v>
      </c>
      <c r="F12" s="374">
        <v>4.6879999999999988</v>
      </c>
      <c r="G12" s="374">
        <v>4.6920000000000002</v>
      </c>
      <c r="H12" s="374">
        <v>4.6959999999999997</v>
      </c>
      <c r="I12" s="374">
        <v>4.6999999999999993</v>
      </c>
      <c r="J12" s="374">
        <v>4.7039999999999997</v>
      </c>
      <c r="K12" s="374">
        <v>4.7069999999999999</v>
      </c>
      <c r="L12" s="374">
        <v>4.7010000000000005</v>
      </c>
      <c r="M12" s="374">
        <v>4.7010000000000005</v>
      </c>
      <c r="N12" s="374">
        <v>4.7030000000000003</v>
      </c>
    </row>
    <row r="13" spans="1:27" ht="16" customHeight="1">
      <c r="A13" s="67" t="s">
        <v>124</v>
      </c>
      <c r="B13" s="913">
        <v>4.7082344842173383</v>
      </c>
      <c r="C13" s="374">
        <v>4.6739999999999986</v>
      </c>
      <c r="D13" s="374">
        <v>4.6840000000000002</v>
      </c>
      <c r="E13" s="374">
        <v>4.6870000000000003</v>
      </c>
      <c r="F13" s="374">
        <v>4.7009999999999996</v>
      </c>
      <c r="G13" s="374">
        <v>4.7050000000000001</v>
      </c>
      <c r="H13" s="374">
        <v>4.71</v>
      </c>
      <c r="I13" s="374">
        <v>4.7145000000000001</v>
      </c>
      <c r="J13" s="374">
        <v>4.7190000000000003</v>
      </c>
      <c r="K13" s="374">
        <v>4.7230000000000016</v>
      </c>
      <c r="L13" s="374">
        <v>4.726</v>
      </c>
      <c r="M13" s="374">
        <v>4.7270000000000003</v>
      </c>
      <c r="N13" s="374">
        <v>4.7279999999999998</v>
      </c>
    </row>
    <row r="14" spans="1:27" ht="16" customHeight="1">
      <c r="A14" s="67" t="s">
        <v>27</v>
      </c>
      <c r="B14" s="913">
        <v>5.4966024818743904</v>
      </c>
      <c r="C14" s="374">
        <v>5.4669999999999996</v>
      </c>
      <c r="D14" s="374">
        <v>5.48</v>
      </c>
      <c r="E14" s="374">
        <v>5.4840000000000009</v>
      </c>
      <c r="F14" s="374">
        <v>5.4870000000000001</v>
      </c>
      <c r="G14" s="374">
        <v>5.4909999999999997</v>
      </c>
      <c r="H14" s="374">
        <v>5.4950000000000001</v>
      </c>
      <c r="I14" s="374">
        <v>5.4990000000000006</v>
      </c>
      <c r="J14" s="374">
        <v>5.5030000000000001</v>
      </c>
      <c r="K14" s="374">
        <v>5.5070000000000006</v>
      </c>
      <c r="L14" s="374">
        <v>5.5099999999999989</v>
      </c>
      <c r="M14" s="374">
        <v>5.51</v>
      </c>
      <c r="N14" s="374">
        <v>5.5099999999999989</v>
      </c>
    </row>
    <row r="15" spans="1:27" ht="16" customHeight="1">
      <c r="A15" s="67" t="s">
        <v>28</v>
      </c>
      <c r="B15" s="913">
        <v>4.9087425859569498</v>
      </c>
      <c r="C15" s="374">
        <v>4.8755000000000006</v>
      </c>
      <c r="D15" s="374">
        <v>4.891</v>
      </c>
      <c r="E15" s="374">
        <v>4.8970000000000011</v>
      </c>
      <c r="F15" s="374">
        <v>4.9029999999999996</v>
      </c>
      <c r="G15" s="374">
        <v>4.9059999999999997</v>
      </c>
      <c r="H15" s="374">
        <v>4.9110000000000005</v>
      </c>
      <c r="I15" s="374">
        <v>4.9149999999999983</v>
      </c>
      <c r="J15" s="374">
        <v>4.9189999999999996</v>
      </c>
      <c r="K15" s="374">
        <v>4.9219999999999997</v>
      </c>
      <c r="L15" s="374">
        <v>4.9210000000000003</v>
      </c>
      <c r="M15" s="374">
        <v>4.9200000000000008</v>
      </c>
      <c r="N15" s="374">
        <v>4.9190000000000005</v>
      </c>
    </row>
    <row r="16" spans="1:27" ht="16" customHeight="1">
      <c r="A16" s="67" t="s">
        <v>29</v>
      </c>
      <c r="B16" s="913">
        <v>6.171741079987271</v>
      </c>
      <c r="C16" s="374">
        <v>6.129999999999999</v>
      </c>
      <c r="D16" s="374">
        <v>6.1429999999999998</v>
      </c>
      <c r="E16" s="374">
        <v>6.1509999999999998</v>
      </c>
      <c r="F16" s="374">
        <v>6.16</v>
      </c>
      <c r="G16" s="374">
        <v>6.1640000000000006</v>
      </c>
      <c r="H16" s="374">
        <v>6.1709999999999994</v>
      </c>
      <c r="I16" s="374">
        <v>6.1765000000000008</v>
      </c>
      <c r="J16" s="374">
        <v>6.1820000000000022</v>
      </c>
      <c r="K16" s="374">
        <v>6.1870000000000012</v>
      </c>
      <c r="L16" s="374">
        <v>6.19</v>
      </c>
      <c r="M16" s="374">
        <v>6.1930000000000014</v>
      </c>
      <c r="N16" s="374">
        <v>6.1960000000000006</v>
      </c>
    </row>
    <row r="17" spans="1:14" ht="16" customHeight="1">
      <c r="A17" s="67" t="s">
        <v>30</v>
      </c>
      <c r="B17" s="913">
        <v>5.6393362879361764</v>
      </c>
      <c r="C17" s="374">
        <v>5.6059999999999999</v>
      </c>
      <c r="D17" s="374">
        <v>5.6130000000000004</v>
      </c>
      <c r="E17" s="374">
        <v>5.6189999999999998</v>
      </c>
      <c r="F17" s="374">
        <v>5.6254</v>
      </c>
      <c r="G17" s="374">
        <v>5.6302000000000003</v>
      </c>
      <c r="H17" s="374">
        <v>5.6360000000000001</v>
      </c>
      <c r="I17" s="374">
        <v>5.6412999999999993</v>
      </c>
      <c r="J17" s="374">
        <v>5.6465999999999994</v>
      </c>
      <c r="K17" s="374">
        <v>5.6509999999999998</v>
      </c>
      <c r="L17" s="374">
        <v>5.6539999999999999</v>
      </c>
      <c r="M17" s="374">
        <v>5.657</v>
      </c>
      <c r="N17" s="374">
        <v>5.66</v>
      </c>
    </row>
    <row r="18" spans="1:14" ht="16" customHeight="1">
      <c r="A18" s="67" t="s">
        <v>31</v>
      </c>
      <c r="B18" s="913">
        <v>5.550614461331925</v>
      </c>
      <c r="C18" s="374">
        <v>5.5259999999999998</v>
      </c>
      <c r="D18" s="374">
        <v>5.5329999999999995</v>
      </c>
      <c r="E18" s="374">
        <v>5.5369999999999999</v>
      </c>
      <c r="F18" s="374">
        <v>5.5430000000000001</v>
      </c>
      <c r="G18" s="374">
        <v>5.5460000000000003</v>
      </c>
      <c r="H18" s="374">
        <v>5.551000000000001</v>
      </c>
      <c r="I18" s="374">
        <v>5.5549999999999997</v>
      </c>
      <c r="J18" s="374">
        <v>5.5590000000000002</v>
      </c>
      <c r="K18" s="374">
        <v>5.5620000000000003</v>
      </c>
      <c r="L18" s="374">
        <v>5.5640000000000001</v>
      </c>
      <c r="M18" s="374">
        <v>5.5650000000000004</v>
      </c>
      <c r="N18" s="374">
        <v>5.5659999999999998</v>
      </c>
    </row>
    <row r="19" spans="1:14" ht="16" customHeight="1">
      <c r="A19" s="67" t="s">
        <v>32</v>
      </c>
      <c r="B19" s="913">
        <v>5.4569823250168055</v>
      </c>
      <c r="C19" s="374">
        <v>5.43</v>
      </c>
      <c r="D19" s="374">
        <v>5.4429999999999987</v>
      </c>
      <c r="E19" s="374">
        <v>5.4450000000000003</v>
      </c>
      <c r="F19" s="374">
        <v>5.448999999999999</v>
      </c>
      <c r="G19" s="374">
        <v>5.4520000000000008</v>
      </c>
      <c r="H19" s="374">
        <v>5.4560000000000004</v>
      </c>
      <c r="I19" s="374">
        <v>5.4595000000000002</v>
      </c>
      <c r="J19" s="374">
        <v>5.463000000000001</v>
      </c>
      <c r="K19" s="374">
        <v>5.4669999999999996</v>
      </c>
      <c r="L19" s="374">
        <v>5.468</v>
      </c>
      <c r="M19" s="374">
        <v>5.468</v>
      </c>
      <c r="N19" s="374">
        <v>5.468</v>
      </c>
    </row>
    <row r="20" spans="1:14" ht="16" customHeight="1">
      <c r="A20" s="67" t="s">
        <v>33</v>
      </c>
      <c r="B20" s="913">
        <v>5.8003505121465366</v>
      </c>
      <c r="C20" s="374">
        <v>5.7619999999999996</v>
      </c>
      <c r="D20" s="374">
        <v>5.7809999999999997</v>
      </c>
      <c r="E20" s="374">
        <v>5.785000000000001</v>
      </c>
      <c r="F20" s="374">
        <v>5.7940000000000005</v>
      </c>
      <c r="G20" s="374">
        <v>5.798</v>
      </c>
      <c r="H20" s="374">
        <v>5.8020000000000005</v>
      </c>
      <c r="I20" s="374">
        <v>5.8059999999999992</v>
      </c>
      <c r="J20" s="374">
        <v>5.8099999999999987</v>
      </c>
      <c r="K20" s="374">
        <v>5.8129999999999997</v>
      </c>
      <c r="L20" s="374">
        <v>5.8150000000000013</v>
      </c>
      <c r="M20" s="374">
        <v>5.8170000000000002</v>
      </c>
      <c r="N20" s="374">
        <v>5.82</v>
      </c>
    </row>
    <row r="21" spans="1:14" ht="16" customHeight="1">
      <c r="A21" s="67" t="s">
        <v>34</v>
      </c>
      <c r="B21" s="913">
        <v>5.2593164800311536</v>
      </c>
      <c r="C21" s="374">
        <v>5.2369999999999992</v>
      </c>
      <c r="D21" s="374">
        <v>5.245000000000001</v>
      </c>
      <c r="E21" s="374">
        <v>5.2489999999999988</v>
      </c>
      <c r="F21" s="374">
        <v>5.2529999999999992</v>
      </c>
      <c r="G21" s="374">
        <v>5.2560000000000002</v>
      </c>
      <c r="H21" s="374">
        <v>5.26</v>
      </c>
      <c r="I21" s="374">
        <v>5.2635000000000005</v>
      </c>
      <c r="J21" s="374">
        <v>5.2670000000000012</v>
      </c>
      <c r="K21" s="374">
        <v>5.27</v>
      </c>
      <c r="L21" s="374">
        <v>5.2709999999999999</v>
      </c>
      <c r="M21" s="374">
        <v>5.27</v>
      </c>
      <c r="N21" s="374">
        <v>5.2689999999999984</v>
      </c>
    </row>
    <row r="22" spans="1:14" ht="16" customHeight="1">
      <c r="A22" s="67" t="s">
        <v>35</v>
      </c>
      <c r="B22" s="913">
        <v>5.6852182226539796</v>
      </c>
      <c r="C22" s="374">
        <v>5.6300000000000008</v>
      </c>
      <c r="D22" s="374">
        <v>5.6429999999999989</v>
      </c>
      <c r="E22" s="374">
        <v>5.6509999999999998</v>
      </c>
      <c r="F22" s="374">
        <v>5.6692</v>
      </c>
      <c r="G22" s="374">
        <v>5.6719999999999997</v>
      </c>
      <c r="H22" s="374">
        <v>5.6999999999999993</v>
      </c>
      <c r="I22" s="374">
        <v>5.7054000000000009</v>
      </c>
      <c r="J22" s="374">
        <v>5.7108000000000017</v>
      </c>
      <c r="K22" s="374">
        <v>5.714999999999999</v>
      </c>
      <c r="L22" s="374">
        <v>5.718</v>
      </c>
      <c r="M22" s="374">
        <v>5.7210000000000001</v>
      </c>
      <c r="N22" s="374">
        <v>5.7240000000000002</v>
      </c>
    </row>
    <row r="23" spans="1:14" ht="16" customHeight="1">
      <c r="A23" s="67" t="s">
        <v>36</v>
      </c>
      <c r="B23" s="913">
        <v>5.304522633877264</v>
      </c>
      <c r="C23" s="374">
        <v>5.2632499999999993</v>
      </c>
      <c r="D23" s="374">
        <v>5.2759999999999998</v>
      </c>
      <c r="E23" s="374">
        <v>5.29</v>
      </c>
      <c r="F23" s="374">
        <v>5.3030000000000008</v>
      </c>
      <c r="G23" s="374">
        <v>5.306</v>
      </c>
      <c r="H23" s="374">
        <v>5.3090000000000002</v>
      </c>
      <c r="I23" s="374">
        <v>5.3120000000000012</v>
      </c>
      <c r="J23" s="374">
        <v>5.3150000000000004</v>
      </c>
      <c r="K23" s="374">
        <v>5.3179999999999987</v>
      </c>
      <c r="L23" s="374">
        <v>5.319</v>
      </c>
      <c r="M23" s="374">
        <v>5.32</v>
      </c>
      <c r="N23" s="374">
        <v>5.3210000000000015</v>
      </c>
    </row>
    <row r="24" spans="1:14" ht="16" customHeight="1">
      <c r="A24" s="67" t="s">
        <v>37</v>
      </c>
      <c r="B24" s="913">
        <v>5.4121183945444962</v>
      </c>
      <c r="C24" s="374">
        <v>5.361699999999999</v>
      </c>
      <c r="D24" s="374">
        <v>5.3739999999999997</v>
      </c>
      <c r="E24" s="374">
        <v>5.391</v>
      </c>
      <c r="F24" s="374">
        <v>5.407</v>
      </c>
      <c r="G24" s="374">
        <v>5.41</v>
      </c>
      <c r="H24" s="374">
        <v>5.415</v>
      </c>
      <c r="I24" s="374">
        <v>5.4190000000000005</v>
      </c>
      <c r="J24" s="374">
        <v>5.4230000000000009</v>
      </c>
      <c r="K24" s="374">
        <v>5.4260000000000002</v>
      </c>
      <c r="L24" s="374">
        <v>5.4279999999999999</v>
      </c>
      <c r="M24" s="374">
        <v>5.431</v>
      </c>
      <c r="N24" s="374">
        <v>5.4340000000000002</v>
      </c>
    </row>
    <row r="25" spans="1:14" ht="16" customHeight="1">
      <c r="A25" s="67" t="s">
        <v>38</v>
      </c>
      <c r="B25" s="913">
        <v>5.4694607401672606</v>
      </c>
      <c r="C25" s="378">
        <v>5.4359999999999999</v>
      </c>
      <c r="D25" s="378">
        <v>5.4530000000000003</v>
      </c>
      <c r="E25" s="378">
        <v>5.4569999999999999</v>
      </c>
      <c r="F25" s="378">
        <v>5.4630000000000001</v>
      </c>
      <c r="G25" s="378">
        <v>5.4660000000000011</v>
      </c>
      <c r="H25" s="378">
        <v>5.4710000000000001</v>
      </c>
      <c r="I25" s="378">
        <v>5.4749999999999988</v>
      </c>
      <c r="J25" s="378">
        <v>5.4789999999999992</v>
      </c>
      <c r="K25" s="378">
        <v>5.4819999999999993</v>
      </c>
      <c r="L25" s="378">
        <v>5.48</v>
      </c>
      <c r="M25" s="378">
        <v>5.4820000000000002</v>
      </c>
      <c r="N25" s="378">
        <v>5.4840000000000009</v>
      </c>
    </row>
    <row r="26" spans="1:14" ht="16" customHeight="1">
      <c r="A26" s="67" t="s">
        <v>39</v>
      </c>
      <c r="B26" s="913">
        <v>4.9519177562198413</v>
      </c>
      <c r="C26" s="374">
        <v>4.9074796785202475</v>
      </c>
      <c r="D26" s="374">
        <v>4.9177840422705659</v>
      </c>
      <c r="E26" s="374">
        <v>4.9331132545358729</v>
      </c>
      <c r="F26" s="374">
        <v>4.949556313287232</v>
      </c>
      <c r="G26" s="374">
        <v>4.9533117212509232</v>
      </c>
      <c r="H26" s="374">
        <v>4.9583436322075718</v>
      </c>
      <c r="I26" s="374">
        <v>4.9627663765859023</v>
      </c>
      <c r="J26" s="374">
        <v>4.9670079104549307</v>
      </c>
      <c r="K26" s="374">
        <v>4.9717923679814975</v>
      </c>
      <c r="L26" s="374">
        <v>4.9708718091646853</v>
      </c>
      <c r="M26" s="374">
        <v>4.9706862354220407</v>
      </c>
      <c r="N26" s="374">
        <v>4.971157045810835</v>
      </c>
    </row>
    <row r="27" spans="1:14" ht="16" customHeight="1">
      <c r="A27" s="67" t="s">
        <v>97</v>
      </c>
      <c r="B27" s="913">
        <v>4.955115184714959</v>
      </c>
      <c r="C27" s="374">
        <v>4.9039999999999999</v>
      </c>
      <c r="D27" s="374">
        <v>4.9139999999999988</v>
      </c>
      <c r="E27" s="374">
        <v>4.9320000000000004</v>
      </c>
      <c r="F27" s="374">
        <v>4.952</v>
      </c>
      <c r="G27" s="374">
        <v>4.9550000000000001</v>
      </c>
      <c r="H27" s="374">
        <v>4.9619999999999997</v>
      </c>
      <c r="I27" s="374">
        <v>4.9669999999999996</v>
      </c>
      <c r="J27" s="374">
        <v>4.9719999999999986</v>
      </c>
      <c r="K27" s="374">
        <v>4.9779999999999998</v>
      </c>
      <c r="L27" s="374">
        <v>4.9780000000000006</v>
      </c>
      <c r="M27" s="374">
        <v>4.9779999999999998</v>
      </c>
      <c r="N27" s="374">
        <v>4.9780000000000006</v>
      </c>
    </row>
    <row r="28" spans="1:14" ht="16" customHeight="1">
      <c r="A28" s="67" t="s">
        <v>98</v>
      </c>
      <c r="B28" s="913">
        <v>4.9482293889066185</v>
      </c>
      <c r="C28" s="374">
        <v>4.9110000000000005</v>
      </c>
      <c r="D28" s="374">
        <v>4.9219999999999997</v>
      </c>
      <c r="E28" s="374">
        <v>4.9344000000000001</v>
      </c>
      <c r="F28" s="374">
        <v>4.9465999999999992</v>
      </c>
      <c r="G28" s="374">
        <v>4.9512999999999998</v>
      </c>
      <c r="H28" s="374">
        <v>4.9539999999999988</v>
      </c>
      <c r="I28" s="374">
        <v>4.9576999999999991</v>
      </c>
      <c r="J28" s="374">
        <v>4.9609999999999994</v>
      </c>
      <c r="K28" s="374">
        <v>4.9639999999999995</v>
      </c>
      <c r="L28" s="374">
        <v>4.9619999999999989</v>
      </c>
      <c r="M28" s="374">
        <v>4.963000000000001</v>
      </c>
      <c r="N28" s="374">
        <v>4.9640000000000004</v>
      </c>
    </row>
    <row r="29" spans="1:14" ht="16" customHeight="1">
      <c r="A29" s="67" t="s">
        <v>42</v>
      </c>
      <c r="B29" s="913">
        <v>5.6549289453759863</v>
      </c>
      <c r="C29" s="374">
        <v>5.6043500000000002</v>
      </c>
      <c r="D29" s="374">
        <v>5.6130000000000004</v>
      </c>
      <c r="E29" s="374">
        <v>5.6269999999999998</v>
      </c>
      <c r="F29" s="374">
        <v>5.633</v>
      </c>
      <c r="G29" s="374">
        <v>5.6449999999999996</v>
      </c>
      <c r="H29" s="374">
        <v>5.6589999999999989</v>
      </c>
      <c r="I29" s="374">
        <v>5.6670000000000007</v>
      </c>
      <c r="J29" s="374">
        <v>5.6749999999999998</v>
      </c>
      <c r="K29" s="374">
        <v>5.6820000000000004</v>
      </c>
      <c r="L29" s="374">
        <v>5.6849999999999996</v>
      </c>
      <c r="M29" s="374">
        <v>5.6879999999999997</v>
      </c>
      <c r="N29" s="374">
        <v>5.6909999999999989</v>
      </c>
    </row>
    <row r="30" spans="1:14" ht="16" customHeight="1">
      <c r="A30" s="67" t="s">
        <v>43</v>
      </c>
      <c r="B30" s="913">
        <v>5.796486296807533</v>
      </c>
      <c r="C30" s="374">
        <v>5.7584999999999997</v>
      </c>
      <c r="D30" s="374">
        <v>5.7629999999999999</v>
      </c>
      <c r="E30" s="374">
        <v>5.7729999999999997</v>
      </c>
      <c r="F30" s="374">
        <v>5.7850000000000001</v>
      </c>
      <c r="G30" s="374">
        <v>5.7899999999999991</v>
      </c>
      <c r="H30" s="374">
        <v>5.7969999999999988</v>
      </c>
      <c r="I30" s="374">
        <v>5.8029999999999999</v>
      </c>
      <c r="J30" s="374">
        <v>5.8089999999999984</v>
      </c>
      <c r="K30" s="374">
        <v>5.8140000000000009</v>
      </c>
      <c r="L30" s="374">
        <v>5.8159999999999998</v>
      </c>
      <c r="M30" s="374">
        <v>5.8170000000000011</v>
      </c>
      <c r="N30" s="374">
        <v>5.8189999999999991</v>
      </c>
    </row>
    <row r="31" spans="1:14" ht="16" customHeight="1">
      <c r="A31" s="67" t="s">
        <v>44</v>
      </c>
      <c r="B31" s="913">
        <v>5.3938329605462449</v>
      </c>
      <c r="C31" s="374">
        <v>5.3529999999999998</v>
      </c>
      <c r="D31" s="374">
        <v>5.3639999999999999</v>
      </c>
      <c r="E31" s="374">
        <v>5.3730000000000011</v>
      </c>
      <c r="F31" s="374">
        <v>5.3840000000000003</v>
      </c>
      <c r="G31" s="374">
        <v>5.3879999999999999</v>
      </c>
      <c r="H31" s="374">
        <v>5.3940000000000001</v>
      </c>
      <c r="I31" s="374">
        <v>5.399</v>
      </c>
      <c r="J31" s="374">
        <v>5.4039999999999999</v>
      </c>
      <c r="K31" s="374">
        <v>5.4080000000000013</v>
      </c>
      <c r="L31" s="374">
        <v>5.41</v>
      </c>
      <c r="M31" s="374">
        <v>5.4130000000000003</v>
      </c>
      <c r="N31" s="374">
        <v>5.4160000000000004</v>
      </c>
    </row>
    <row r="32" spans="1:14" ht="16" customHeight="1">
      <c r="A32" s="67" t="s">
        <v>45</v>
      </c>
      <c r="B32" s="913">
        <v>4.7244836174673077</v>
      </c>
      <c r="C32" s="374">
        <v>4.6859999999999991</v>
      </c>
      <c r="D32" s="374">
        <v>4.6930000000000005</v>
      </c>
      <c r="E32" s="374">
        <v>4.7030000000000012</v>
      </c>
      <c r="F32" s="374">
        <v>4.7149999999999999</v>
      </c>
      <c r="G32" s="374">
        <v>4.718</v>
      </c>
      <c r="H32" s="374">
        <v>4.7239999999999993</v>
      </c>
      <c r="I32" s="374">
        <v>4.7285000000000004</v>
      </c>
      <c r="J32" s="374">
        <v>4.7330000000000014</v>
      </c>
      <c r="K32" s="374">
        <v>4.737000000000001</v>
      </c>
      <c r="L32" s="374">
        <v>4.74</v>
      </c>
      <c r="M32" s="374">
        <v>4.7450000000000001</v>
      </c>
      <c r="N32" s="374">
        <v>4.7499999999999991</v>
      </c>
    </row>
    <row r="33" spans="1:14" ht="16" customHeight="1">
      <c r="A33" s="67" t="s">
        <v>46</v>
      </c>
      <c r="B33" s="913">
        <v>4.9324510883025567</v>
      </c>
      <c r="C33" s="374">
        <v>4.8759999999999986</v>
      </c>
      <c r="D33" s="374">
        <v>4.8849999999999989</v>
      </c>
      <c r="E33" s="374">
        <v>4.9019999999999992</v>
      </c>
      <c r="F33" s="374">
        <v>4.9170000000000016</v>
      </c>
      <c r="G33" s="374">
        <v>4.9200000000000008</v>
      </c>
      <c r="H33" s="374">
        <v>4.9240000000000004</v>
      </c>
      <c r="I33" s="374">
        <v>4.9275000000000011</v>
      </c>
      <c r="J33" s="374">
        <v>4.931</v>
      </c>
      <c r="K33" s="374">
        <v>4.9349999999999996</v>
      </c>
      <c r="L33" s="374">
        <v>4.9370000000000012</v>
      </c>
      <c r="M33" s="374">
        <v>4.9600000000000009</v>
      </c>
      <c r="N33" s="374">
        <v>4.9829999999999997</v>
      </c>
    </row>
    <row r="34" spans="1:14" ht="16" customHeight="1" thickBot="1">
      <c r="A34" s="113" t="s">
        <v>47</v>
      </c>
      <c r="B34" s="914">
        <v>5.1244321773911699</v>
      </c>
      <c r="C34" s="375">
        <v>5.1059999999999999</v>
      </c>
      <c r="D34" s="375">
        <v>5.1090000000000009</v>
      </c>
      <c r="E34" s="375">
        <v>5.1130000000000004</v>
      </c>
      <c r="F34" s="375">
        <v>5.1170000000000009</v>
      </c>
      <c r="G34" s="375">
        <v>5.1201999999999988</v>
      </c>
      <c r="H34" s="375">
        <v>5.1230000000000002</v>
      </c>
      <c r="I34" s="375">
        <v>5.1260000000000003</v>
      </c>
      <c r="J34" s="375">
        <v>5.1289999999999987</v>
      </c>
      <c r="K34" s="375">
        <v>5.1310000000000002</v>
      </c>
      <c r="L34" s="375">
        <v>5.1319999999999997</v>
      </c>
      <c r="M34" s="375">
        <v>5.1360000000000001</v>
      </c>
      <c r="N34" s="375">
        <v>5.1400000000000006</v>
      </c>
    </row>
    <row r="35" spans="1:14" ht="9" customHeight="1">
      <c r="A35" s="449" t="s">
        <v>330</v>
      </c>
      <c r="B35" s="520"/>
      <c r="C35" s="521"/>
      <c r="D35" s="521"/>
      <c r="E35" s="379"/>
      <c r="F35" s="379"/>
      <c r="G35" s="379"/>
      <c r="H35" s="379"/>
      <c r="I35" s="379"/>
      <c r="J35" s="379"/>
      <c r="K35" s="379"/>
      <c r="L35" s="379"/>
      <c r="M35" s="379"/>
      <c r="N35" s="379"/>
    </row>
    <row r="36" spans="1:14" ht="9" customHeight="1">
      <c r="A36" s="449" t="s">
        <v>304</v>
      </c>
      <c r="B36" s="521"/>
      <c r="C36" s="521"/>
      <c r="D36" s="521"/>
      <c r="E36" s="379"/>
      <c r="F36" s="379"/>
      <c r="G36" s="379"/>
      <c r="H36" s="379"/>
      <c r="I36" s="379"/>
      <c r="J36" s="379"/>
      <c r="K36" s="379"/>
      <c r="L36" s="379"/>
      <c r="M36" s="379"/>
      <c r="N36" s="379"/>
    </row>
    <row r="37" spans="1:14" ht="9" customHeight="1">
      <c r="A37" s="451" t="s">
        <v>303</v>
      </c>
      <c r="B37" s="464"/>
      <c r="C37" s="464"/>
      <c r="D37" s="464"/>
      <c r="E37" s="173"/>
      <c r="F37" s="173"/>
      <c r="G37" s="173"/>
      <c r="H37" s="173"/>
      <c r="I37" s="173"/>
      <c r="J37" s="173"/>
      <c r="K37" s="173"/>
      <c r="L37" s="173"/>
      <c r="M37" s="173"/>
      <c r="N37" s="173"/>
    </row>
    <row r="38" spans="1:14" ht="13.25" customHeight="1">
      <c r="A38" s="522"/>
      <c r="B38" s="464"/>
      <c r="C38" s="464"/>
      <c r="D38" s="464"/>
    </row>
    <row r="39" spans="1:14" ht="13.25" customHeight="1">
      <c r="A39" s="22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Hoja104">
    <tabColor theme="9" tint="0.59999389629810485"/>
  </sheetPr>
  <dimension ref="A1:O39"/>
  <sheetViews>
    <sheetView showGridLines="0" zoomScaleNormal="100" workbookViewId="0">
      <selection activeCell="O8" sqref="O8"/>
    </sheetView>
  </sheetViews>
  <sheetFormatPr baseColWidth="10" defaultColWidth="7" defaultRowHeight="13.25" customHeight="1"/>
  <cols>
    <col min="1" max="1" width="14" style="67" customWidth="1"/>
    <col min="2" max="2" width="9" style="67" customWidth="1"/>
    <col min="3" max="14" width="9.19921875" style="67" customWidth="1"/>
    <col min="15" max="16384" width="7" style="67"/>
  </cols>
  <sheetData>
    <row r="1" spans="1:15" ht="17" customHeight="1">
      <c r="A1" s="380" t="s">
        <v>543</v>
      </c>
      <c r="B1" s="381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</row>
    <row r="2" spans="1:15" ht="13.25" customHeight="1">
      <c r="A2" s="377" t="s">
        <v>294</v>
      </c>
      <c r="B2" s="226"/>
      <c r="C2" s="101"/>
      <c r="D2" s="101"/>
      <c r="E2" s="101"/>
      <c r="F2" s="101"/>
      <c r="G2" s="104"/>
      <c r="H2" s="103"/>
      <c r="I2" s="101"/>
      <c r="J2" s="101"/>
      <c r="K2" s="101"/>
      <c r="L2" s="101"/>
      <c r="M2" s="101"/>
      <c r="N2" s="101"/>
    </row>
    <row r="3" spans="1:15" ht="6" customHeight="1" thickBot="1">
      <c r="A3" s="103"/>
      <c r="B3" s="101"/>
      <c r="C3" s="101"/>
      <c r="D3" s="101"/>
      <c r="E3" s="101"/>
      <c r="F3" s="101"/>
      <c r="G3" s="104"/>
      <c r="H3" s="103"/>
      <c r="I3" s="101"/>
      <c r="J3" s="101"/>
      <c r="K3" s="101"/>
      <c r="L3" s="101"/>
      <c r="M3" s="101"/>
      <c r="N3" s="101"/>
    </row>
    <row r="4" spans="1:15" ht="18" customHeight="1">
      <c r="A4" s="732" t="s">
        <v>16</v>
      </c>
      <c r="B4" s="732" t="s">
        <v>52</v>
      </c>
      <c r="C4" s="732" t="s">
        <v>53</v>
      </c>
      <c r="D4" s="732" t="s">
        <v>54</v>
      </c>
      <c r="E4" s="732" t="s">
        <v>55</v>
      </c>
      <c r="F4" s="732" t="s">
        <v>56</v>
      </c>
      <c r="G4" s="732" t="s">
        <v>57</v>
      </c>
      <c r="H4" s="732" t="s">
        <v>58</v>
      </c>
      <c r="I4" s="732" t="s">
        <v>59</v>
      </c>
      <c r="J4" s="732" t="s">
        <v>60</v>
      </c>
      <c r="K4" s="732" t="s">
        <v>61</v>
      </c>
      <c r="L4" s="732" t="s">
        <v>62</v>
      </c>
      <c r="M4" s="732" t="s">
        <v>63</v>
      </c>
      <c r="N4" s="732" t="s">
        <v>64</v>
      </c>
    </row>
    <row r="5" spans="1:15" ht="18" customHeight="1">
      <c r="A5" s="693" t="s">
        <v>100</v>
      </c>
      <c r="B5" s="915">
        <v>7.3371273104837744</v>
      </c>
      <c r="C5" s="695">
        <v>7.2338572059808453</v>
      </c>
      <c r="D5" s="695">
        <v>7.2567083761696995</v>
      </c>
      <c r="E5" s="695">
        <v>7.2801907283067262</v>
      </c>
      <c r="F5" s="695">
        <v>7.3158299224609653</v>
      </c>
      <c r="G5" s="695">
        <v>7.3132370591714899</v>
      </c>
      <c r="H5" s="695">
        <v>7.3255686870552621</v>
      </c>
      <c r="I5" s="695">
        <v>7.3573201208762047</v>
      </c>
      <c r="J5" s="695">
        <v>7.3707817677206533</v>
      </c>
      <c r="K5" s="695">
        <v>7.3707319320542979</v>
      </c>
      <c r="L5" s="695">
        <v>7.3689427584801965</v>
      </c>
      <c r="M5" s="695">
        <v>7.3783627303746737</v>
      </c>
      <c r="N5" s="695">
        <v>7.4218830043333774</v>
      </c>
    </row>
    <row r="6" spans="1:15" ht="16" customHeight="1">
      <c r="A6" s="67" t="s">
        <v>19</v>
      </c>
      <c r="B6" s="913">
        <v>6.3711751383922186</v>
      </c>
      <c r="C6" s="374">
        <v>6.3510000000000009</v>
      </c>
      <c r="D6" s="374">
        <v>6.3539999999999983</v>
      </c>
      <c r="E6" s="374">
        <v>6.3579999999999988</v>
      </c>
      <c r="F6" s="374">
        <v>6.3610000000000007</v>
      </c>
      <c r="G6" s="374">
        <v>6.3669999999999991</v>
      </c>
      <c r="H6" s="374">
        <v>6.370000000000001</v>
      </c>
      <c r="I6" s="374">
        <v>6.3745000000000012</v>
      </c>
      <c r="J6" s="374">
        <v>6.3789999999999978</v>
      </c>
      <c r="K6" s="374">
        <v>6.3809999999999993</v>
      </c>
      <c r="L6" s="374">
        <v>6.3829999999999991</v>
      </c>
      <c r="M6" s="374">
        <v>6.3870000000000005</v>
      </c>
      <c r="N6" s="374">
        <v>6.391</v>
      </c>
      <c r="O6" s="101"/>
    </row>
    <row r="7" spans="1:15" ht="16" customHeight="1">
      <c r="A7" s="67" t="s">
        <v>20</v>
      </c>
      <c r="B7" s="913">
        <v>6.851019314678588</v>
      </c>
      <c r="C7" s="374">
        <v>6.8</v>
      </c>
      <c r="D7" s="374">
        <v>6.8149999999999995</v>
      </c>
      <c r="E7" s="374">
        <v>6.8290000000000006</v>
      </c>
      <c r="F7" s="374">
        <v>6.8450000000000006</v>
      </c>
      <c r="G7" s="374">
        <v>6.85</v>
      </c>
      <c r="H7" s="374">
        <v>6.854000000000001</v>
      </c>
      <c r="I7" s="374">
        <v>6.8585000000000012</v>
      </c>
      <c r="J7" s="374">
        <v>6.8629999999999995</v>
      </c>
      <c r="K7" s="374">
        <v>6.8669999999999991</v>
      </c>
      <c r="L7" s="374">
        <v>6.87</v>
      </c>
      <c r="M7" s="374">
        <v>6.8730000000000011</v>
      </c>
      <c r="N7" s="374">
        <v>6.8780000000000001</v>
      </c>
    </row>
    <row r="8" spans="1:15" ht="16" customHeight="1">
      <c r="A8" s="67" t="s">
        <v>21</v>
      </c>
      <c r="B8" s="913">
        <v>6.6608167849064888</v>
      </c>
      <c r="C8" s="374">
        <v>6.60175</v>
      </c>
      <c r="D8" s="374">
        <v>6.6159999999999988</v>
      </c>
      <c r="E8" s="374">
        <v>6.636000000000001</v>
      </c>
      <c r="F8" s="374">
        <v>6.6580000000000013</v>
      </c>
      <c r="G8" s="374">
        <v>6.6630000000000003</v>
      </c>
      <c r="H8" s="374">
        <v>6.6679999999999993</v>
      </c>
      <c r="I8" s="374">
        <v>6.673</v>
      </c>
      <c r="J8" s="374">
        <v>6.6779999999999999</v>
      </c>
      <c r="K8" s="374">
        <v>6.6819999999999995</v>
      </c>
      <c r="L8" s="374">
        <v>6.6839999999999993</v>
      </c>
      <c r="M8" s="374">
        <v>6.6859999999999991</v>
      </c>
      <c r="N8" s="374">
        <v>6.6900000000000013</v>
      </c>
      <c r="O8" s="986"/>
    </row>
    <row r="9" spans="1:15" ht="16" customHeight="1">
      <c r="A9" s="67" t="s">
        <v>22</v>
      </c>
      <c r="B9" s="913">
        <v>7.4530599463956797</v>
      </c>
      <c r="C9" s="374">
        <v>7.4049999999999994</v>
      </c>
      <c r="D9" s="374">
        <v>7.42</v>
      </c>
      <c r="E9" s="374">
        <v>7.4319999999999995</v>
      </c>
      <c r="F9" s="374">
        <v>7.4420000000000002</v>
      </c>
      <c r="G9" s="374">
        <v>7.4489999999999998</v>
      </c>
      <c r="H9" s="374">
        <v>7.4550000000000001</v>
      </c>
      <c r="I9" s="374">
        <v>7.4614999999999991</v>
      </c>
      <c r="J9" s="374">
        <v>7.4680000000000009</v>
      </c>
      <c r="K9" s="374">
        <v>7.4720000000000004</v>
      </c>
      <c r="L9" s="374">
        <v>7.4750000000000014</v>
      </c>
      <c r="M9" s="374">
        <v>7.4780000000000024</v>
      </c>
      <c r="N9" s="374">
        <v>7.4829999999999979</v>
      </c>
    </row>
    <row r="10" spans="1:15" ht="16" customHeight="1">
      <c r="A10" s="67" t="s">
        <v>23</v>
      </c>
      <c r="B10" s="913">
        <v>6.4680892434461255</v>
      </c>
      <c r="C10" s="374">
        <v>6.4160121816203279</v>
      </c>
      <c r="D10" s="374">
        <v>6.4181078741054094</v>
      </c>
      <c r="E10" s="374">
        <v>6.4604560931478785</v>
      </c>
      <c r="F10" s="374">
        <v>6.5313132360165609</v>
      </c>
      <c r="G10" s="374">
        <v>6.5609577921095212</v>
      </c>
      <c r="H10" s="374">
        <v>6.498776137417603</v>
      </c>
      <c r="I10" s="374">
        <v>6.4924895357631716</v>
      </c>
      <c r="J10" s="374">
        <v>6.4811842830656321</v>
      </c>
      <c r="K10" s="374">
        <v>6.4858049968513445</v>
      </c>
      <c r="L10" s="374">
        <v>6.4794848734791231</v>
      </c>
      <c r="M10" s="374">
        <v>6.4085272792819339</v>
      </c>
      <c r="N10" s="374">
        <v>6.4068828973499796</v>
      </c>
    </row>
    <row r="11" spans="1:15" ht="16" customHeight="1">
      <c r="A11" s="67" t="s">
        <v>94</v>
      </c>
      <c r="B11" s="913">
        <v>6.7522785389784001</v>
      </c>
      <c r="C11" s="374">
        <v>6.7132500000000004</v>
      </c>
      <c r="D11" s="374">
        <v>6.7149999999999999</v>
      </c>
      <c r="E11" s="374">
        <v>6.7329999999999988</v>
      </c>
      <c r="F11" s="374">
        <v>6.7350000000000003</v>
      </c>
      <c r="G11" s="374">
        <v>6.7440000000000007</v>
      </c>
      <c r="H11" s="374">
        <v>6.7520000000000007</v>
      </c>
      <c r="I11" s="374">
        <v>6.7629999999999999</v>
      </c>
      <c r="J11" s="374">
        <v>6.7700000000000005</v>
      </c>
      <c r="K11" s="374">
        <v>6.772000000000002</v>
      </c>
      <c r="L11" s="374">
        <v>6.7740000000000009</v>
      </c>
      <c r="M11" s="374">
        <v>6.775999999999998</v>
      </c>
      <c r="N11" s="374">
        <v>6.7779999999999996</v>
      </c>
    </row>
    <row r="12" spans="1:15" ht="16" customHeight="1">
      <c r="A12" s="67" t="s">
        <v>95</v>
      </c>
      <c r="B12" s="913">
        <v>5.7027319255236755</v>
      </c>
      <c r="C12" s="374">
        <v>5.6807499999999997</v>
      </c>
      <c r="D12" s="374">
        <v>5.6820000000000013</v>
      </c>
      <c r="E12" s="374">
        <v>5.6859999999999999</v>
      </c>
      <c r="F12" s="374">
        <v>5.6879999999999997</v>
      </c>
      <c r="G12" s="374">
        <v>5.702</v>
      </c>
      <c r="H12" s="374">
        <v>5.7049999999999992</v>
      </c>
      <c r="I12" s="374">
        <v>5.708499999999999</v>
      </c>
      <c r="J12" s="374">
        <v>5.7120000000000006</v>
      </c>
      <c r="K12" s="374">
        <v>5.7140000000000004</v>
      </c>
      <c r="L12" s="374">
        <v>5.7140000000000004</v>
      </c>
      <c r="M12" s="374">
        <v>5.7140000000000004</v>
      </c>
      <c r="N12" s="374">
        <v>5.7140000000000004</v>
      </c>
    </row>
    <row r="13" spans="1:15" ht="16" customHeight="1">
      <c r="A13" s="67" t="s">
        <v>124</v>
      </c>
      <c r="B13" s="913">
        <v>6.9032992620546541</v>
      </c>
      <c r="C13" s="374">
        <v>6.8435000000000006</v>
      </c>
      <c r="D13" s="374">
        <v>6.8609999999999989</v>
      </c>
      <c r="E13" s="374">
        <v>6.875</v>
      </c>
      <c r="F13" s="374">
        <v>6.8819999999999997</v>
      </c>
      <c r="G13" s="374">
        <v>6.91</v>
      </c>
      <c r="H13" s="374">
        <v>6.9130000000000003</v>
      </c>
      <c r="I13" s="374">
        <v>6.916500000000001</v>
      </c>
      <c r="J13" s="374">
        <v>6.92</v>
      </c>
      <c r="K13" s="374">
        <v>6.923</v>
      </c>
      <c r="L13" s="374">
        <v>6.9260000000000002</v>
      </c>
      <c r="M13" s="374">
        <v>6.9290000000000003</v>
      </c>
      <c r="N13" s="374">
        <v>6.9339999999999993</v>
      </c>
    </row>
    <row r="14" spans="1:15" ht="16" customHeight="1">
      <c r="A14" s="67" t="s">
        <v>27</v>
      </c>
      <c r="B14" s="913">
        <v>6.7877942712142882</v>
      </c>
      <c r="C14" s="374">
        <v>6.7235000000000014</v>
      </c>
      <c r="D14" s="374">
        <v>6.7329999999999988</v>
      </c>
      <c r="E14" s="374">
        <v>6.7569999999999997</v>
      </c>
      <c r="F14" s="374">
        <v>6.7799999999999994</v>
      </c>
      <c r="G14" s="374">
        <v>6.7840000000000007</v>
      </c>
      <c r="H14" s="374">
        <v>6.7939999999999987</v>
      </c>
      <c r="I14" s="374">
        <v>6.8009999999999984</v>
      </c>
      <c r="J14" s="374">
        <v>6.8079999999999998</v>
      </c>
      <c r="K14" s="374">
        <v>6.8129999999999997</v>
      </c>
      <c r="L14" s="374">
        <v>6.8149999999999995</v>
      </c>
      <c r="M14" s="374">
        <v>6.8170000000000002</v>
      </c>
      <c r="N14" s="374">
        <v>6.8190000000000017</v>
      </c>
    </row>
    <row r="15" spans="1:15" ht="16" customHeight="1">
      <c r="A15" s="67" t="s">
        <v>28</v>
      </c>
      <c r="B15" s="913">
        <v>7.2658019973709598</v>
      </c>
      <c r="C15" s="374">
        <v>7.2000000000000011</v>
      </c>
      <c r="D15" s="374">
        <v>7.2119999999999997</v>
      </c>
      <c r="E15" s="374">
        <v>7.234</v>
      </c>
      <c r="F15" s="374">
        <v>7.2560000000000002</v>
      </c>
      <c r="G15" s="374">
        <v>7.2620000000000022</v>
      </c>
      <c r="H15" s="374">
        <v>7.2720000000000002</v>
      </c>
      <c r="I15" s="374">
        <v>7.28</v>
      </c>
      <c r="J15" s="374">
        <v>7.2880000000000003</v>
      </c>
      <c r="K15" s="374">
        <v>7.2939999999999987</v>
      </c>
      <c r="L15" s="374">
        <v>7.2939999999999987</v>
      </c>
      <c r="M15" s="374">
        <v>7.2939999999999987</v>
      </c>
      <c r="N15" s="374">
        <v>7.2940000000000005</v>
      </c>
    </row>
    <row r="16" spans="1:15" ht="16" customHeight="1">
      <c r="A16" s="67" t="s">
        <v>29</v>
      </c>
      <c r="B16" s="913">
        <v>7.5699722539954806</v>
      </c>
      <c r="C16" s="374">
        <v>7.4429999999999996</v>
      </c>
      <c r="D16" s="374">
        <v>7.4539999999999997</v>
      </c>
      <c r="E16" s="374">
        <v>7.4960000000000022</v>
      </c>
      <c r="F16" s="374">
        <v>7.5359999999999996</v>
      </c>
      <c r="G16" s="374">
        <v>7.5440000000000005</v>
      </c>
      <c r="H16" s="374">
        <v>7.5579999999999998</v>
      </c>
      <c r="I16" s="374">
        <v>7.5690000000000008</v>
      </c>
      <c r="J16" s="374">
        <v>7.5800000000000018</v>
      </c>
      <c r="K16" s="374">
        <v>7.57</v>
      </c>
      <c r="L16" s="374">
        <v>7.5620000000000012</v>
      </c>
      <c r="M16" s="374">
        <v>7.5659999999999989</v>
      </c>
      <c r="N16" s="374">
        <v>7.7719999999999994</v>
      </c>
    </row>
    <row r="17" spans="1:14" ht="16" customHeight="1">
      <c r="A17" s="67" t="s">
        <v>30</v>
      </c>
      <c r="B17" s="913">
        <v>7.142655891693197</v>
      </c>
      <c r="C17" s="374">
        <v>7.0425000000000004</v>
      </c>
      <c r="D17" s="374">
        <v>7.0599999999999987</v>
      </c>
      <c r="E17" s="374">
        <v>7.101</v>
      </c>
      <c r="F17" s="374">
        <v>7.1410000000000009</v>
      </c>
      <c r="G17" s="374">
        <v>7.1460000000000008</v>
      </c>
      <c r="H17" s="374">
        <v>7.1560000000000006</v>
      </c>
      <c r="I17" s="374">
        <v>7.1634999999999991</v>
      </c>
      <c r="J17" s="374">
        <v>7.1710000000000012</v>
      </c>
      <c r="K17" s="374">
        <v>7.1760000000000002</v>
      </c>
      <c r="L17" s="374">
        <v>7.1790000000000003</v>
      </c>
      <c r="M17" s="374">
        <v>7.1819999999999986</v>
      </c>
      <c r="N17" s="374">
        <v>7.1870000000000012</v>
      </c>
    </row>
    <row r="18" spans="1:14" ht="16" customHeight="1">
      <c r="A18" s="67" t="s">
        <v>31</v>
      </c>
      <c r="B18" s="913">
        <v>7.2278317042408613</v>
      </c>
      <c r="C18" s="374">
        <v>7.1442499999999995</v>
      </c>
      <c r="D18" s="374">
        <v>7.1529999999999987</v>
      </c>
      <c r="E18" s="374">
        <v>7.1850000000000005</v>
      </c>
      <c r="F18" s="374">
        <v>7.2149999999999999</v>
      </c>
      <c r="G18" s="374">
        <v>7.2210000000000001</v>
      </c>
      <c r="H18" s="374">
        <v>7.2320000000000002</v>
      </c>
      <c r="I18" s="374">
        <v>7.2405000000000008</v>
      </c>
      <c r="J18" s="374">
        <v>7.2489999999999988</v>
      </c>
      <c r="K18" s="374">
        <v>7.254999999999999</v>
      </c>
      <c r="L18" s="374">
        <v>7.2569999999999988</v>
      </c>
      <c r="M18" s="374">
        <v>7.2589999999999986</v>
      </c>
      <c r="N18" s="374">
        <v>7.2609999999999983</v>
      </c>
    </row>
    <row r="19" spans="1:14" ht="16" customHeight="1">
      <c r="A19" s="67" t="s">
        <v>32</v>
      </c>
      <c r="B19" s="913">
        <v>6.6523368068971749</v>
      </c>
      <c r="C19" s="374">
        <v>6.5749999999999993</v>
      </c>
      <c r="D19" s="374">
        <v>6.5819999999999999</v>
      </c>
      <c r="E19" s="374">
        <v>6.6210000000000004</v>
      </c>
      <c r="F19" s="374">
        <v>6.6410000000000018</v>
      </c>
      <c r="G19" s="374">
        <v>6.6440000000000001</v>
      </c>
      <c r="H19" s="374">
        <v>6.6559999999999997</v>
      </c>
      <c r="I19" s="374">
        <v>6.6634999999999991</v>
      </c>
      <c r="J19" s="374">
        <v>6.6710000000000012</v>
      </c>
      <c r="K19" s="374">
        <v>6.6779999999999999</v>
      </c>
      <c r="L19" s="374">
        <v>6.6790000000000012</v>
      </c>
      <c r="M19" s="374">
        <v>6.68</v>
      </c>
      <c r="N19" s="374">
        <v>6.6810000000000009</v>
      </c>
    </row>
    <row r="20" spans="1:14" ht="16" customHeight="1">
      <c r="A20" s="67" t="s">
        <v>33</v>
      </c>
      <c r="B20" s="913">
        <v>7.2886437913544171</v>
      </c>
      <c r="C20" s="374">
        <v>7.2200000000000006</v>
      </c>
      <c r="D20" s="374">
        <v>7.2239999999999984</v>
      </c>
      <c r="E20" s="374">
        <v>7.2529999999999992</v>
      </c>
      <c r="F20" s="374">
        <v>7.2789999999999999</v>
      </c>
      <c r="G20" s="374">
        <v>7.2839999999999998</v>
      </c>
      <c r="H20" s="374">
        <v>7.2959999999999994</v>
      </c>
      <c r="I20" s="374">
        <v>7.3045000000000009</v>
      </c>
      <c r="J20" s="374">
        <v>7.3129999999999988</v>
      </c>
      <c r="K20" s="374">
        <v>7.3179999999999996</v>
      </c>
      <c r="L20" s="374">
        <v>7.32</v>
      </c>
      <c r="M20" s="374">
        <v>7.322000000000001</v>
      </c>
      <c r="N20" s="374">
        <v>7.3240000000000016</v>
      </c>
    </row>
    <row r="21" spans="1:14" ht="16" customHeight="1">
      <c r="A21" s="67" t="s">
        <v>34</v>
      </c>
      <c r="B21" s="913">
        <v>6.2432761427800516</v>
      </c>
      <c r="C21" s="374">
        <v>6.1750000000000007</v>
      </c>
      <c r="D21" s="374">
        <v>6.1820000000000004</v>
      </c>
      <c r="E21" s="374">
        <v>6.2060000000000013</v>
      </c>
      <c r="F21" s="374">
        <v>6.234</v>
      </c>
      <c r="G21" s="374">
        <v>6.2380000000000004</v>
      </c>
      <c r="H21" s="374">
        <v>6.2580000000000009</v>
      </c>
      <c r="I21" s="374">
        <v>6.2549999999999999</v>
      </c>
      <c r="J21" s="374">
        <v>6.2620000000000005</v>
      </c>
      <c r="K21" s="374">
        <v>6.2750000000000004</v>
      </c>
      <c r="L21" s="374">
        <v>6.2750000000000021</v>
      </c>
      <c r="M21" s="374">
        <v>6.2780000000000005</v>
      </c>
      <c r="N21" s="374">
        <v>6.2809999999999997</v>
      </c>
    </row>
    <row r="22" spans="1:14" ht="16" customHeight="1">
      <c r="A22" s="67" t="s">
        <v>35</v>
      </c>
      <c r="B22" s="913">
        <v>6.6613743075279732</v>
      </c>
      <c r="C22" s="374">
        <v>6.5859999999999994</v>
      </c>
      <c r="D22" s="374">
        <v>6.5939999999999994</v>
      </c>
      <c r="E22" s="374">
        <v>6.625</v>
      </c>
      <c r="F22" s="374">
        <v>6.6580000000000013</v>
      </c>
      <c r="G22" s="374">
        <v>6.6620000000000008</v>
      </c>
      <c r="H22" s="374">
        <v>6.67</v>
      </c>
      <c r="I22" s="374">
        <v>6.6760000000000002</v>
      </c>
      <c r="J22" s="374">
        <v>6.6819999999999995</v>
      </c>
      <c r="K22" s="374">
        <v>6.6859999999999991</v>
      </c>
      <c r="L22" s="374">
        <v>6.6890000000000018</v>
      </c>
      <c r="M22" s="374">
        <v>6.6920000000000002</v>
      </c>
      <c r="N22" s="374">
        <v>6.697000000000001</v>
      </c>
    </row>
    <row r="23" spans="1:14" ht="16" customHeight="1">
      <c r="A23" s="67" t="s">
        <v>36</v>
      </c>
      <c r="B23" s="913">
        <v>6.0978236737383114</v>
      </c>
      <c r="C23" s="374">
        <v>6.0260000000000016</v>
      </c>
      <c r="D23" s="374">
        <v>6.0300000000000011</v>
      </c>
      <c r="E23" s="374">
        <v>6.0629999999999997</v>
      </c>
      <c r="F23" s="374">
        <v>6.094400000000002</v>
      </c>
      <c r="G23" s="374">
        <v>6.1001999999999992</v>
      </c>
      <c r="H23" s="374">
        <v>6.1080000000000005</v>
      </c>
      <c r="I23" s="374">
        <v>6.1147999999999989</v>
      </c>
      <c r="J23" s="374">
        <v>6.1219999999999999</v>
      </c>
      <c r="K23" s="374">
        <v>6.125</v>
      </c>
      <c r="L23" s="374">
        <v>6.1270000000000007</v>
      </c>
      <c r="M23" s="374">
        <v>6.1290000000000004</v>
      </c>
      <c r="N23" s="374">
        <v>6.1310000000000002</v>
      </c>
    </row>
    <row r="24" spans="1:14" ht="16" customHeight="1">
      <c r="A24" s="67" t="s">
        <v>37</v>
      </c>
      <c r="B24" s="913">
        <v>6.815294355570054</v>
      </c>
      <c r="C24" s="374">
        <v>6.7405000000000008</v>
      </c>
      <c r="D24" s="374">
        <v>6.753000000000001</v>
      </c>
      <c r="E24" s="374">
        <v>6.7830000000000013</v>
      </c>
      <c r="F24" s="374">
        <v>6.8102</v>
      </c>
      <c r="G24" s="374">
        <v>6.8160000000000007</v>
      </c>
      <c r="H24" s="374">
        <v>6.8229999999999986</v>
      </c>
      <c r="I24" s="374">
        <v>6.8294000000000006</v>
      </c>
      <c r="J24" s="374">
        <v>6.8360000000000012</v>
      </c>
      <c r="K24" s="374">
        <v>6.8410000000000011</v>
      </c>
      <c r="L24" s="374">
        <v>6.8440000000000003</v>
      </c>
      <c r="M24" s="374">
        <v>6.8470000000000013</v>
      </c>
      <c r="N24" s="374">
        <v>6.85</v>
      </c>
    </row>
    <row r="25" spans="1:14" ht="16" customHeight="1">
      <c r="A25" s="67" t="s">
        <v>38</v>
      </c>
      <c r="B25" s="913">
        <v>6.5150081487421829</v>
      </c>
      <c r="C25" s="374">
        <v>6.461999999999998</v>
      </c>
      <c r="D25" s="374">
        <v>6.4639999999999995</v>
      </c>
      <c r="E25" s="374">
        <v>6.4890000000000008</v>
      </c>
      <c r="F25" s="374">
        <v>6.5119999999999996</v>
      </c>
      <c r="G25" s="374">
        <v>6.5159999999999982</v>
      </c>
      <c r="H25" s="374">
        <v>6.5220000000000002</v>
      </c>
      <c r="I25" s="374">
        <v>6.5270000000000019</v>
      </c>
      <c r="J25" s="374">
        <v>6.532</v>
      </c>
      <c r="K25" s="374">
        <v>6.5350000000000001</v>
      </c>
      <c r="L25" s="374">
        <v>6.5359999999999996</v>
      </c>
      <c r="M25" s="374">
        <v>6.536999999999999</v>
      </c>
      <c r="N25" s="374">
        <v>6.5379999999999985</v>
      </c>
    </row>
    <row r="26" spans="1:14" ht="16" customHeight="1">
      <c r="A26" s="67" t="s">
        <v>39</v>
      </c>
      <c r="B26" s="913">
        <v>5.458411416541213</v>
      </c>
      <c r="C26" s="374">
        <v>5.4169013516206155</v>
      </c>
      <c r="D26" s="374">
        <v>5.4280199410120638</v>
      </c>
      <c r="E26" s="374">
        <v>5.4424129461941924</v>
      </c>
      <c r="F26" s="374">
        <v>5.4559725338649905</v>
      </c>
      <c r="G26" s="374">
        <v>5.4598972485262385</v>
      </c>
      <c r="H26" s="374">
        <v>5.4635126021015683</v>
      </c>
      <c r="I26" s="374">
        <v>5.4673000156825857</v>
      </c>
      <c r="J26" s="374">
        <v>5.4711748185060447</v>
      </c>
      <c r="K26" s="374">
        <v>5.4742236961376065</v>
      </c>
      <c r="L26" s="374">
        <v>5.4748347543449647</v>
      </c>
      <c r="M26" s="374">
        <v>5.4774210749327272</v>
      </c>
      <c r="N26" s="374">
        <v>5.4800505903539989</v>
      </c>
    </row>
    <row r="27" spans="1:14" ht="16" customHeight="1">
      <c r="A27" s="67" t="s">
        <v>97</v>
      </c>
      <c r="B27" s="913">
        <v>5.4481591829227813</v>
      </c>
      <c r="C27" s="374">
        <v>5.4017499999999998</v>
      </c>
      <c r="D27" s="374">
        <v>5.4189999999999996</v>
      </c>
      <c r="E27" s="374">
        <v>5.4339999999999993</v>
      </c>
      <c r="F27" s="374">
        <v>5.4470000000000001</v>
      </c>
      <c r="G27" s="374">
        <v>5.4509999999999987</v>
      </c>
      <c r="H27" s="374">
        <v>5.4540000000000006</v>
      </c>
      <c r="I27" s="374">
        <v>5.4574999999999996</v>
      </c>
      <c r="J27" s="374">
        <v>5.4610000000000003</v>
      </c>
      <c r="K27" s="374">
        <v>5.4640000000000013</v>
      </c>
      <c r="L27" s="374">
        <v>5.4640000000000004</v>
      </c>
      <c r="M27" s="374">
        <v>5.4660000000000011</v>
      </c>
      <c r="N27" s="374">
        <v>5.4680000000000009</v>
      </c>
    </row>
    <row r="28" spans="1:14" ht="16" customHeight="1">
      <c r="A28" s="67" t="s">
        <v>98</v>
      </c>
      <c r="B28" s="913">
        <v>5.4642317864055432</v>
      </c>
      <c r="C28" s="374">
        <v>5.4254999999999995</v>
      </c>
      <c r="D28" s="374">
        <v>5.4330000000000007</v>
      </c>
      <c r="E28" s="374">
        <v>5.4469999999999992</v>
      </c>
      <c r="F28" s="374">
        <v>5.4610000000000003</v>
      </c>
      <c r="G28" s="374">
        <v>5.4649999999999999</v>
      </c>
      <c r="H28" s="374">
        <v>5.4690000000000003</v>
      </c>
      <c r="I28" s="374">
        <v>5.4730000000000008</v>
      </c>
      <c r="J28" s="374">
        <v>5.4770000000000003</v>
      </c>
      <c r="K28" s="374">
        <v>5.48</v>
      </c>
      <c r="L28" s="374">
        <v>5.4809999999999999</v>
      </c>
      <c r="M28" s="374">
        <v>5.484</v>
      </c>
      <c r="N28" s="374">
        <v>5.4870000000000001</v>
      </c>
    </row>
    <row r="29" spans="1:14" ht="16" customHeight="1">
      <c r="A29" s="67" t="s">
        <v>42</v>
      </c>
      <c r="B29" s="913">
        <v>7.6730829812759964</v>
      </c>
      <c r="C29" s="374">
        <v>7.6025</v>
      </c>
      <c r="D29" s="374">
        <v>7.62</v>
      </c>
      <c r="E29" s="374">
        <v>7.6439999999999984</v>
      </c>
      <c r="F29" s="374">
        <v>7.6650000000000018</v>
      </c>
      <c r="G29" s="374">
        <v>7.67</v>
      </c>
      <c r="H29" s="374">
        <v>7.6790000000000003</v>
      </c>
      <c r="I29" s="374">
        <v>7.6859999999999999</v>
      </c>
      <c r="J29" s="374">
        <v>7.6929999999999996</v>
      </c>
      <c r="K29" s="374">
        <v>7.6969999999999992</v>
      </c>
      <c r="L29" s="374">
        <v>7.7000000000000011</v>
      </c>
      <c r="M29" s="374">
        <v>7.7050000000000001</v>
      </c>
      <c r="N29" s="374">
        <v>7.7099999999999991</v>
      </c>
    </row>
    <row r="30" spans="1:14" ht="16" customHeight="1">
      <c r="A30" s="67" t="s">
        <v>43</v>
      </c>
      <c r="B30" s="913">
        <v>7.5267098237252821</v>
      </c>
      <c r="C30" s="374">
        <v>7.479750000000001</v>
      </c>
      <c r="D30" s="374">
        <v>7.4860000000000007</v>
      </c>
      <c r="E30" s="374">
        <v>7.5130000000000017</v>
      </c>
      <c r="F30" s="374">
        <v>7.52</v>
      </c>
      <c r="G30" s="374">
        <v>7.5240000000000009</v>
      </c>
      <c r="H30" s="374">
        <v>7.5300000000000011</v>
      </c>
      <c r="I30" s="374">
        <v>7.5350000000000001</v>
      </c>
      <c r="J30" s="374">
        <v>7.5399999999999991</v>
      </c>
      <c r="K30" s="374">
        <v>7.5429999999999993</v>
      </c>
      <c r="L30" s="374">
        <v>7.5439999999999987</v>
      </c>
      <c r="M30" s="374">
        <v>7.5460000000000012</v>
      </c>
      <c r="N30" s="374">
        <v>7.55</v>
      </c>
    </row>
    <row r="31" spans="1:14" ht="16" customHeight="1">
      <c r="A31" s="67" t="s">
        <v>44</v>
      </c>
      <c r="B31" s="913">
        <v>7.0388436456732997</v>
      </c>
      <c r="C31" s="374">
        <v>6.9864999999999995</v>
      </c>
      <c r="D31" s="374">
        <v>7.0039999999999996</v>
      </c>
      <c r="E31" s="374">
        <v>7.0180000000000007</v>
      </c>
      <c r="F31" s="374">
        <v>7.0320000000000009</v>
      </c>
      <c r="G31" s="374">
        <v>7.0370000000000008</v>
      </c>
      <c r="H31" s="374">
        <v>7.0410000000000004</v>
      </c>
      <c r="I31" s="374">
        <v>7.0455000000000005</v>
      </c>
      <c r="J31" s="374">
        <v>7.0500000000000007</v>
      </c>
      <c r="K31" s="374">
        <v>7.0540000000000003</v>
      </c>
      <c r="L31" s="374">
        <v>7.0570000000000004</v>
      </c>
      <c r="M31" s="374">
        <v>7.0630000000000006</v>
      </c>
      <c r="N31" s="374">
        <v>7.0689999999999991</v>
      </c>
    </row>
    <row r="32" spans="1:14" ht="16" customHeight="1">
      <c r="A32" s="67" t="s">
        <v>45</v>
      </c>
      <c r="B32" s="913">
        <v>7.0334884500108572</v>
      </c>
      <c r="C32" s="374">
        <v>6.9490000000000007</v>
      </c>
      <c r="D32" s="374">
        <v>6.9660000000000002</v>
      </c>
      <c r="E32" s="374">
        <v>7.0010000000000012</v>
      </c>
      <c r="F32" s="374">
        <v>7.0330000000000013</v>
      </c>
      <c r="G32" s="374">
        <v>7.0379999999999985</v>
      </c>
      <c r="H32" s="374">
        <v>7.0460000000000012</v>
      </c>
      <c r="I32" s="374">
        <v>7.0524999999999993</v>
      </c>
      <c r="J32" s="374">
        <v>7.0590000000000011</v>
      </c>
      <c r="K32" s="374">
        <v>7.0630000000000006</v>
      </c>
      <c r="L32" s="374">
        <v>7.0659999999999998</v>
      </c>
      <c r="M32" s="374">
        <v>7.0689999999999991</v>
      </c>
      <c r="N32" s="374">
        <v>7.073999999999999</v>
      </c>
    </row>
    <row r="33" spans="1:14" ht="16" customHeight="1">
      <c r="A33" s="67" t="s">
        <v>46</v>
      </c>
      <c r="B33" s="913">
        <v>7.0528154995421755</v>
      </c>
      <c r="C33" s="374">
        <v>6.9777500000000003</v>
      </c>
      <c r="D33" s="374">
        <v>6.995000000000001</v>
      </c>
      <c r="E33" s="374">
        <v>7.019000000000001</v>
      </c>
      <c r="F33" s="374">
        <v>7.0410000000000004</v>
      </c>
      <c r="G33" s="374">
        <v>7.0449999999999982</v>
      </c>
      <c r="H33" s="374">
        <v>7.0550000000000015</v>
      </c>
      <c r="I33" s="374">
        <v>7.0619999999999994</v>
      </c>
      <c r="J33" s="374">
        <v>7.0690000000000008</v>
      </c>
      <c r="K33" s="374">
        <v>7.072000000000001</v>
      </c>
      <c r="L33" s="374">
        <v>7.0759999999999987</v>
      </c>
      <c r="M33" s="374">
        <v>7.08</v>
      </c>
      <c r="N33" s="374">
        <v>7.0849999999999973</v>
      </c>
    </row>
    <row r="34" spans="1:14" ht="16" customHeight="1" thickBot="1">
      <c r="A34" s="113" t="s">
        <v>47</v>
      </c>
      <c r="B34" s="914">
        <v>6.7448882232925111</v>
      </c>
      <c r="C34" s="375">
        <v>6.6864999999999997</v>
      </c>
      <c r="D34" s="375">
        <v>6.6939999999999991</v>
      </c>
      <c r="E34" s="375">
        <v>6.7159999999999993</v>
      </c>
      <c r="F34" s="375">
        <v>6.7360000000000007</v>
      </c>
      <c r="G34" s="375">
        <v>6.738999999999999</v>
      </c>
      <c r="H34" s="375">
        <v>6.7480000000000002</v>
      </c>
      <c r="I34" s="375">
        <v>6.7540000000000013</v>
      </c>
      <c r="J34" s="375">
        <v>6.76</v>
      </c>
      <c r="K34" s="375">
        <v>6.7640000000000011</v>
      </c>
      <c r="L34" s="375">
        <v>6.7680000000000007</v>
      </c>
      <c r="M34" s="375">
        <v>6.774</v>
      </c>
      <c r="N34" s="375">
        <v>6.7830000000000013</v>
      </c>
    </row>
    <row r="35" spans="1:14" ht="9" customHeight="1">
      <c r="A35" s="449" t="s">
        <v>330</v>
      </c>
      <c r="B35" s="520"/>
      <c r="C35" s="521"/>
      <c r="D35" s="521"/>
      <c r="E35" s="379"/>
      <c r="F35" s="379"/>
      <c r="G35" s="379"/>
      <c r="H35" s="379"/>
      <c r="I35" s="379"/>
      <c r="J35" s="379"/>
      <c r="K35" s="379"/>
      <c r="L35" s="379"/>
      <c r="M35" s="379"/>
      <c r="N35" s="379"/>
    </row>
    <row r="36" spans="1:14" ht="9" customHeight="1">
      <c r="A36" s="449" t="s">
        <v>304</v>
      </c>
      <c r="B36" s="521"/>
      <c r="C36" s="521"/>
      <c r="D36" s="521"/>
      <c r="E36" s="379"/>
      <c r="F36" s="379"/>
      <c r="G36" s="379"/>
      <c r="H36" s="379"/>
      <c r="I36" s="379"/>
      <c r="J36" s="379"/>
      <c r="K36" s="379"/>
      <c r="L36" s="379"/>
      <c r="M36" s="379"/>
      <c r="N36" s="379"/>
    </row>
    <row r="37" spans="1:14" ht="9" customHeight="1">
      <c r="A37" s="451" t="s">
        <v>303</v>
      </c>
      <c r="B37" s="464"/>
      <c r="C37" s="464"/>
      <c r="D37" s="464"/>
      <c r="E37" s="173"/>
      <c r="F37" s="173"/>
      <c r="G37" s="173"/>
      <c r="H37" s="173"/>
      <c r="I37" s="173"/>
      <c r="J37" s="173"/>
      <c r="K37" s="173"/>
      <c r="L37" s="173"/>
      <c r="M37" s="173"/>
      <c r="N37" s="173"/>
    </row>
    <row r="38" spans="1:14" ht="13.25" customHeight="1">
      <c r="A38" s="522"/>
      <c r="B38" s="464"/>
      <c r="C38" s="464"/>
      <c r="D38" s="464"/>
    </row>
    <row r="39" spans="1:14" ht="13.25" customHeight="1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Hoja105">
    <tabColor theme="9" tint="0.59999389629810485"/>
  </sheetPr>
  <dimension ref="A1:AB39"/>
  <sheetViews>
    <sheetView showGridLines="0" zoomScaleNormal="100" workbookViewId="0">
      <selection activeCell="P8" sqref="P8"/>
    </sheetView>
  </sheetViews>
  <sheetFormatPr baseColWidth="10" defaultColWidth="7" defaultRowHeight="13.25" customHeight="1"/>
  <cols>
    <col min="1" max="1" width="14" style="67" customWidth="1"/>
    <col min="2" max="2" width="9" style="67" customWidth="1"/>
    <col min="3" max="14" width="9.19921875" style="67" customWidth="1"/>
    <col min="15" max="16384" width="7" style="67"/>
  </cols>
  <sheetData>
    <row r="1" spans="1:28" ht="17" customHeight="1">
      <c r="A1" s="381" t="s">
        <v>542</v>
      </c>
      <c r="B1" s="381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</row>
    <row r="2" spans="1:28" ht="13.25" customHeight="1">
      <c r="A2" s="377" t="s">
        <v>294</v>
      </c>
      <c r="B2" s="226"/>
      <c r="C2" s="101"/>
      <c r="D2" s="101"/>
      <c r="E2" s="101"/>
      <c r="F2" s="101"/>
      <c r="G2" s="104"/>
      <c r="H2" s="103"/>
      <c r="I2" s="101"/>
      <c r="J2" s="101"/>
      <c r="K2" s="101"/>
      <c r="L2" s="101"/>
      <c r="M2" s="101"/>
      <c r="N2" s="101"/>
    </row>
    <row r="3" spans="1:28" ht="6" customHeight="1" thickBot="1">
      <c r="A3" s="103"/>
      <c r="B3" s="101"/>
      <c r="C3" s="101"/>
      <c r="D3" s="101"/>
      <c r="E3" s="101"/>
      <c r="F3" s="101"/>
      <c r="G3" s="104"/>
      <c r="H3" s="103"/>
      <c r="I3" s="101"/>
      <c r="J3" s="101"/>
      <c r="K3" s="101"/>
      <c r="L3" s="101"/>
      <c r="M3" s="101"/>
      <c r="N3" s="101"/>
    </row>
    <row r="4" spans="1:28" ht="18" customHeight="1">
      <c r="A4" s="732" t="s">
        <v>16</v>
      </c>
      <c r="B4" s="732" t="s">
        <v>52</v>
      </c>
      <c r="C4" s="732" t="s">
        <v>53</v>
      </c>
      <c r="D4" s="732" t="s">
        <v>54</v>
      </c>
      <c r="E4" s="732" t="s">
        <v>55</v>
      </c>
      <c r="F4" s="732" t="s">
        <v>56</v>
      </c>
      <c r="G4" s="732" t="s">
        <v>57</v>
      </c>
      <c r="H4" s="732" t="s">
        <v>58</v>
      </c>
      <c r="I4" s="732" t="s">
        <v>59</v>
      </c>
      <c r="J4" s="732" t="s">
        <v>60</v>
      </c>
      <c r="K4" s="732" t="s">
        <v>61</v>
      </c>
      <c r="L4" s="732" t="s">
        <v>62</v>
      </c>
      <c r="M4" s="732" t="s">
        <v>63</v>
      </c>
      <c r="N4" s="732" t="s">
        <v>64</v>
      </c>
    </row>
    <row r="5" spans="1:28" ht="18" customHeight="1">
      <c r="A5" s="693" t="s">
        <v>100</v>
      </c>
      <c r="B5" s="912">
        <v>5.9100678408924443</v>
      </c>
      <c r="C5" s="695">
        <v>5.8481597152237388</v>
      </c>
      <c r="D5" s="695">
        <v>5.8567271555058298</v>
      </c>
      <c r="E5" s="695">
        <v>5.8743652194321276</v>
      </c>
      <c r="F5" s="695">
        <v>5.8860760140893182</v>
      </c>
      <c r="G5" s="695">
        <v>5.8989613452142491</v>
      </c>
      <c r="H5" s="695">
        <v>5.9180632043267725</v>
      </c>
      <c r="I5" s="695">
        <v>5.9221803663922552</v>
      </c>
      <c r="J5" s="695">
        <v>5.9365086916487888</v>
      </c>
      <c r="K5" s="695">
        <v>5.9403930105267353</v>
      </c>
      <c r="L5" s="695">
        <v>5.9478978295328631</v>
      </c>
      <c r="M5" s="695">
        <v>5.9461190793842791</v>
      </c>
      <c r="N5" s="695">
        <v>5.9378803116245082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</row>
    <row r="6" spans="1:28" ht="16" customHeight="1">
      <c r="A6" s="67" t="s">
        <v>19</v>
      </c>
      <c r="B6" s="913">
        <v>6.0019768648657319</v>
      </c>
      <c r="C6" s="374">
        <v>5.9344999999999999</v>
      </c>
      <c r="D6" s="374">
        <v>5.9399999999999995</v>
      </c>
      <c r="E6" s="374">
        <v>5.9630000000000001</v>
      </c>
      <c r="F6" s="374">
        <v>5.9840000000000009</v>
      </c>
      <c r="G6" s="374">
        <v>5.9939999999999998</v>
      </c>
      <c r="H6" s="374">
        <v>6.0040000000000004</v>
      </c>
      <c r="I6" s="374">
        <v>6.0139999999999985</v>
      </c>
      <c r="J6" s="374">
        <v>6.024</v>
      </c>
      <c r="K6" s="374">
        <v>6.03</v>
      </c>
      <c r="L6" s="374">
        <v>6.0349999999999993</v>
      </c>
      <c r="M6" s="374">
        <v>6.0390000000000006</v>
      </c>
      <c r="N6" s="374">
        <v>6.0429999999999993</v>
      </c>
      <c r="O6" s="10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</row>
    <row r="7" spans="1:28" ht="16" customHeight="1">
      <c r="A7" s="67" t="s">
        <v>20</v>
      </c>
      <c r="B7" s="913">
        <v>6.0266436287086158</v>
      </c>
      <c r="C7" s="374">
        <v>5.947000000000001</v>
      </c>
      <c r="D7" s="374">
        <v>5.9529999999999994</v>
      </c>
      <c r="E7" s="374">
        <v>5.98</v>
      </c>
      <c r="F7" s="374">
        <v>6.0039999999999996</v>
      </c>
      <c r="G7" s="374">
        <v>6.0160000000000009</v>
      </c>
      <c r="H7" s="374">
        <v>6.0280000000000014</v>
      </c>
      <c r="I7" s="374">
        <v>6.0400000000000018</v>
      </c>
      <c r="J7" s="374">
        <v>6.0519999999999996</v>
      </c>
      <c r="K7" s="374">
        <v>6.0590000000000011</v>
      </c>
      <c r="L7" s="374">
        <v>6.0682999999999998</v>
      </c>
      <c r="M7" s="374">
        <v>6.0739999999999981</v>
      </c>
      <c r="N7" s="374">
        <v>6.0796999999999999</v>
      </c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</row>
    <row r="8" spans="1:28" ht="16" customHeight="1">
      <c r="A8" s="67" t="s">
        <v>21</v>
      </c>
      <c r="B8" s="913">
        <v>6.116820233144602</v>
      </c>
      <c r="C8" s="374">
        <v>6.0470000000000006</v>
      </c>
      <c r="D8" s="374">
        <v>6.0529999999999982</v>
      </c>
      <c r="E8" s="374">
        <v>6.0819999999999999</v>
      </c>
      <c r="F8" s="374">
        <v>6.109</v>
      </c>
      <c r="G8" s="374">
        <v>6.1180000000000003</v>
      </c>
      <c r="H8" s="374">
        <v>6.1270000000000007</v>
      </c>
      <c r="I8" s="374">
        <v>6.136000000000001</v>
      </c>
      <c r="J8" s="374">
        <v>6.1450000000000005</v>
      </c>
      <c r="K8" s="374">
        <v>6.1481000000000012</v>
      </c>
      <c r="L8" s="374">
        <v>6.1541499999999987</v>
      </c>
      <c r="M8" s="374">
        <v>6.160000000000001</v>
      </c>
      <c r="N8" s="374">
        <v>6.1658500000000007</v>
      </c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</row>
    <row r="9" spans="1:28" ht="16" customHeight="1">
      <c r="A9" s="67" t="s">
        <v>22</v>
      </c>
      <c r="B9" s="913">
        <v>6.510363271617928</v>
      </c>
      <c r="C9" s="374">
        <v>6.4459999999999988</v>
      </c>
      <c r="D9" s="374">
        <v>6.4519999999999991</v>
      </c>
      <c r="E9" s="374">
        <v>6.4729999999999999</v>
      </c>
      <c r="F9" s="374">
        <v>6.4909999999999997</v>
      </c>
      <c r="G9" s="374">
        <v>6.5009999999999994</v>
      </c>
      <c r="H9" s="374">
        <v>6.5110000000000001</v>
      </c>
      <c r="I9" s="374">
        <v>6.5210000000000026</v>
      </c>
      <c r="J9" s="374">
        <v>6.5309999999999988</v>
      </c>
      <c r="K9" s="374">
        <v>6.5359999999999987</v>
      </c>
      <c r="L9" s="374">
        <v>6.5434999999999981</v>
      </c>
      <c r="M9" s="374">
        <v>6.5509999999999957</v>
      </c>
      <c r="N9" s="374">
        <v>6.5584999999999951</v>
      </c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</row>
    <row r="10" spans="1:28" ht="16" customHeight="1">
      <c r="A10" s="67" t="s">
        <v>23</v>
      </c>
      <c r="B10" s="913">
        <v>6.2180294793101787</v>
      </c>
      <c r="C10" s="374">
        <v>6.1435093736841955</v>
      </c>
      <c r="D10" s="374">
        <v>6.1525578762437441</v>
      </c>
      <c r="E10" s="374">
        <v>6.1760511703379279</v>
      </c>
      <c r="F10" s="374">
        <v>6.2000703052296995</v>
      </c>
      <c r="G10" s="374">
        <v>6.2135599063854494</v>
      </c>
      <c r="H10" s="374">
        <v>6.2253993208316425</v>
      </c>
      <c r="I10" s="374">
        <v>6.2340767209674546</v>
      </c>
      <c r="J10" s="374">
        <v>6.24323592102186</v>
      </c>
      <c r="K10" s="374">
        <v>6.2477306969732123</v>
      </c>
      <c r="L10" s="374">
        <v>6.2537892280342655</v>
      </c>
      <c r="M10" s="374">
        <v>6.2549167382406878</v>
      </c>
      <c r="N10" s="374">
        <v>6.2597986876639018</v>
      </c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</row>
    <row r="11" spans="1:28" ht="16" customHeight="1">
      <c r="A11" s="67" t="s">
        <v>94</v>
      </c>
      <c r="B11" s="913">
        <v>6.2108186851558438</v>
      </c>
      <c r="C11" s="374">
        <v>6.141</v>
      </c>
      <c r="D11" s="374">
        <v>6.1500000000000012</v>
      </c>
      <c r="E11" s="374">
        <v>6.1710000000000003</v>
      </c>
      <c r="F11" s="374">
        <v>6.19</v>
      </c>
      <c r="G11" s="374">
        <v>6.2010000000000005</v>
      </c>
      <c r="H11" s="374">
        <v>6.2119999999999989</v>
      </c>
      <c r="I11" s="374">
        <v>6.222999999999999</v>
      </c>
      <c r="J11" s="374">
        <v>6.234</v>
      </c>
      <c r="K11" s="374">
        <v>6.2380000000000013</v>
      </c>
      <c r="L11" s="374">
        <v>6.2455000000000016</v>
      </c>
      <c r="M11" s="374">
        <v>6.25</v>
      </c>
      <c r="N11" s="374">
        <v>6.2544999999999993</v>
      </c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</row>
    <row r="12" spans="1:28" ht="16" customHeight="1">
      <c r="A12" s="67" t="s">
        <v>95</v>
      </c>
      <c r="B12" s="913">
        <v>6.1981870163631658</v>
      </c>
      <c r="C12" s="374">
        <v>6.1304999999999996</v>
      </c>
      <c r="D12" s="374">
        <v>6.14</v>
      </c>
      <c r="E12" s="374">
        <v>6.1630000000000011</v>
      </c>
      <c r="F12" s="374">
        <v>6.1840000000000011</v>
      </c>
      <c r="G12" s="374">
        <v>6.194</v>
      </c>
      <c r="H12" s="374">
        <v>6.2039999999999988</v>
      </c>
      <c r="I12" s="374">
        <v>6.2139999999999986</v>
      </c>
      <c r="J12" s="374">
        <v>6.2240000000000011</v>
      </c>
      <c r="K12" s="374">
        <v>6.2279999999999998</v>
      </c>
      <c r="L12" s="374">
        <v>6.23</v>
      </c>
      <c r="M12" s="374">
        <v>6.2320000000000002</v>
      </c>
      <c r="N12" s="374">
        <v>6.2340000000000018</v>
      </c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</row>
    <row r="13" spans="1:28" ht="16" customHeight="1">
      <c r="A13" s="67" t="s">
        <v>124</v>
      </c>
      <c r="B13" s="913">
        <v>6.2645112913762793</v>
      </c>
      <c r="C13" s="374">
        <v>6.1719999999999997</v>
      </c>
      <c r="D13" s="374">
        <v>6.1810000000000009</v>
      </c>
      <c r="E13" s="374">
        <v>6.2119999999999997</v>
      </c>
      <c r="F13" s="374">
        <v>6.2410000000000005</v>
      </c>
      <c r="G13" s="374">
        <v>6.2559999999999985</v>
      </c>
      <c r="H13" s="374">
        <v>6.270999999999999</v>
      </c>
      <c r="I13" s="374">
        <v>6.2859999999999987</v>
      </c>
      <c r="J13" s="374">
        <v>6.3010000000000002</v>
      </c>
      <c r="K13" s="374">
        <v>6.3060000000000009</v>
      </c>
      <c r="L13" s="374">
        <v>6.3109999999999999</v>
      </c>
      <c r="M13" s="374">
        <v>6.3139999999999992</v>
      </c>
      <c r="N13" s="374">
        <v>6.3170000000000002</v>
      </c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</row>
    <row r="14" spans="1:28" ht="16" customHeight="1">
      <c r="A14" s="67" t="s">
        <v>27</v>
      </c>
      <c r="B14" s="913">
        <v>5.7689293170306151</v>
      </c>
      <c r="C14" s="374">
        <v>5.7409999999999988</v>
      </c>
      <c r="D14" s="374">
        <v>5.75</v>
      </c>
      <c r="E14" s="374">
        <v>5.77</v>
      </c>
      <c r="F14" s="374">
        <v>5.7709999999999999</v>
      </c>
      <c r="G14" s="374">
        <v>5.769000000000001</v>
      </c>
      <c r="H14" s="374">
        <v>5.7720000000000011</v>
      </c>
      <c r="I14" s="374">
        <v>5.7725000000000017</v>
      </c>
      <c r="J14" s="374">
        <v>5.7730000000000006</v>
      </c>
      <c r="K14" s="374">
        <v>5.7750000000000012</v>
      </c>
      <c r="L14" s="374">
        <v>5.7762500000000001</v>
      </c>
      <c r="M14" s="374">
        <v>5.7774999999999999</v>
      </c>
      <c r="N14" s="374">
        <v>5.7789999999999999</v>
      </c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</row>
    <row r="15" spans="1:28" ht="16" customHeight="1">
      <c r="A15" s="67" t="s">
        <v>28</v>
      </c>
      <c r="B15" s="913">
        <v>5.568096548015574</v>
      </c>
      <c r="C15" s="374">
        <v>5.5269999999999992</v>
      </c>
      <c r="D15" s="374">
        <v>5.5359999999999996</v>
      </c>
      <c r="E15" s="374">
        <v>5.5519999999999987</v>
      </c>
      <c r="F15" s="374">
        <v>5.5659999999999998</v>
      </c>
      <c r="G15" s="374">
        <v>5.5700000000000012</v>
      </c>
      <c r="H15" s="374">
        <v>5.5740000000000007</v>
      </c>
      <c r="I15" s="374">
        <v>5.5780000000000012</v>
      </c>
      <c r="J15" s="374">
        <v>5.581999999999999</v>
      </c>
      <c r="K15" s="374">
        <v>5.5849999999999991</v>
      </c>
      <c r="L15" s="374">
        <v>5.5884999999999998</v>
      </c>
      <c r="M15" s="374">
        <v>5.5920000000000005</v>
      </c>
      <c r="N15" s="374">
        <v>5.5954999999999995</v>
      </c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</row>
    <row r="16" spans="1:28" ht="16" customHeight="1">
      <c r="A16" s="67" t="s">
        <v>29</v>
      </c>
      <c r="B16" s="913">
        <v>5.9442269629347502</v>
      </c>
      <c r="C16" s="374">
        <v>5.8519999999999994</v>
      </c>
      <c r="D16" s="374">
        <v>5.8630000000000004</v>
      </c>
      <c r="E16" s="374">
        <v>5.8909999999999991</v>
      </c>
      <c r="F16" s="374">
        <v>5.9169999999999998</v>
      </c>
      <c r="G16" s="374">
        <v>5.9310000000000009</v>
      </c>
      <c r="H16" s="374">
        <v>5.9449999999999994</v>
      </c>
      <c r="I16" s="374">
        <v>5.9590000000000005</v>
      </c>
      <c r="J16" s="374">
        <v>5.9729999999999999</v>
      </c>
      <c r="K16" s="374">
        <v>5.9809999999999999</v>
      </c>
      <c r="L16" s="374">
        <v>5.9840000000000009</v>
      </c>
      <c r="M16" s="374">
        <v>5.9870000000000001</v>
      </c>
      <c r="N16" s="374">
        <v>5.99</v>
      </c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</row>
    <row r="17" spans="1:28" ht="16" customHeight="1">
      <c r="A17" s="67" t="s">
        <v>30</v>
      </c>
      <c r="B17" s="913">
        <v>5.7935902310052967</v>
      </c>
      <c r="C17" s="374">
        <v>5.7264999999999997</v>
      </c>
      <c r="D17" s="374">
        <v>5.7340000000000009</v>
      </c>
      <c r="E17" s="374">
        <v>5.753000000000001</v>
      </c>
      <c r="F17" s="374">
        <v>5.7700000000000005</v>
      </c>
      <c r="G17" s="374">
        <v>5.7809999999999988</v>
      </c>
      <c r="H17" s="374">
        <v>5.7920000000000007</v>
      </c>
      <c r="I17" s="374">
        <v>5.8029999999999999</v>
      </c>
      <c r="J17" s="374">
        <v>5.8139999999999992</v>
      </c>
      <c r="K17" s="374">
        <v>5.82</v>
      </c>
      <c r="L17" s="374">
        <v>5.8285</v>
      </c>
      <c r="M17" s="374">
        <v>5.8339999999999996</v>
      </c>
      <c r="N17" s="374">
        <v>5.8394999999999992</v>
      </c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</row>
    <row r="18" spans="1:28" ht="16" customHeight="1">
      <c r="A18" s="67" t="s">
        <v>31</v>
      </c>
      <c r="B18" s="913">
        <v>5.660824878747353</v>
      </c>
      <c r="C18" s="374">
        <v>5.601</v>
      </c>
      <c r="D18" s="374">
        <v>5.6120000000000001</v>
      </c>
      <c r="E18" s="374">
        <v>5.6319999999999997</v>
      </c>
      <c r="F18" s="374">
        <v>5.6509999999999998</v>
      </c>
      <c r="G18" s="374">
        <v>5.6580000000000004</v>
      </c>
      <c r="H18" s="374">
        <v>5.6650000000000018</v>
      </c>
      <c r="I18" s="374">
        <v>5.6720000000000015</v>
      </c>
      <c r="J18" s="374">
        <v>5.6790000000000003</v>
      </c>
      <c r="K18" s="374">
        <v>5.6810000000000009</v>
      </c>
      <c r="L18" s="374">
        <v>5.6854999999999993</v>
      </c>
      <c r="M18" s="374">
        <v>5.6899999999999977</v>
      </c>
      <c r="N18" s="374">
        <v>5.694499999999997</v>
      </c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</row>
    <row r="19" spans="1:28" ht="16" customHeight="1">
      <c r="A19" s="67" t="s">
        <v>32</v>
      </c>
      <c r="B19" s="913">
        <v>5.5877106624004602</v>
      </c>
      <c r="C19" s="374">
        <v>5.551499999999999</v>
      </c>
      <c r="D19" s="374">
        <v>5.5600000000000005</v>
      </c>
      <c r="E19" s="374">
        <v>5.581999999999999</v>
      </c>
      <c r="F19" s="374">
        <v>5.6009999999999991</v>
      </c>
      <c r="G19" s="374">
        <v>5.5929999999999991</v>
      </c>
      <c r="H19" s="374">
        <v>5.5970000000000013</v>
      </c>
      <c r="I19" s="374">
        <v>5.5949999999999998</v>
      </c>
      <c r="J19" s="374">
        <v>5.593</v>
      </c>
      <c r="K19" s="374">
        <v>5.589999999999999</v>
      </c>
      <c r="L19" s="374">
        <v>5.5874999999999977</v>
      </c>
      <c r="M19" s="374">
        <v>5.5869999999999989</v>
      </c>
      <c r="N19" s="374">
        <v>5.5865000000000009</v>
      </c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</row>
    <row r="20" spans="1:28" ht="16" customHeight="1">
      <c r="A20" s="67" t="s">
        <v>33</v>
      </c>
      <c r="B20" s="913">
        <v>6.4142551998509063</v>
      </c>
      <c r="C20" s="374">
        <v>6.3520000000000003</v>
      </c>
      <c r="D20" s="374">
        <v>6.36</v>
      </c>
      <c r="E20" s="374">
        <v>6.3810000000000011</v>
      </c>
      <c r="F20" s="374">
        <v>6.3979999999999997</v>
      </c>
      <c r="G20" s="374">
        <v>6.4070000000000009</v>
      </c>
      <c r="H20" s="374">
        <v>6.4160000000000013</v>
      </c>
      <c r="I20" s="374">
        <v>6.4250000000000007</v>
      </c>
      <c r="J20" s="374">
        <v>6.4339999999999993</v>
      </c>
      <c r="K20" s="374">
        <v>6.4380000000000006</v>
      </c>
      <c r="L20" s="374">
        <v>6.4444999999999988</v>
      </c>
      <c r="M20" s="374">
        <v>6.4499999999999993</v>
      </c>
      <c r="N20" s="374">
        <v>6.4555000000000007</v>
      </c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</row>
    <row r="21" spans="1:28" ht="16" customHeight="1">
      <c r="A21" s="67" t="s">
        <v>34</v>
      </c>
      <c r="B21" s="913">
        <v>5.3060929073675007</v>
      </c>
      <c r="C21" s="374">
        <v>5.2730000000000006</v>
      </c>
      <c r="D21" s="374">
        <v>5.2819999999999991</v>
      </c>
      <c r="E21" s="374">
        <v>5.3</v>
      </c>
      <c r="F21" s="374">
        <v>5.3150000000000013</v>
      </c>
      <c r="G21" s="374">
        <v>5.31</v>
      </c>
      <c r="H21" s="374">
        <v>5.3149999999999995</v>
      </c>
      <c r="I21" s="374">
        <v>5.3150000000000013</v>
      </c>
      <c r="J21" s="374">
        <v>5.3150000000000004</v>
      </c>
      <c r="K21" s="374">
        <v>5.3119999999999994</v>
      </c>
      <c r="L21" s="374">
        <v>5.3105000000000011</v>
      </c>
      <c r="M21" s="374">
        <v>5.3119999999999994</v>
      </c>
      <c r="N21" s="374">
        <v>5.3135000000000003</v>
      </c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</row>
    <row r="22" spans="1:28" ht="16" customHeight="1">
      <c r="A22" s="67" t="s">
        <v>35</v>
      </c>
      <c r="B22" s="913">
        <v>6.0140429364587371</v>
      </c>
      <c r="C22" s="374">
        <v>5.9580000000000011</v>
      </c>
      <c r="D22" s="374">
        <v>5.9669999999999996</v>
      </c>
      <c r="E22" s="374">
        <v>5.9829999999999997</v>
      </c>
      <c r="F22" s="374">
        <v>5.9969999999999999</v>
      </c>
      <c r="G22" s="374">
        <v>6.0060000000000002</v>
      </c>
      <c r="H22" s="374">
        <v>6.0150000000000006</v>
      </c>
      <c r="I22" s="374">
        <v>6.0239999999999991</v>
      </c>
      <c r="J22" s="374">
        <v>6.0330000000000004</v>
      </c>
      <c r="K22" s="374">
        <v>6.0380000000000011</v>
      </c>
      <c r="L22" s="374">
        <v>6.044999999999999</v>
      </c>
      <c r="M22" s="374">
        <v>6.05</v>
      </c>
      <c r="N22" s="374">
        <v>6.0549999999999997</v>
      </c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</row>
    <row r="23" spans="1:28" ht="16" customHeight="1">
      <c r="A23" s="67" t="s">
        <v>36</v>
      </c>
      <c r="B23" s="913">
        <v>5.7826261040170497</v>
      </c>
      <c r="C23" s="374">
        <v>5.7174999999999994</v>
      </c>
      <c r="D23" s="374">
        <v>5.7270000000000003</v>
      </c>
      <c r="E23" s="374">
        <v>5.7369999999999992</v>
      </c>
      <c r="F23" s="374">
        <v>5.7549999999999999</v>
      </c>
      <c r="G23" s="374">
        <v>5.7609999999999992</v>
      </c>
      <c r="H23" s="374">
        <v>5.7770000000000001</v>
      </c>
      <c r="I23" s="374">
        <v>5.8029999999999999</v>
      </c>
      <c r="J23" s="374">
        <v>5.8090000000000002</v>
      </c>
      <c r="K23" s="374">
        <v>5.8120000000000003</v>
      </c>
      <c r="L23" s="374">
        <v>5.8164999999999996</v>
      </c>
      <c r="M23" s="374">
        <v>5.8209999999999988</v>
      </c>
      <c r="N23" s="374">
        <v>5.825499999999999</v>
      </c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</row>
    <row r="24" spans="1:28" ht="16" customHeight="1">
      <c r="A24" s="67" t="s">
        <v>37</v>
      </c>
      <c r="B24" s="913">
        <v>5.9655041934300606</v>
      </c>
      <c r="C24" s="374">
        <v>5.9054999999999991</v>
      </c>
      <c r="D24" s="374">
        <v>5.9150000000000009</v>
      </c>
      <c r="E24" s="374">
        <v>5.9359999999999999</v>
      </c>
      <c r="F24" s="374">
        <v>5.9539999999999997</v>
      </c>
      <c r="G24" s="374">
        <v>5.9610000000000003</v>
      </c>
      <c r="H24" s="374">
        <v>5.9680000000000009</v>
      </c>
      <c r="I24" s="374">
        <v>5.9750000000000014</v>
      </c>
      <c r="J24" s="374">
        <v>5.9819999999999993</v>
      </c>
      <c r="K24" s="374">
        <v>5.9850000000000003</v>
      </c>
      <c r="L24" s="374">
        <v>5.99</v>
      </c>
      <c r="M24" s="374">
        <v>5.9950000000000019</v>
      </c>
      <c r="N24" s="374">
        <v>5.9999999999999991</v>
      </c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</row>
    <row r="25" spans="1:28" ht="16" customHeight="1">
      <c r="A25" s="67" t="s">
        <v>38</v>
      </c>
      <c r="B25" s="913">
        <v>5.4703404246649479</v>
      </c>
      <c r="C25" s="374">
        <v>5.4435000000000011</v>
      </c>
      <c r="D25" s="374">
        <v>5.4519999999999991</v>
      </c>
      <c r="E25" s="378">
        <v>5.4639999999999995</v>
      </c>
      <c r="F25" s="374">
        <v>5.4729999999999999</v>
      </c>
      <c r="G25" s="374">
        <v>5.471000000000001</v>
      </c>
      <c r="H25" s="374">
        <v>5.4739999999999993</v>
      </c>
      <c r="I25" s="374">
        <v>5.4745000000000008</v>
      </c>
      <c r="J25" s="374">
        <v>5.4749999999999988</v>
      </c>
      <c r="K25" s="374">
        <v>5.4763333333333328</v>
      </c>
      <c r="L25" s="374">
        <v>5.4772499999999988</v>
      </c>
      <c r="M25" s="374">
        <v>5.4779999999999989</v>
      </c>
      <c r="N25" s="374">
        <v>5.4819999999999993</v>
      </c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</row>
    <row r="26" spans="1:28" ht="16" customHeight="1">
      <c r="A26" s="67" t="s">
        <v>39</v>
      </c>
      <c r="B26" s="913">
        <v>5.1654271746933214</v>
      </c>
      <c r="C26" s="374">
        <v>5.1426977730007186</v>
      </c>
      <c r="D26" s="374">
        <v>5.1459553769433173</v>
      </c>
      <c r="E26" s="374">
        <v>5.167942001707881</v>
      </c>
      <c r="F26" s="374">
        <v>5.1810111149643516</v>
      </c>
      <c r="G26" s="374">
        <v>5.1749801063829786</v>
      </c>
      <c r="H26" s="374">
        <v>5.1764806901064624</v>
      </c>
      <c r="I26" s="374">
        <v>5.174237203313294</v>
      </c>
      <c r="J26" s="374">
        <v>5.172074431097891</v>
      </c>
      <c r="K26" s="374">
        <v>5.1675734608945225</v>
      </c>
      <c r="L26" s="374">
        <v>5.1641891012443217</v>
      </c>
      <c r="M26" s="374">
        <v>5.1608068234581275</v>
      </c>
      <c r="N26" s="374">
        <v>5.1589540780343528</v>
      </c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</row>
    <row r="27" spans="1:28" ht="16" customHeight="1">
      <c r="A27" s="67" t="s">
        <v>97</v>
      </c>
      <c r="B27" s="913">
        <v>5.1670466197764782</v>
      </c>
      <c r="C27" s="374">
        <v>5.1379999999999999</v>
      </c>
      <c r="D27" s="374">
        <v>5.1429999999999998</v>
      </c>
      <c r="E27" s="374">
        <v>5.1639999999999988</v>
      </c>
      <c r="F27" s="374">
        <v>5.1820000000000004</v>
      </c>
      <c r="G27" s="374">
        <v>5.1779999999999999</v>
      </c>
      <c r="H27" s="374">
        <v>5.1790000000000012</v>
      </c>
      <c r="I27" s="374">
        <v>5.1775000000000002</v>
      </c>
      <c r="J27" s="374">
        <v>5.1759999999999993</v>
      </c>
      <c r="K27" s="374">
        <v>5.1719999999999997</v>
      </c>
      <c r="L27" s="374">
        <v>5.1692499999999999</v>
      </c>
      <c r="M27" s="374">
        <v>5.1665000000000001</v>
      </c>
      <c r="N27" s="374">
        <v>5.1637499999999994</v>
      </c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</row>
    <row r="28" spans="1:28" ht="16" customHeight="1">
      <c r="A28" s="67" t="s">
        <v>98</v>
      </c>
      <c r="B28" s="913">
        <v>5.1637790663907408</v>
      </c>
      <c r="C28" s="374">
        <v>5.1474999999999991</v>
      </c>
      <c r="D28" s="374">
        <v>5.1490000000000009</v>
      </c>
      <c r="E28" s="374">
        <v>5.1719999999999997</v>
      </c>
      <c r="F28" s="374">
        <v>5.18</v>
      </c>
      <c r="G28" s="374">
        <v>5.1719999999999988</v>
      </c>
      <c r="H28" s="374">
        <v>5.1739999999999995</v>
      </c>
      <c r="I28" s="374">
        <v>5.1710000000000012</v>
      </c>
      <c r="J28" s="374">
        <v>5.168000000000001</v>
      </c>
      <c r="K28" s="374">
        <v>5.1630000000000011</v>
      </c>
      <c r="L28" s="374">
        <v>5.1589999999999989</v>
      </c>
      <c r="M28" s="374">
        <v>5.1550000000000002</v>
      </c>
      <c r="N28" s="374">
        <v>5.1539999999999999</v>
      </c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</row>
    <row r="29" spans="1:28" ht="16" customHeight="1">
      <c r="A29" s="67" t="s">
        <v>42</v>
      </c>
      <c r="B29" s="913">
        <v>6.2898024518869899</v>
      </c>
      <c r="C29" s="374">
        <v>6.22</v>
      </c>
      <c r="D29" s="374">
        <v>6.2290000000000001</v>
      </c>
      <c r="E29" s="374">
        <v>6.2509999999999994</v>
      </c>
      <c r="F29" s="374">
        <v>6.2710000000000008</v>
      </c>
      <c r="G29" s="374">
        <v>6.2819999999999991</v>
      </c>
      <c r="H29" s="374">
        <v>6.2929999999999993</v>
      </c>
      <c r="I29" s="374">
        <v>6.3040000000000003</v>
      </c>
      <c r="J29" s="374">
        <v>6.3150000000000013</v>
      </c>
      <c r="K29" s="374">
        <v>6.319</v>
      </c>
      <c r="L29" s="374">
        <v>6.3265000000000002</v>
      </c>
      <c r="M29" s="374">
        <v>6.3330000000000002</v>
      </c>
      <c r="N29" s="374">
        <v>6.3379999999999992</v>
      </c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</row>
    <row r="30" spans="1:28" ht="16" customHeight="1">
      <c r="A30" s="67" t="s">
        <v>43</v>
      </c>
      <c r="B30" s="913">
        <v>5.8981087663152421</v>
      </c>
      <c r="C30" s="374">
        <v>5.8360000000000003</v>
      </c>
      <c r="D30" s="374">
        <v>5.839999999999999</v>
      </c>
      <c r="E30" s="374">
        <v>5.8609999999999998</v>
      </c>
      <c r="F30" s="374">
        <v>5.8800000000000008</v>
      </c>
      <c r="G30" s="374">
        <v>5.8899999999999988</v>
      </c>
      <c r="H30" s="374">
        <v>5.9</v>
      </c>
      <c r="I30" s="374">
        <v>5.9099999999999993</v>
      </c>
      <c r="J30" s="374">
        <v>5.92</v>
      </c>
      <c r="K30" s="374">
        <v>5.9240000000000004</v>
      </c>
      <c r="L30" s="374">
        <v>5.9310000000000027</v>
      </c>
      <c r="M30" s="374">
        <v>5.9340000000000002</v>
      </c>
      <c r="N30" s="374">
        <v>5.9369999999999985</v>
      </c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</row>
    <row r="31" spans="1:28" ht="16" customHeight="1">
      <c r="A31" s="67" t="s">
        <v>44</v>
      </c>
      <c r="B31" s="913">
        <v>6.0323699463578953</v>
      </c>
      <c r="C31" s="374">
        <v>5.9470000000000001</v>
      </c>
      <c r="D31" s="374">
        <v>5.9560000000000004</v>
      </c>
      <c r="E31" s="374">
        <v>5.987000000000001</v>
      </c>
      <c r="F31" s="374">
        <v>6.0159999999999991</v>
      </c>
      <c r="G31" s="374">
        <v>6.0279999999999996</v>
      </c>
      <c r="H31" s="374">
        <v>6.0399999999999991</v>
      </c>
      <c r="I31" s="374">
        <v>6.0519999999999987</v>
      </c>
      <c r="J31" s="374">
        <v>6.0639999999999992</v>
      </c>
      <c r="K31" s="374">
        <v>6.0691000000000006</v>
      </c>
      <c r="L31" s="374">
        <v>6.0717999999999996</v>
      </c>
      <c r="M31" s="374">
        <v>6.0745000000000005</v>
      </c>
      <c r="N31" s="374">
        <v>6.0772000000000004</v>
      </c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</row>
    <row r="32" spans="1:28" ht="16" customHeight="1">
      <c r="A32" s="67" t="s">
        <v>45</v>
      </c>
      <c r="B32" s="913">
        <v>5.970319817540517</v>
      </c>
      <c r="C32" s="374">
        <v>5.9074999999999998</v>
      </c>
      <c r="D32" s="374">
        <v>5.9170000000000007</v>
      </c>
      <c r="E32" s="374">
        <v>5.944</v>
      </c>
      <c r="F32" s="374">
        <v>5.9529999999999994</v>
      </c>
      <c r="G32" s="374">
        <v>5.9619999999999997</v>
      </c>
      <c r="H32" s="374">
        <v>5.9709999999999992</v>
      </c>
      <c r="I32" s="374">
        <v>5.9799999999999986</v>
      </c>
      <c r="J32" s="374">
        <v>5.9889999999999999</v>
      </c>
      <c r="K32" s="374">
        <v>5.9939999999999998</v>
      </c>
      <c r="L32" s="374">
        <v>6.0010000000000003</v>
      </c>
      <c r="M32" s="374">
        <v>6.0050000000000008</v>
      </c>
      <c r="N32" s="374">
        <v>6.0089999999999986</v>
      </c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</row>
    <row r="33" spans="1:28" ht="16" customHeight="1">
      <c r="A33" s="67" t="s">
        <v>46</v>
      </c>
      <c r="B33" s="913">
        <v>5.815017875819148</v>
      </c>
      <c r="C33" s="374">
        <v>5.7464999999999993</v>
      </c>
      <c r="D33" s="374">
        <v>5.7560000000000002</v>
      </c>
      <c r="E33" s="374">
        <v>5.774</v>
      </c>
      <c r="F33" s="374">
        <v>5.79</v>
      </c>
      <c r="G33" s="374">
        <v>5.8009999999999993</v>
      </c>
      <c r="H33" s="374">
        <v>5.8120000000000003</v>
      </c>
      <c r="I33" s="374">
        <v>5.8230000000000013</v>
      </c>
      <c r="J33" s="374">
        <v>5.8339999999999996</v>
      </c>
      <c r="K33" s="374">
        <v>5.8390000000000004</v>
      </c>
      <c r="L33" s="374">
        <v>5.8450000000000006</v>
      </c>
      <c r="M33" s="374">
        <v>5.85</v>
      </c>
      <c r="N33" s="374">
        <v>5.8549999999999995</v>
      </c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</row>
    <row r="34" spans="1:28" ht="16" customHeight="1" thickBot="1">
      <c r="A34" s="113" t="s">
        <v>47</v>
      </c>
      <c r="B34" s="914">
        <v>5.8117343588373558</v>
      </c>
      <c r="C34" s="375">
        <v>5.76</v>
      </c>
      <c r="D34" s="375">
        <v>5.7690000000000001</v>
      </c>
      <c r="E34" s="375">
        <v>5.7819999999999983</v>
      </c>
      <c r="F34" s="375">
        <v>5.7919999999999998</v>
      </c>
      <c r="G34" s="375">
        <v>5.8010000000000002</v>
      </c>
      <c r="H34" s="375">
        <v>5.8100000000000005</v>
      </c>
      <c r="I34" s="375">
        <v>5.819</v>
      </c>
      <c r="J34" s="375">
        <v>5.8279999999999994</v>
      </c>
      <c r="K34" s="375">
        <v>5.8319999999999999</v>
      </c>
      <c r="L34" s="375">
        <v>5.8384999999999989</v>
      </c>
      <c r="M34" s="375">
        <v>5.843</v>
      </c>
      <c r="N34" s="375">
        <v>5.847500000000001</v>
      </c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</row>
    <row r="35" spans="1:28" ht="9" customHeight="1">
      <c r="A35" s="449" t="s">
        <v>330</v>
      </c>
      <c r="B35" s="520"/>
      <c r="C35" s="521"/>
      <c r="D35" s="521"/>
      <c r="E35" s="379"/>
      <c r="F35" s="379"/>
      <c r="G35" s="379"/>
      <c r="H35" s="379"/>
      <c r="I35" s="379"/>
      <c r="J35" s="379"/>
      <c r="K35" s="379"/>
      <c r="L35" s="379"/>
      <c r="M35" s="379"/>
      <c r="N35" s="379"/>
    </row>
    <row r="36" spans="1:28" ht="9" customHeight="1">
      <c r="A36" s="449" t="s">
        <v>304</v>
      </c>
      <c r="B36" s="521"/>
      <c r="C36" s="521"/>
      <c r="D36" s="521"/>
      <c r="E36" s="379"/>
      <c r="F36" s="379"/>
      <c r="G36" s="379"/>
      <c r="H36" s="379"/>
      <c r="I36" s="379"/>
      <c r="J36" s="379"/>
      <c r="K36" s="379"/>
      <c r="L36" s="379"/>
      <c r="M36" s="379"/>
      <c r="N36" s="379"/>
    </row>
    <row r="37" spans="1:28" ht="9" customHeight="1">
      <c r="A37" s="451" t="s">
        <v>303</v>
      </c>
      <c r="B37" s="464"/>
      <c r="C37" s="464"/>
      <c r="D37" s="464"/>
      <c r="E37" s="173"/>
      <c r="F37" s="173"/>
      <c r="G37" s="173"/>
      <c r="H37" s="173"/>
      <c r="I37" s="173"/>
      <c r="J37" s="173"/>
      <c r="K37" s="173"/>
      <c r="L37" s="173"/>
      <c r="M37" s="173"/>
      <c r="N37" s="173"/>
    </row>
    <row r="38" spans="1:28" ht="13.25" customHeight="1">
      <c r="A38" s="522"/>
      <c r="B38" s="464"/>
      <c r="C38" s="464"/>
      <c r="D38" s="464"/>
    </row>
    <row r="39" spans="1:28" ht="13.25" customHeight="1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Hoja106">
    <tabColor theme="9" tint="0.59999389629810485"/>
  </sheetPr>
  <dimension ref="A1:AA39"/>
  <sheetViews>
    <sheetView showGridLines="0" zoomScaleNormal="100" workbookViewId="0">
      <selection activeCell="H27" sqref="H27"/>
    </sheetView>
  </sheetViews>
  <sheetFormatPr baseColWidth="10" defaultColWidth="7" defaultRowHeight="13.25" customHeight="1"/>
  <cols>
    <col min="1" max="1" width="14" style="67" customWidth="1"/>
    <col min="2" max="2" width="9" style="67" customWidth="1"/>
    <col min="3" max="14" width="9.19921875" style="67" customWidth="1"/>
    <col min="15" max="16384" width="7" style="67"/>
  </cols>
  <sheetData>
    <row r="1" spans="1:27" ht="17" customHeight="1">
      <c r="A1" s="381" t="s">
        <v>541</v>
      </c>
      <c r="B1" s="381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</row>
    <row r="2" spans="1:27" ht="13.25" customHeight="1">
      <c r="A2" s="377" t="s">
        <v>294</v>
      </c>
      <c r="B2" s="226"/>
      <c r="C2" s="101"/>
      <c r="D2" s="101"/>
      <c r="E2" s="101"/>
      <c r="F2" s="101"/>
      <c r="G2" s="104"/>
      <c r="H2" s="103"/>
      <c r="I2" s="101"/>
      <c r="J2" s="101"/>
      <c r="K2" s="101"/>
      <c r="L2" s="101"/>
      <c r="M2" s="101"/>
      <c r="N2" s="101"/>
    </row>
    <row r="3" spans="1:27" ht="6" customHeight="1" thickBot="1">
      <c r="A3" s="103"/>
      <c r="B3" s="101"/>
      <c r="C3" s="101"/>
      <c r="D3" s="101"/>
      <c r="E3" s="101"/>
      <c r="F3" s="101"/>
      <c r="G3" s="104"/>
      <c r="H3" s="103"/>
      <c r="I3" s="101"/>
      <c r="J3" s="101"/>
      <c r="K3" s="101"/>
      <c r="L3" s="101"/>
      <c r="M3" s="101"/>
      <c r="N3" s="101"/>
    </row>
    <row r="4" spans="1:27" ht="18" customHeight="1">
      <c r="A4" s="732" t="s">
        <v>16</v>
      </c>
      <c r="B4" s="732" t="s">
        <v>52</v>
      </c>
      <c r="C4" s="732" t="s">
        <v>53</v>
      </c>
      <c r="D4" s="732" t="s">
        <v>54</v>
      </c>
      <c r="E4" s="732" t="s">
        <v>55</v>
      </c>
      <c r="F4" s="732" t="s">
        <v>56</v>
      </c>
      <c r="G4" s="732" t="s">
        <v>57</v>
      </c>
      <c r="H4" s="732" t="s">
        <v>58</v>
      </c>
      <c r="I4" s="732" t="s">
        <v>59</v>
      </c>
      <c r="J4" s="732" t="s">
        <v>60</v>
      </c>
      <c r="K4" s="732" t="s">
        <v>61</v>
      </c>
      <c r="L4" s="732" t="s">
        <v>62</v>
      </c>
      <c r="M4" s="732" t="s">
        <v>63</v>
      </c>
      <c r="N4" s="732" t="s">
        <v>64</v>
      </c>
    </row>
    <row r="5" spans="1:27" ht="18" customHeight="1">
      <c r="A5" s="693" t="s">
        <v>100</v>
      </c>
      <c r="B5" s="912">
        <v>4.8358450824020132</v>
      </c>
      <c r="C5" s="695">
        <v>4.7985611960500147</v>
      </c>
      <c r="D5" s="695">
        <v>4.8256759059400718</v>
      </c>
      <c r="E5" s="695">
        <v>4.8199266363551381</v>
      </c>
      <c r="F5" s="695">
        <v>4.8246023364893293</v>
      </c>
      <c r="G5" s="695">
        <v>4.8159515197315983</v>
      </c>
      <c r="H5" s="695">
        <v>4.8360610731469293</v>
      </c>
      <c r="I5" s="695">
        <v>4.83471630644868</v>
      </c>
      <c r="J5" s="695">
        <v>4.8461631527242535</v>
      </c>
      <c r="K5" s="695">
        <v>4.8569056368177908</v>
      </c>
      <c r="L5" s="695">
        <v>4.8554791032868181</v>
      </c>
      <c r="M5" s="695">
        <v>4.8572877602349287</v>
      </c>
      <c r="N5" s="695">
        <v>4.8612843802868682</v>
      </c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</row>
    <row r="6" spans="1:27" ht="16" customHeight="1">
      <c r="A6" s="67" t="s">
        <v>19</v>
      </c>
      <c r="B6" s="913">
        <v>4.5627400727747043</v>
      </c>
      <c r="C6" s="374">
        <v>4.5209999999999999</v>
      </c>
      <c r="D6" s="374">
        <v>4.5309999999999997</v>
      </c>
      <c r="E6" s="374">
        <v>4.5419999999999998</v>
      </c>
      <c r="F6" s="374">
        <v>4.551000000000001</v>
      </c>
      <c r="G6" s="374">
        <v>4.5549999999999988</v>
      </c>
      <c r="H6" s="374">
        <v>4.5629999999999988</v>
      </c>
      <c r="I6" s="374">
        <v>4.569</v>
      </c>
      <c r="J6" s="374">
        <v>4.5750000000000002</v>
      </c>
      <c r="K6" s="374">
        <v>4.5819999999999999</v>
      </c>
      <c r="L6" s="374">
        <v>4.5869999999999997</v>
      </c>
      <c r="M6" s="374">
        <v>4.59</v>
      </c>
      <c r="N6" s="374">
        <v>4.5919999999999996</v>
      </c>
      <c r="O6" s="10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</row>
    <row r="7" spans="1:27" ht="16" customHeight="1">
      <c r="A7" s="67" t="s">
        <v>20</v>
      </c>
      <c r="B7" s="913">
        <v>4.8688816568798199</v>
      </c>
      <c r="C7" s="374">
        <v>4.8499999999999988</v>
      </c>
      <c r="D7" s="374">
        <v>4.8640000000000008</v>
      </c>
      <c r="E7" s="374">
        <v>4.8730000000000011</v>
      </c>
      <c r="F7" s="374">
        <v>4.879999999999999</v>
      </c>
      <c r="G7" s="374">
        <v>4.863999999999999</v>
      </c>
      <c r="H7" s="374">
        <v>4.8730000000000011</v>
      </c>
      <c r="I7" s="374">
        <v>4.8695000000000004</v>
      </c>
      <c r="J7" s="374">
        <v>4.8659999999999997</v>
      </c>
      <c r="K7" s="374">
        <v>4.8669999999999991</v>
      </c>
      <c r="L7" s="374">
        <v>4.870000000000001</v>
      </c>
      <c r="M7" s="374">
        <v>4.8730000000000002</v>
      </c>
      <c r="N7" s="374">
        <v>4.875</v>
      </c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</row>
    <row r="8" spans="1:27" ht="16" customHeight="1">
      <c r="A8" s="67" t="s">
        <v>21</v>
      </c>
      <c r="B8" s="913">
        <v>4.7833437542343002</v>
      </c>
      <c r="C8" s="374">
        <v>4.7210000000000001</v>
      </c>
      <c r="D8" s="374">
        <v>4.7350000000000003</v>
      </c>
      <c r="E8" s="374">
        <v>4.7510000000000012</v>
      </c>
      <c r="F8" s="374">
        <v>4.7640000000000002</v>
      </c>
      <c r="G8" s="374">
        <v>4.7709999999999999</v>
      </c>
      <c r="H8" s="374">
        <v>4.7809999999999988</v>
      </c>
      <c r="I8" s="374">
        <v>4.7894999999999994</v>
      </c>
      <c r="J8" s="374">
        <v>4.7980000000000009</v>
      </c>
      <c r="K8" s="374">
        <v>4.8070000000000004</v>
      </c>
      <c r="L8" s="374">
        <v>4.8099999999999996</v>
      </c>
      <c r="M8" s="374">
        <v>4.8130000000000006</v>
      </c>
      <c r="N8" s="374">
        <v>4.8170000000000002</v>
      </c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</row>
    <row r="9" spans="1:27" ht="16" customHeight="1">
      <c r="A9" s="67" t="s">
        <v>22</v>
      </c>
      <c r="B9" s="913">
        <v>5.6726034225577724</v>
      </c>
      <c r="C9" s="374">
        <v>5.6230000000000011</v>
      </c>
      <c r="D9" s="374">
        <v>5.6429999999999989</v>
      </c>
      <c r="E9" s="374">
        <v>5.6529999999999987</v>
      </c>
      <c r="F9" s="374">
        <v>5.66</v>
      </c>
      <c r="G9" s="374">
        <v>5.6660000000000013</v>
      </c>
      <c r="H9" s="374">
        <v>5.6725000000000021</v>
      </c>
      <c r="I9" s="374">
        <v>5.6787500000000009</v>
      </c>
      <c r="J9" s="374">
        <v>5.6849999999999996</v>
      </c>
      <c r="K9" s="374">
        <v>5.6909999999999998</v>
      </c>
      <c r="L9" s="374">
        <v>5.6950000000000003</v>
      </c>
      <c r="M9" s="374">
        <v>5.6990000000000007</v>
      </c>
      <c r="N9" s="374">
        <v>5.7049999999999992</v>
      </c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</row>
    <row r="10" spans="1:27" ht="16" customHeight="1">
      <c r="A10" s="67" t="s">
        <v>23</v>
      </c>
      <c r="B10" s="913">
        <v>4.3608967785585779</v>
      </c>
      <c r="C10" s="374">
        <v>4.3382423648369786</v>
      </c>
      <c r="D10" s="374">
        <v>4.3465131257133534</v>
      </c>
      <c r="E10" s="374">
        <v>4.3475904610666953</v>
      </c>
      <c r="F10" s="374">
        <v>4.349383738752695</v>
      </c>
      <c r="G10" s="374">
        <v>4.3547135760680176</v>
      </c>
      <c r="H10" s="374">
        <v>4.3577818637891053</v>
      </c>
      <c r="I10" s="374">
        <v>4.3629538722147423</v>
      </c>
      <c r="J10" s="374">
        <v>4.3681494414983648</v>
      </c>
      <c r="K10" s="374">
        <v>4.374268723687126</v>
      </c>
      <c r="L10" s="374">
        <v>4.3723332600450719</v>
      </c>
      <c r="M10" s="374">
        <v>4.37558877045982</v>
      </c>
      <c r="N10" s="374">
        <v>4.3821619854721545</v>
      </c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</row>
    <row r="11" spans="1:27" ht="16" customHeight="1">
      <c r="A11" s="67" t="s">
        <v>94</v>
      </c>
      <c r="B11" s="913">
        <v>4.3756071617268848</v>
      </c>
      <c r="C11" s="374">
        <v>4.3549999999999995</v>
      </c>
      <c r="D11" s="374">
        <v>4.359</v>
      </c>
      <c r="E11" s="374">
        <v>4.3609999999999998</v>
      </c>
      <c r="F11" s="374">
        <v>4.3629999999999995</v>
      </c>
      <c r="G11" s="374">
        <v>4.3689999999999998</v>
      </c>
      <c r="H11" s="374">
        <v>4.3729999999999993</v>
      </c>
      <c r="I11" s="374">
        <v>4.3779999999999992</v>
      </c>
      <c r="J11" s="374">
        <v>4.383</v>
      </c>
      <c r="K11" s="374">
        <v>4.3899999999999997</v>
      </c>
      <c r="L11" s="374">
        <v>4.3880000000000008</v>
      </c>
      <c r="M11" s="374">
        <v>4.3899999999999997</v>
      </c>
      <c r="N11" s="374">
        <v>4.3940000000000001</v>
      </c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</row>
    <row r="12" spans="1:27" ht="16" customHeight="1">
      <c r="A12" s="67" t="s">
        <v>95</v>
      </c>
      <c r="B12" s="913">
        <v>4.198688621607646</v>
      </c>
      <c r="C12" s="374">
        <v>4.1799999999999988</v>
      </c>
      <c r="D12" s="374">
        <v>4.1829999999999989</v>
      </c>
      <c r="E12" s="374">
        <v>4.1859999999999999</v>
      </c>
      <c r="F12" s="374">
        <v>4.1889999999999992</v>
      </c>
      <c r="G12" s="374">
        <v>4.1920000000000002</v>
      </c>
      <c r="H12" s="374">
        <v>4.1969999999999992</v>
      </c>
      <c r="I12" s="374">
        <v>4.2010000000000014</v>
      </c>
      <c r="J12" s="374">
        <v>4.2050000000000001</v>
      </c>
      <c r="K12" s="374">
        <v>4.2089999999999996</v>
      </c>
      <c r="L12" s="374">
        <v>4.2110000000000003</v>
      </c>
      <c r="M12" s="374">
        <v>4.2140000000000004</v>
      </c>
      <c r="N12" s="374">
        <v>4.2170000000000014</v>
      </c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</row>
    <row r="13" spans="1:27" ht="16" customHeight="1">
      <c r="A13" s="67" t="s">
        <v>124</v>
      </c>
      <c r="B13" s="913">
        <v>4.3679886407576394</v>
      </c>
      <c r="C13" s="374">
        <v>4.34</v>
      </c>
      <c r="D13" s="374">
        <v>4.3519999999999994</v>
      </c>
      <c r="E13" s="374">
        <v>4.3559999999999999</v>
      </c>
      <c r="F13" s="374">
        <v>4.3599999999999985</v>
      </c>
      <c r="G13" s="374">
        <v>4.3639999999999999</v>
      </c>
      <c r="H13" s="374">
        <v>4.3680000000000012</v>
      </c>
      <c r="I13" s="374">
        <v>4.3719999999999999</v>
      </c>
      <c r="J13" s="374">
        <v>4.3760000000000003</v>
      </c>
      <c r="K13" s="374">
        <v>4.3800000000000008</v>
      </c>
      <c r="L13" s="374">
        <v>4.379999999999999</v>
      </c>
      <c r="M13" s="374">
        <v>4.383</v>
      </c>
      <c r="N13" s="374">
        <v>4.386000000000001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</row>
    <row r="14" spans="1:27" ht="16" customHeight="1">
      <c r="A14" s="67" t="s">
        <v>27</v>
      </c>
      <c r="B14" s="913">
        <v>4.5678253621639717</v>
      </c>
      <c r="C14" s="374">
        <v>4.5010000000000003</v>
      </c>
      <c r="D14" s="374">
        <v>4.5250000000000012</v>
      </c>
      <c r="E14" s="374">
        <v>4.543000000000001</v>
      </c>
      <c r="F14" s="374">
        <v>4.5629999999999988</v>
      </c>
      <c r="G14" s="374">
        <v>4.5680000000000005</v>
      </c>
      <c r="H14" s="374">
        <v>4.5729999999999995</v>
      </c>
      <c r="I14" s="374">
        <v>4.5780000000000021</v>
      </c>
      <c r="J14" s="374">
        <v>4.5830000000000011</v>
      </c>
      <c r="K14" s="374">
        <v>4.5880000000000001</v>
      </c>
      <c r="L14" s="374">
        <v>4.5900000000000007</v>
      </c>
      <c r="M14" s="374">
        <v>4.5919999999999996</v>
      </c>
      <c r="N14" s="374">
        <v>4.5940000000000003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</row>
    <row r="15" spans="1:27" ht="16" customHeight="1">
      <c r="A15" s="67" t="s">
        <v>28</v>
      </c>
      <c r="B15" s="913">
        <v>4.4552672706074103</v>
      </c>
      <c r="C15" s="374">
        <v>4.42</v>
      </c>
      <c r="D15" s="374">
        <v>4.4420000000000002</v>
      </c>
      <c r="E15" s="374">
        <v>4.4509999999999996</v>
      </c>
      <c r="F15" s="374">
        <v>4.4450000000000003</v>
      </c>
      <c r="G15" s="374">
        <v>4.4489999999999998</v>
      </c>
      <c r="H15" s="374">
        <v>4.4530000000000003</v>
      </c>
      <c r="I15" s="374">
        <v>4.4569999999999999</v>
      </c>
      <c r="J15" s="374">
        <v>4.4610000000000012</v>
      </c>
      <c r="K15" s="374">
        <v>4.4649999999999999</v>
      </c>
      <c r="L15" s="374">
        <v>4.4669999999999996</v>
      </c>
      <c r="M15" s="374">
        <v>4.4689999999999994</v>
      </c>
      <c r="N15" s="374">
        <v>4.4709999999999992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</row>
    <row r="16" spans="1:27" ht="16" customHeight="1">
      <c r="A16" s="67" t="s">
        <v>29</v>
      </c>
      <c r="B16" s="913">
        <v>5.6530740242537769</v>
      </c>
      <c r="C16" s="374">
        <v>5.6</v>
      </c>
      <c r="D16" s="374">
        <v>5.6239999999999997</v>
      </c>
      <c r="E16" s="374">
        <v>5.633</v>
      </c>
      <c r="F16" s="374">
        <v>5.6410000000000009</v>
      </c>
      <c r="G16" s="374">
        <v>5.6449999999999996</v>
      </c>
      <c r="H16" s="374">
        <v>5.6529999999999996</v>
      </c>
      <c r="I16" s="374">
        <v>5.6589999999999989</v>
      </c>
      <c r="J16" s="374">
        <v>5.665</v>
      </c>
      <c r="K16" s="374">
        <v>5.6719999999999997</v>
      </c>
      <c r="L16" s="374">
        <v>5.6749999999999998</v>
      </c>
      <c r="M16" s="374">
        <v>5.6779999999999999</v>
      </c>
      <c r="N16" s="374">
        <v>5.6829999999999998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</row>
    <row r="17" spans="1:27" ht="16" customHeight="1">
      <c r="A17" s="67" t="s">
        <v>30</v>
      </c>
      <c r="B17" s="913">
        <v>5.2430336273016476</v>
      </c>
      <c r="C17" s="374">
        <v>5.2019999999999991</v>
      </c>
      <c r="D17" s="374">
        <v>5.2259999999999991</v>
      </c>
      <c r="E17" s="374">
        <v>5.2340000000000009</v>
      </c>
      <c r="F17" s="374">
        <v>5.2400000000000011</v>
      </c>
      <c r="G17" s="374">
        <v>5.242</v>
      </c>
      <c r="H17" s="374">
        <v>5.2459999999999996</v>
      </c>
      <c r="I17" s="374">
        <v>5.2490000000000006</v>
      </c>
      <c r="J17" s="374">
        <v>5.2519999999999989</v>
      </c>
      <c r="K17" s="374">
        <v>5.2549999999999999</v>
      </c>
      <c r="L17" s="374">
        <v>5.2569999999999997</v>
      </c>
      <c r="M17" s="374">
        <v>5.2540000000000004</v>
      </c>
      <c r="N17" s="374">
        <v>5.2530000000000001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</row>
    <row r="18" spans="1:27" ht="16" customHeight="1">
      <c r="A18" s="67" t="s">
        <v>31</v>
      </c>
      <c r="B18" s="913">
        <v>4.8685212829626545</v>
      </c>
      <c r="C18" s="374">
        <v>4.8499999999999996</v>
      </c>
      <c r="D18" s="374">
        <v>4.8529999999999998</v>
      </c>
      <c r="E18" s="374">
        <v>4.8560000000000008</v>
      </c>
      <c r="F18" s="374">
        <v>4.8580000000000005</v>
      </c>
      <c r="G18" s="374">
        <v>4.8609999999999998</v>
      </c>
      <c r="H18" s="374">
        <v>4.8659999999999997</v>
      </c>
      <c r="I18" s="374">
        <v>4.8699999999999983</v>
      </c>
      <c r="J18" s="374">
        <v>4.8739999999999997</v>
      </c>
      <c r="K18" s="374">
        <v>4.8780000000000001</v>
      </c>
      <c r="L18" s="374">
        <v>4.8800000000000008</v>
      </c>
      <c r="M18" s="374">
        <v>4.8819999999999997</v>
      </c>
      <c r="N18" s="374">
        <v>4.8840000000000003</v>
      </c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</row>
    <row r="19" spans="1:27" ht="16" customHeight="1">
      <c r="A19" s="67" t="s">
        <v>32</v>
      </c>
      <c r="B19" s="913">
        <v>4.0431615345867575</v>
      </c>
      <c r="C19" s="374">
        <v>4.0010000000000003</v>
      </c>
      <c r="D19" s="374">
        <v>4.0229999999999997</v>
      </c>
      <c r="E19" s="374">
        <v>4.03</v>
      </c>
      <c r="F19" s="374">
        <v>4.0370000000000008</v>
      </c>
      <c r="G19" s="374">
        <v>4.0389999999999997</v>
      </c>
      <c r="H19" s="374">
        <v>4.0435000000000008</v>
      </c>
      <c r="I19" s="374">
        <v>4.0467499999999994</v>
      </c>
      <c r="J19" s="374">
        <v>4.05</v>
      </c>
      <c r="K19" s="374">
        <v>4.0540000000000003</v>
      </c>
      <c r="L19" s="374">
        <v>4.0539999999999994</v>
      </c>
      <c r="M19" s="374">
        <v>4.0540000000000003</v>
      </c>
      <c r="N19" s="374">
        <v>4.0540000000000012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</row>
    <row r="20" spans="1:27" ht="16" customHeight="1">
      <c r="A20" s="67" t="s">
        <v>33</v>
      </c>
      <c r="B20" s="913">
        <v>4.7574046392700788</v>
      </c>
      <c r="C20" s="374">
        <v>4.7160000000000002</v>
      </c>
      <c r="D20" s="374">
        <v>4.7300000000000013</v>
      </c>
      <c r="E20" s="374">
        <v>4.7409999999999997</v>
      </c>
      <c r="F20" s="374">
        <v>4.75</v>
      </c>
      <c r="G20" s="374">
        <v>4.7530000000000001</v>
      </c>
      <c r="H20" s="374">
        <v>4.7590000000000012</v>
      </c>
      <c r="I20" s="374">
        <v>4.7635000000000005</v>
      </c>
      <c r="J20" s="374">
        <v>4.7679999999999998</v>
      </c>
      <c r="K20" s="374">
        <v>4.7729999999999997</v>
      </c>
      <c r="L20" s="374">
        <v>4.7750000000000004</v>
      </c>
      <c r="M20" s="374">
        <v>4.7770000000000019</v>
      </c>
      <c r="N20" s="374">
        <v>4.7790000000000026</v>
      </c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</row>
    <row r="21" spans="1:27" ht="16" customHeight="1">
      <c r="A21" s="67" t="s">
        <v>34</v>
      </c>
      <c r="B21" s="913">
        <v>4.1237938083671626</v>
      </c>
      <c r="C21" s="374">
        <v>4.08</v>
      </c>
      <c r="D21" s="374">
        <v>4.0999999999999996</v>
      </c>
      <c r="E21" s="374">
        <v>4.1100000000000003</v>
      </c>
      <c r="F21" s="374">
        <v>4.120000000000001</v>
      </c>
      <c r="G21" s="374">
        <v>4.1210000000000004</v>
      </c>
      <c r="H21" s="374">
        <v>4.1265000000000001</v>
      </c>
      <c r="I21" s="374">
        <v>4.1297499999999996</v>
      </c>
      <c r="J21" s="374">
        <v>4.133</v>
      </c>
      <c r="K21" s="374">
        <v>4.1369999999999996</v>
      </c>
      <c r="L21" s="374">
        <v>4.1369999999999996</v>
      </c>
      <c r="M21" s="374">
        <v>4.1390000000000002</v>
      </c>
      <c r="N21" s="374">
        <v>4.1410000000000009</v>
      </c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</row>
    <row r="22" spans="1:27" ht="16" customHeight="1">
      <c r="A22" s="67" t="s">
        <v>35</v>
      </c>
      <c r="B22" s="913">
        <v>4.7623052437908191</v>
      </c>
      <c r="C22" s="374">
        <v>4.7199999999999989</v>
      </c>
      <c r="D22" s="374">
        <v>4.7439999999999989</v>
      </c>
      <c r="E22" s="374">
        <v>4.7510000000000003</v>
      </c>
      <c r="F22" s="374">
        <v>4.7580000000000018</v>
      </c>
      <c r="G22" s="374">
        <v>4.7610000000000001</v>
      </c>
      <c r="H22" s="374">
        <v>4.7660000000000009</v>
      </c>
      <c r="I22" s="374">
        <v>4.7700000000000005</v>
      </c>
      <c r="J22" s="374">
        <v>4.774</v>
      </c>
      <c r="K22" s="374">
        <v>4.7779999999999987</v>
      </c>
      <c r="L22" s="374">
        <v>4.7809999999999997</v>
      </c>
      <c r="M22" s="374">
        <v>4.7839999999999989</v>
      </c>
      <c r="N22" s="374">
        <v>4.786999999999999</v>
      </c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</row>
    <row r="23" spans="1:27" ht="16" customHeight="1">
      <c r="A23" s="67" t="s">
        <v>36</v>
      </c>
      <c r="B23" s="913">
        <v>4.2432458406741125</v>
      </c>
      <c r="C23" s="374">
        <v>4.2</v>
      </c>
      <c r="D23" s="374">
        <v>4.221000000000001</v>
      </c>
      <c r="E23" s="374">
        <v>4.2299999999999995</v>
      </c>
      <c r="F23" s="374">
        <v>4.2389999999999999</v>
      </c>
      <c r="G23" s="374">
        <v>4.2410000000000005</v>
      </c>
      <c r="H23" s="374">
        <v>4.2465000000000002</v>
      </c>
      <c r="I23" s="374">
        <v>4.2502499999999976</v>
      </c>
      <c r="J23" s="374">
        <v>4.2539999999999987</v>
      </c>
      <c r="K23" s="374">
        <v>4.258</v>
      </c>
      <c r="L23" s="374">
        <v>4.2600000000000007</v>
      </c>
      <c r="M23" s="374">
        <v>4.2619999999999996</v>
      </c>
      <c r="N23" s="374">
        <v>4.2639999999999993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</row>
    <row r="24" spans="1:27" ht="16" customHeight="1">
      <c r="A24" s="67" t="s">
        <v>37</v>
      </c>
      <c r="B24" s="913">
        <v>4.6182917081941097</v>
      </c>
      <c r="C24" s="374">
        <v>4.5659999999999998</v>
      </c>
      <c r="D24" s="374">
        <v>4.5900000000000007</v>
      </c>
      <c r="E24" s="374">
        <v>4.6100000000000003</v>
      </c>
      <c r="F24" s="374">
        <v>4.5999999999999996</v>
      </c>
      <c r="G24" s="374">
        <v>4.6079999999999997</v>
      </c>
      <c r="H24" s="374">
        <v>4.6139999999999999</v>
      </c>
      <c r="I24" s="374">
        <v>4.6210000000000004</v>
      </c>
      <c r="J24" s="374">
        <v>4.6279999999999992</v>
      </c>
      <c r="K24" s="374">
        <v>4.6349999999999989</v>
      </c>
      <c r="L24" s="374">
        <v>4.6369999999999996</v>
      </c>
      <c r="M24" s="374">
        <v>4.6389999999999985</v>
      </c>
      <c r="N24" s="374">
        <v>4.6409999999999991</v>
      </c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</row>
    <row r="25" spans="1:27" ht="16" customHeight="1">
      <c r="A25" s="67" t="s">
        <v>38</v>
      </c>
      <c r="B25" s="913">
        <v>4.1131624841087797</v>
      </c>
      <c r="C25" s="374">
        <v>4.0599999999999987</v>
      </c>
      <c r="D25" s="374">
        <v>4.0730000000000004</v>
      </c>
      <c r="E25" s="378">
        <v>4.0910000000000002</v>
      </c>
      <c r="F25" s="374">
        <v>4.1059999999999999</v>
      </c>
      <c r="G25" s="374">
        <v>4.1090000000000009</v>
      </c>
      <c r="H25" s="374">
        <v>4.1180000000000003</v>
      </c>
      <c r="I25" s="374">
        <v>4.1240000000000006</v>
      </c>
      <c r="J25" s="374">
        <v>4.13</v>
      </c>
      <c r="K25" s="374">
        <v>4.1369999999999996</v>
      </c>
      <c r="L25" s="374">
        <v>4.1369999999999996</v>
      </c>
      <c r="M25" s="374">
        <v>4.1349999999999998</v>
      </c>
      <c r="N25" s="374">
        <v>4.133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</row>
    <row r="26" spans="1:27" ht="16" customHeight="1">
      <c r="A26" s="67" t="s">
        <v>39</v>
      </c>
      <c r="B26" s="913">
        <v>3.5519446140383479</v>
      </c>
      <c r="C26" s="374">
        <v>3.5166129139734785</v>
      </c>
      <c r="D26" s="374">
        <v>3.5225798150901917</v>
      </c>
      <c r="E26" s="374">
        <v>3.5375043837675353</v>
      </c>
      <c r="F26" s="374">
        <v>3.5485697666776197</v>
      </c>
      <c r="G26" s="374">
        <v>3.5504521661670716</v>
      </c>
      <c r="H26" s="374">
        <v>3.5560933811857276</v>
      </c>
      <c r="I26" s="374">
        <v>3.5598210572806965</v>
      </c>
      <c r="J26" s="374">
        <v>3.5638094468522739</v>
      </c>
      <c r="K26" s="374">
        <v>3.56846750267625</v>
      </c>
      <c r="L26" s="374">
        <v>3.5697178040340427</v>
      </c>
      <c r="M26" s="374">
        <v>3.5718838512399347</v>
      </c>
      <c r="N26" s="374">
        <v>3.5735543020710554</v>
      </c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</row>
    <row r="27" spans="1:27" ht="16" customHeight="1">
      <c r="A27" s="67" t="s">
        <v>97</v>
      </c>
      <c r="B27" s="913">
        <v>3.5648951847095653</v>
      </c>
      <c r="C27" s="374">
        <v>3.53</v>
      </c>
      <c r="D27" s="374">
        <v>3.5430000000000001</v>
      </c>
      <c r="E27" s="374">
        <v>3.5530000000000004</v>
      </c>
      <c r="F27" s="374">
        <v>3.5609999999999995</v>
      </c>
      <c r="G27" s="374">
        <v>3.5630000000000006</v>
      </c>
      <c r="H27" s="374">
        <v>3.5680000000000009</v>
      </c>
      <c r="I27" s="374">
        <v>3.5715000000000003</v>
      </c>
      <c r="J27" s="374">
        <v>3.5750000000000002</v>
      </c>
      <c r="K27" s="374">
        <v>3.5790000000000002</v>
      </c>
      <c r="L27" s="374">
        <v>3.5790000000000002</v>
      </c>
      <c r="M27" s="374">
        <v>3.5809999999999995</v>
      </c>
      <c r="N27" s="374">
        <v>3.5829999999999984</v>
      </c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</row>
    <row r="28" spans="1:27" ht="16" customHeight="1">
      <c r="A28" s="67" t="s">
        <v>98</v>
      </c>
      <c r="B28" s="913">
        <v>3.5457211563916236</v>
      </c>
      <c r="C28" s="374">
        <v>3.51</v>
      </c>
      <c r="D28" s="374">
        <v>3.5140000000000002</v>
      </c>
      <c r="E28" s="374">
        <v>3.5310000000000006</v>
      </c>
      <c r="F28" s="374">
        <v>3.5430000000000001</v>
      </c>
      <c r="G28" s="374">
        <v>3.544</v>
      </c>
      <c r="H28" s="374">
        <v>3.5504999999999995</v>
      </c>
      <c r="I28" s="374">
        <v>3.5542499999999997</v>
      </c>
      <c r="J28" s="374">
        <v>3.5579999999999998</v>
      </c>
      <c r="K28" s="374">
        <v>3.5629999999999997</v>
      </c>
      <c r="L28" s="374">
        <v>3.5649999999999999</v>
      </c>
      <c r="M28" s="374">
        <v>3.5670000000000002</v>
      </c>
      <c r="N28" s="374">
        <v>3.569</v>
      </c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</row>
    <row r="29" spans="1:27" ht="16" customHeight="1">
      <c r="A29" s="67" t="s">
        <v>42</v>
      </c>
      <c r="B29" s="913">
        <v>4.9341609414066774</v>
      </c>
      <c r="C29" s="374">
        <v>4.9009999999999998</v>
      </c>
      <c r="D29" s="374">
        <v>4.915</v>
      </c>
      <c r="E29" s="374">
        <v>4.9219999999999997</v>
      </c>
      <c r="F29" s="374">
        <v>4.9289999999999985</v>
      </c>
      <c r="G29" s="374">
        <v>4.9310000000000009</v>
      </c>
      <c r="H29" s="374">
        <v>4.9355000000000011</v>
      </c>
      <c r="I29" s="374">
        <v>4.9387500000000015</v>
      </c>
      <c r="J29" s="374">
        <v>4.9420000000000002</v>
      </c>
      <c r="K29" s="374">
        <v>4.9459999999999988</v>
      </c>
      <c r="L29" s="374">
        <v>4.9480000000000004</v>
      </c>
      <c r="M29" s="374">
        <v>4.95</v>
      </c>
      <c r="N29" s="374">
        <v>4.9530000000000003</v>
      </c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</row>
    <row r="30" spans="1:27" ht="16" customHeight="1">
      <c r="A30" s="67" t="s">
        <v>43</v>
      </c>
      <c r="B30" s="913">
        <v>0</v>
      </c>
      <c r="C30" s="374">
        <v>0</v>
      </c>
      <c r="D30" s="374">
        <v>0</v>
      </c>
      <c r="E30" s="374">
        <v>0</v>
      </c>
      <c r="F30" s="374">
        <v>0</v>
      </c>
      <c r="G30" s="374">
        <v>0</v>
      </c>
      <c r="H30" s="374">
        <v>0</v>
      </c>
      <c r="I30" s="374">
        <v>0</v>
      </c>
      <c r="J30" s="374">
        <v>0</v>
      </c>
      <c r="K30" s="374">
        <v>0</v>
      </c>
      <c r="L30" s="374">
        <v>0</v>
      </c>
      <c r="M30" s="374">
        <v>0</v>
      </c>
      <c r="N30" s="374">
        <v>0</v>
      </c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</row>
    <row r="31" spans="1:27" ht="16" customHeight="1">
      <c r="A31" s="67" t="s">
        <v>44</v>
      </c>
      <c r="B31" s="913">
        <v>0</v>
      </c>
      <c r="C31" s="374">
        <v>0</v>
      </c>
      <c r="D31" s="374">
        <v>0</v>
      </c>
      <c r="E31" s="374">
        <v>0</v>
      </c>
      <c r="F31" s="374">
        <v>0</v>
      </c>
      <c r="G31" s="374">
        <v>0</v>
      </c>
      <c r="H31" s="374">
        <v>0</v>
      </c>
      <c r="I31" s="374">
        <v>0</v>
      </c>
      <c r="J31" s="374">
        <v>0</v>
      </c>
      <c r="K31" s="374">
        <v>0</v>
      </c>
      <c r="L31" s="374">
        <v>0</v>
      </c>
      <c r="M31" s="374">
        <v>0</v>
      </c>
      <c r="N31" s="374">
        <v>0</v>
      </c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</row>
    <row r="32" spans="1:27" ht="16" customHeight="1">
      <c r="A32" s="67" t="s">
        <v>45</v>
      </c>
      <c r="B32" s="913">
        <v>4.7840385634859066</v>
      </c>
      <c r="C32" s="374">
        <v>4.7520000000000007</v>
      </c>
      <c r="D32" s="374">
        <v>4.7610000000000001</v>
      </c>
      <c r="E32" s="374">
        <v>4.7720000000000002</v>
      </c>
      <c r="F32" s="374">
        <v>4.78</v>
      </c>
      <c r="G32" s="374">
        <v>4.78</v>
      </c>
      <c r="H32" s="374">
        <v>4.7849999999999993</v>
      </c>
      <c r="I32" s="374">
        <v>4.7874999999999996</v>
      </c>
      <c r="J32" s="374">
        <v>4.79</v>
      </c>
      <c r="K32" s="374">
        <v>4.793000000000001</v>
      </c>
      <c r="L32" s="374">
        <v>4.7959999999999994</v>
      </c>
      <c r="M32" s="374">
        <v>4.7989999999999995</v>
      </c>
      <c r="N32" s="374">
        <v>4.8020000000000005</v>
      </c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</row>
    <row r="33" spans="1:27" ht="16" customHeight="1">
      <c r="A33" s="67" t="s">
        <v>46</v>
      </c>
      <c r="B33" s="913">
        <v>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</row>
    <row r="34" spans="1:27" ht="16" customHeight="1" thickBot="1">
      <c r="A34" s="113" t="s">
        <v>47</v>
      </c>
      <c r="B34" s="914">
        <v>0</v>
      </c>
      <c r="C34" s="375">
        <v>0</v>
      </c>
      <c r="D34" s="375">
        <v>0</v>
      </c>
      <c r="E34" s="375">
        <v>0</v>
      </c>
      <c r="F34" s="375">
        <v>0</v>
      </c>
      <c r="G34" s="375">
        <v>0</v>
      </c>
      <c r="H34" s="375">
        <v>0</v>
      </c>
      <c r="I34" s="375">
        <v>0</v>
      </c>
      <c r="J34" s="375">
        <v>0</v>
      </c>
      <c r="K34" s="375">
        <v>0</v>
      </c>
      <c r="L34" s="375">
        <v>0</v>
      </c>
      <c r="M34" s="375">
        <v>0</v>
      </c>
      <c r="N34" s="375">
        <v>0</v>
      </c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</row>
    <row r="35" spans="1:27" ht="9" customHeight="1">
      <c r="A35" s="449" t="s">
        <v>330</v>
      </c>
      <c r="B35" s="520"/>
      <c r="C35" s="521"/>
      <c r="D35" s="521"/>
      <c r="E35" s="379"/>
      <c r="F35" s="379"/>
      <c r="G35" s="379"/>
      <c r="H35" s="379"/>
      <c r="I35" s="379"/>
      <c r="J35" s="379"/>
      <c r="K35" s="379"/>
      <c r="L35" s="379"/>
      <c r="M35" s="379"/>
      <c r="N35" s="379"/>
    </row>
    <row r="36" spans="1:27" ht="9" customHeight="1">
      <c r="A36" s="449" t="s">
        <v>304</v>
      </c>
      <c r="B36" s="521"/>
      <c r="C36" s="521"/>
      <c r="D36" s="521"/>
      <c r="E36" s="379"/>
      <c r="F36" s="379"/>
      <c r="G36" s="379"/>
      <c r="H36" s="379"/>
      <c r="I36" s="379"/>
      <c r="J36" s="379"/>
      <c r="K36" s="379"/>
      <c r="L36" s="379"/>
      <c r="M36" s="379"/>
      <c r="N36" s="379"/>
    </row>
    <row r="37" spans="1:27" ht="9" customHeight="1">
      <c r="A37" s="451" t="s">
        <v>303</v>
      </c>
      <c r="B37" s="464"/>
      <c r="C37" s="464"/>
      <c r="D37" s="464"/>
      <c r="E37" s="173"/>
      <c r="F37" s="173"/>
      <c r="G37" s="173"/>
      <c r="H37" s="173"/>
      <c r="I37" s="173"/>
      <c r="J37" s="173"/>
      <c r="K37" s="173"/>
      <c r="L37" s="173"/>
      <c r="M37" s="173"/>
      <c r="N37" s="173"/>
    </row>
    <row r="38" spans="1:27" ht="13.25" customHeight="1">
      <c r="A38" s="522"/>
      <c r="B38" s="464"/>
      <c r="C38" s="464"/>
      <c r="D38" s="464"/>
    </row>
    <row r="39" spans="1:27" ht="13.25" customHeight="1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Hoja107">
    <tabColor theme="9" tint="0.59999389629810485"/>
  </sheetPr>
  <dimension ref="A1:AB39"/>
  <sheetViews>
    <sheetView showGridLines="0" zoomScaleNormal="100" workbookViewId="0">
      <selection activeCell="P8" sqref="P8"/>
    </sheetView>
  </sheetViews>
  <sheetFormatPr baseColWidth="10" defaultColWidth="7" defaultRowHeight="13.25" customHeight="1"/>
  <cols>
    <col min="1" max="1" width="14" style="67" customWidth="1"/>
    <col min="2" max="2" width="9" style="67" customWidth="1"/>
    <col min="3" max="14" width="9.19921875" style="67" customWidth="1"/>
    <col min="15" max="16384" width="7" style="67"/>
  </cols>
  <sheetData>
    <row r="1" spans="1:28" ht="17" customHeight="1">
      <c r="A1" s="381" t="s">
        <v>540</v>
      </c>
      <c r="B1" s="381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</row>
    <row r="2" spans="1:28" ht="13.25" customHeight="1">
      <c r="A2" s="377" t="s">
        <v>294</v>
      </c>
      <c r="B2" s="226"/>
      <c r="C2" s="101"/>
      <c r="D2" s="101"/>
      <c r="E2" s="101"/>
      <c r="F2" s="101"/>
      <c r="G2" s="104"/>
      <c r="H2" s="103"/>
      <c r="I2" s="101"/>
      <c r="J2" s="101"/>
      <c r="K2" s="101"/>
      <c r="L2" s="101"/>
      <c r="M2" s="101"/>
      <c r="N2" s="101"/>
    </row>
    <row r="3" spans="1:28" ht="6" customHeight="1" thickBot="1">
      <c r="A3" s="103"/>
      <c r="B3" s="101"/>
      <c r="C3" s="101"/>
      <c r="D3" s="101"/>
      <c r="E3" s="101"/>
      <c r="F3" s="101"/>
      <c r="G3" s="104"/>
      <c r="H3" s="103"/>
      <c r="I3" s="101"/>
      <c r="J3" s="101"/>
      <c r="K3" s="101"/>
      <c r="L3" s="101"/>
      <c r="M3" s="101"/>
      <c r="N3" s="101"/>
    </row>
    <row r="4" spans="1:28" ht="18" customHeight="1">
      <c r="A4" s="732" t="s">
        <v>16</v>
      </c>
      <c r="B4" s="732" t="s">
        <v>52</v>
      </c>
      <c r="C4" s="732" t="s">
        <v>53</v>
      </c>
      <c r="D4" s="732" t="s">
        <v>54</v>
      </c>
      <c r="E4" s="732" t="s">
        <v>55</v>
      </c>
      <c r="F4" s="732" t="s">
        <v>56</v>
      </c>
      <c r="G4" s="732" t="s">
        <v>57</v>
      </c>
      <c r="H4" s="732" t="s">
        <v>58</v>
      </c>
      <c r="I4" s="732" t="s">
        <v>59</v>
      </c>
      <c r="J4" s="732" t="s">
        <v>60</v>
      </c>
      <c r="K4" s="732" t="s">
        <v>61</v>
      </c>
      <c r="L4" s="732" t="s">
        <v>62</v>
      </c>
      <c r="M4" s="732" t="s">
        <v>63</v>
      </c>
      <c r="N4" s="732" t="s">
        <v>64</v>
      </c>
    </row>
    <row r="5" spans="1:28" ht="18" customHeight="1">
      <c r="A5" s="693" t="s">
        <v>100</v>
      </c>
      <c r="B5" s="912">
        <v>4.7840641109549926</v>
      </c>
      <c r="C5" s="695">
        <v>4.6927148753963372</v>
      </c>
      <c r="D5" s="695">
        <v>4.7484503231349811</v>
      </c>
      <c r="E5" s="695">
        <v>4.777757535479485</v>
      </c>
      <c r="F5" s="695">
        <v>4.822046173316906</v>
      </c>
      <c r="G5" s="695">
        <v>4.8094498447178813</v>
      </c>
      <c r="H5" s="695">
        <v>4.8067021735472366</v>
      </c>
      <c r="I5" s="695">
        <v>4.8069571423503783</v>
      </c>
      <c r="J5" s="695">
        <v>4.806152880836561</v>
      </c>
      <c r="K5" s="695">
        <v>4.7967137272340841</v>
      </c>
      <c r="L5" s="695">
        <v>4.7797468611618328</v>
      </c>
      <c r="M5" s="695">
        <v>4.7741180508641055</v>
      </c>
      <c r="N5" s="695">
        <v>4.7280663962707683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</row>
    <row r="6" spans="1:28" ht="16" customHeight="1">
      <c r="A6" s="67" t="s">
        <v>19</v>
      </c>
      <c r="B6" s="913">
        <v>0</v>
      </c>
      <c r="C6" s="374">
        <v>0</v>
      </c>
      <c r="D6" s="374">
        <v>0</v>
      </c>
      <c r="E6" s="374">
        <v>0</v>
      </c>
      <c r="F6" s="374">
        <v>0</v>
      </c>
      <c r="G6" s="374">
        <v>0</v>
      </c>
      <c r="H6" s="374">
        <v>0</v>
      </c>
      <c r="I6" s="374">
        <v>0</v>
      </c>
      <c r="J6" s="374">
        <v>0</v>
      </c>
      <c r="K6" s="374">
        <v>0</v>
      </c>
      <c r="L6" s="374">
        <v>0</v>
      </c>
      <c r="M6" s="374">
        <v>0</v>
      </c>
      <c r="N6" s="374">
        <v>0</v>
      </c>
      <c r="O6" s="10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</row>
    <row r="7" spans="1:28" ht="16" customHeight="1">
      <c r="A7" s="67" t="s">
        <v>20</v>
      </c>
      <c r="B7" s="913">
        <v>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</row>
    <row r="8" spans="1:28" ht="16" customHeight="1">
      <c r="A8" s="67" t="s">
        <v>21</v>
      </c>
      <c r="B8" s="913">
        <v>0</v>
      </c>
      <c r="C8" s="374">
        <v>0</v>
      </c>
      <c r="D8" s="374">
        <v>0</v>
      </c>
      <c r="E8" s="374">
        <v>0</v>
      </c>
      <c r="F8" s="374">
        <v>0</v>
      </c>
      <c r="G8" s="374">
        <v>0</v>
      </c>
      <c r="H8" s="374">
        <v>0</v>
      </c>
      <c r="I8" s="374">
        <v>0</v>
      </c>
      <c r="J8" s="374">
        <v>0</v>
      </c>
      <c r="K8" s="374">
        <v>0</v>
      </c>
      <c r="L8" s="374">
        <v>0</v>
      </c>
      <c r="M8" s="374">
        <v>0</v>
      </c>
      <c r="N8" s="374">
        <v>0</v>
      </c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</row>
    <row r="9" spans="1:28" ht="16" customHeight="1">
      <c r="A9" s="67" t="s">
        <v>22</v>
      </c>
      <c r="B9" s="913">
        <v>4.4873171611436042</v>
      </c>
      <c r="C9" s="374">
        <v>4.4139999999999997</v>
      </c>
      <c r="D9" s="374">
        <v>0</v>
      </c>
      <c r="E9" s="374">
        <v>0</v>
      </c>
      <c r="F9" s="374">
        <v>4.4690000000000012</v>
      </c>
      <c r="G9" s="374">
        <v>4.4740000000000002</v>
      </c>
      <c r="H9" s="374">
        <v>4.4829999999999988</v>
      </c>
      <c r="I9" s="374">
        <v>4.4899999999999993</v>
      </c>
      <c r="J9" s="374">
        <v>4.4940000000000007</v>
      </c>
      <c r="K9" s="374">
        <v>4.5020000000000007</v>
      </c>
      <c r="L9" s="374">
        <v>4.504999999999999</v>
      </c>
      <c r="M9" s="374">
        <v>4.51</v>
      </c>
      <c r="N9" s="374">
        <v>4.5149999999999997</v>
      </c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</row>
    <row r="10" spans="1:28" ht="16" customHeight="1">
      <c r="A10" s="67" t="s">
        <v>23</v>
      </c>
      <c r="B10" s="913">
        <v>0</v>
      </c>
      <c r="C10" s="374">
        <v>0</v>
      </c>
      <c r="D10" s="374">
        <v>0</v>
      </c>
      <c r="E10" s="374">
        <v>0</v>
      </c>
      <c r="F10" s="374">
        <v>0</v>
      </c>
      <c r="G10" s="374">
        <v>0</v>
      </c>
      <c r="H10" s="374">
        <v>0</v>
      </c>
      <c r="I10" s="374">
        <v>0</v>
      </c>
      <c r="J10" s="374">
        <v>0</v>
      </c>
      <c r="K10" s="374">
        <v>0</v>
      </c>
      <c r="L10" s="374">
        <v>0</v>
      </c>
      <c r="M10" s="374">
        <v>0</v>
      </c>
      <c r="N10" s="374">
        <v>0</v>
      </c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</row>
    <row r="11" spans="1:28" ht="16" customHeight="1">
      <c r="A11" s="67" t="s">
        <v>94</v>
      </c>
      <c r="B11" s="913">
        <v>0</v>
      </c>
      <c r="C11" s="374">
        <v>0</v>
      </c>
      <c r="D11" s="374">
        <v>0</v>
      </c>
      <c r="E11" s="374">
        <v>0</v>
      </c>
      <c r="F11" s="374">
        <v>0</v>
      </c>
      <c r="G11" s="374">
        <v>0</v>
      </c>
      <c r="H11" s="374">
        <v>0</v>
      </c>
      <c r="I11" s="374">
        <v>0</v>
      </c>
      <c r="J11" s="374">
        <v>0</v>
      </c>
      <c r="K11" s="374">
        <v>0</v>
      </c>
      <c r="L11" s="374">
        <v>0</v>
      </c>
      <c r="M11" s="374">
        <v>0</v>
      </c>
      <c r="N11" s="374">
        <v>0</v>
      </c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</row>
    <row r="12" spans="1:28" ht="16" customHeight="1">
      <c r="A12" s="67" t="s">
        <v>95</v>
      </c>
      <c r="B12" s="913">
        <v>0</v>
      </c>
      <c r="C12" s="374">
        <v>0</v>
      </c>
      <c r="D12" s="374">
        <v>0</v>
      </c>
      <c r="E12" s="374">
        <v>0</v>
      </c>
      <c r="F12" s="374">
        <v>0</v>
      </c>
      <c r="G12" s="374">
        <v>0</v>
      </c>
      <c r="H12" s="374">
        <v>0</v>
      </c>
      <c r="I12" s="374">
        <v>0</v>
      </c>
      <c r="J12" s="374">
        <v>0</v>
      </c>
      <c r="K12" s="374">
        <v>0</v>
      </c>
      <c r="L12" s="374">
        <v>0</v>
      </c>
      <c r="M12" s="374">
        <v>0</v>
      </c>
      <c r="N12" s="374">
        <v>0</v>
      </c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</row>
    <row r="13" spans="1:28" ht="16" customHeight="1">
      <c r="A13" s="67" t="s">
        <v>124</v>
      </c>
      <c r="B13" s="913">
        <v>0</v>
      </c>
      <c r="C13" s="374">
        <v>0</v>
      </c>
      <c r="D13" s="374">
        <v>0</v>
      </c>
      <c r="E13" s="374">
        <v>0</v>
      </c>
      <c r="F13" s="374">
        <v>0</v>
      </c>
      <c r="G13" s="374">
        <v>0</v>
      </c>
      <c r="H13" s="374">
        <v>0</v>
      </c>
      <c r="I13" s="374">
        <v>0</v>
      </c>
      <c r="J13" s="374">
        <v>0</v>
      </c>
      <c r="K13" s="374">
        <v>0</v>
      </c>
      <c r="L13" s="374">
        <v>0</v>
      </c>
      <c r="M13" s="374">
        <v>0</v>
      </c>
      <c r="N13" s="374">
        <v>0</v>
      </c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</row>
    <row r="14" spans="1:28" ht="16" customHeight="1">
      <c r="A14" s="67" t="s">
        <v>27</v>
      </c>
      <c r="B14" s="913">
        <v>0</v>
      </c>
      <c r="C14" s="374">
        <v>0</v>
      </c>
      <c r="D14" s="374">
        <v>0</v>
      </c>
      <c r="E14" s="374">
        <v>0</v>
      </c>
      <c r="F14" s="374">
        <v>0</v>
      </c>
      <c r="G14" s="374">
        <v>0</v>
      </c>
      <c r="H14" s="374">
        <v>0</v>
      </c>
      <c r="I14" s="374">
        <v>0</v>
      </c>
      <c r="J14" s="374">
        <v>0</v>
      </c>
      <c r="K14" s="374">
        <v>0</v>
      </c>
      <c r="L14" s="374">
        <v>0</v>
      </c>
      <c r="M14" s="374">
        <v>0</v>
      </c>
      <c r="N14" s="374">
        <v>0</v>
      </c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</row>
    <row r="15" spans="1:28" ht="16" customHeight="1">
      <c r="A15" s="67" t="s">
        <v>28</v>
      </c>
      <c r="B15" s="913">
        <v>4.0555754744451047</v>
      </c>
      <c r="C15" s="374">
        <v>4.0010000000000012</v>
      </c>
      <c r="D15" s="374">
        <v>4.0210000000000008</v>
      </c>
      <c r="E15" s="374">
        <v>4.0359999999999996</v>
      </c>
      <c r="F15" s="374">
        <v>4.048</v>
      </c>
      <c r="G15" s="374">
        <v>4.0510000000000002</v>
      </c>
      <c r="H15" s="374">
        <v>4.0585000000000004</v>
      </c>
      <c r="I15" s="374">
        <v>4.0629999999999997</v>
      </c>
      <c r="J15" s="374">
        <v>4.0690000000000008</v>
      </c>
      <c r="K15" s="374">
        <v>4.0750000000000011</v>
      </c>
      <c r="L15" s="374">
        <v>4.08</v>
      </c>
      <c r="M15" s="374">
        <v>4.0839999999999996</v>
      </c>
      <c r="N15" s="374">
        <v>4.0880000000000001</v>
      </c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</row>
    <row r="16" spans="1:28" ht="16" customHeight="1">
      <c r="A16" s="67" t="s">
        <v>29</v>
      </c>
      <c r="B16" s="913">
        <v>4.2550268705395951</v>
      </c>
      <c r="C16" s="374">
        <v>4.1829999999999989</v>
      </c>
      <c r="D16" s="374">
        <v>4.1939999999999991</v>
      </c>
      <c r="E16" s="374">
        <v>4.2270000000000003</v>
      </c>
      <c r="F16" s="374">
        <v>4.25</v>
      </c>
      <c r="G16" s="374">
        <v>4.2539999999999996</v>
      </c>
      <c r="H16" s="374">
        <v>4.2599</v>
      </c>
      <c r="I16" s="374">
        <v>4.2640000000000011</v>
      </c>
      <c r="J16" s="374">
        <v>4.2698</v>
      </c>
      <c r="K16" s="374">
        <v>4.2750000000000012</v>
      </c>
      <c r="L16" s="374">
        <v>4.2805999999999989</v>
      </c>
      <c r="M16" s="374">
        <v>4.2845999999999993</v>
      </c>
      <c r="N16" s="374">
        <v>4.2887000000000004</v>
      </c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</row>
    <row r="17" spans="1:28" ht="16" customHeight="1">
      <c r="A17" s="67" t="s">
        <v>30</v>
      </c>
      <c r="B17" s="913">
        <v>0</v>
      </c>
      <c r="C17" s="374">
        <v>0</v>
      </c>
      <c r="D17" s="374">
        <v>0</v>
      </c>
      <c r="E17" s="374">
        <v>0</v>
      </c>
      <c r="F17" s="374">
        <v>0</v>
      </c>
      <c r="G17" s="374">
        <v>0</v>
      </c>
      <c r="H17" s="374">
        <v>0</v>
      </c>
      <c r="I17" s="374">
        <v>0</v>
      </c>
      <c r="J17" s="374">
        <v>0</v>
      </c>
      <c r="K17" s="374">
        <v>0</v>
      </c>
      <c r="L17" s="374">
        <v>0</v>
      </c>
      <c r="M17" s="374">
        <v>0</v>
      </c>
      <c r="N17" s="374">
        <v>0</v>
      </c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</row>
    <row r="18" spans="1:28" ht="16" customHeight="1">
      <c r="A18" s="67" t="s">
        <v>31</v>
      </c>
      <c r="B18" s="913">
        <v>4.377875919792265</v>
      </c>
      <c r="C18" s="374">
        <v>4.3200000000000012</v>
      </c>
      <c r="D18" s="374">
        <v>4.3319999999999999</v>
      </c>
      <c r="E18" s="374">
        <v>4.3550000000000004</v>
      </c>
      <c r="F18" s="374">
        <v>4.3730000000000011</v>
      </c>
      <c r="G18" s="374">
        <v>4.3780000000000001</v>
      </c>
      <c r="H18" s="374">
        <v>4.3819999999999997</v>
      </c>
      <c r="I18" s="374">
        <v>4.3865000000000007</v>
      </c>
      <c r="J18" s="374">
        <v>4.3910000000000009</v>
      </c>
      <c r="K18" s="374">
        <v>4.3949999999999987</v>
      </c>
      <c r="L18" s="374">
        <v>4.3979999999999997</v>
      </c>
      <c r="M18" s="374">
        <v>4.4019999999999992</v>
      </c>
      <c r="N18" s="374">
        <v>4.4059999999999988</v>
      </c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</row>
    <row r="19" spans="1:28" ht="16" customHeight="1">
      <c r="A19" s="67" t="s">
        <v>32</v>
      </c>
      <c r="B19" s="913">
        <v>4.3525505461351717</v>
      </c>
      <c r="C19" s="374">
        <v>4.3</v>
      </c>
      <c r="D19" s="374">
        <v>4.3109999999999991</v>
      </c>
      <c r="E19" s="374">
        <v>4.3339999999999987</v>
      </c>
      <c r="F19" s="374">
        <v>4.3540000000000001</v>
      </c>
      <c r="G19" s="374">
        <v>4.3540000000000001</v>
      </c>
      <c r="H19" s="374">
        <v>4.3570000000000002</v>
      </c>
      <c r="I19" s="374">
        <v>4.3585000000000003</v>
      </c>
      <c r="J19" s="374">
        <v>4.3600000000000012</v>
      </c>
      <c r="K19" s="374">
        <v>4.362000000000001</v>
      </c>
      <c r="L19" s="374">
        <v>4.3636999999999997</v>
      </c>
      <c r="M19" s="374">
        <v>4.3669999999999991</v>
      </c>
      <c r="N19" s="374">
        <v>4.3703000000000003</v>
      </c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</row>
    <row r="20" spans="1:28" ht="16" customHeight="1">
      <c r="A20" s="67" t="s">
        <v>33</v>
      </c>
      <c r="B20" s="913">
        <v>4.6227735445353213</v>
      </c>
      <c r="C20" s="374">
        <v>4.57</v>
      </c>
      <c r="D20" s="374">
        <v>4.581999999999999</v>
      </c>
      <c r="E20" s="374">
        <v>4.5970000000000004</v>
      </c>
      <c r="F20" s="374">
        <v>4.609</v>
      </c>
      <c r="G20" s="374">
        <v>4.6159999999999997</v>
      </c>
      <c r="H20" s="374">
        <v>4.6230000000000002</v>
      </c>
      <c r="I20" s="374">
        <v>4.6300000000000017</v>
      </c>
      <c r="J20" s="374">
        <v>4.6370000000000013</v>
      </c>
      <c r="K20" s="374">
        <v>4.6440000000000019</v>
      </c>
      <c r="L20" s="374">
        <v>4.649</v>
      </c>
      <c r="M20" s="374">
        <v>4.6529999999999996</v>
      </c>
      <c r="N20" s="374">
        <v>4.6569999999999991</v>
      </c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</row>
    <row r="21" spans="1:28" ht="16" customHeight="1">
      <c r="A21" s="67" t="s">
        <v>34</v>
      </c>
      <c r="B21" s="913">
        <v>4.2382518305063677</v>
      </c>
      <c r="C21" s="374">
        <v>4.1999999999999993</v>
      </c>
      <c r="D21" s="374">
        <v>4.2130000000000001</v>
      </c>
      <c r="E21" s="374">
        <v>4.2260000000000009</v>
      </c>
      <c r="F21" s="374">
        <v>4.2389999999999999</v>
      </c>
      <c r="G21" s="374">
        <v>4.237000000000001</v>
      </c>
      <c r="H21" s="374">
        <v>4.242</v>
      </c>
      <c r="I21" s="374">
        <v>4.2435</v>
      </c>
      <c r="J21" s="374">
        <v>4.2450000000000001</v>
      </c>
      <c r="K21" s="374">
        <v>4.2469999999999999</v>
      </c>
      <c r="L21" s="374">
        <v>4.2489999999999997</v>
      </c>
      <c r="M21" s="374">
        <v>4.253000000000001</v>
      </c>
      <c r="N21" s="374">
        <v>4.2569999999999988</v>
      </c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</row>
    <row r="22" spans="1:28" ht="16" customHeight="1">
      <c r="A22" s="67" t="s">
        <v>35</v>
      </c>
      <c r="B22" s="913">
        <v>4.7664832475776731</v>
      </c>
      <c r="C22" s="374">
        <v>4.702</v>
      </c>
      <c r="D22" s="374">
        <v>4.7130000000000001</v>
      </c>
      <c r="E22" s="374">
        <v>4.7360000000000007</v>
      </c>
      <c r="F22" s="374">
        <v>4.7560000000000002</v>
      </c>
      <c r="G22" s="374">
        <v>4.7599999999999989</v>
      </c>
      <c r="H22" s="374">
        <v>4.7699999999999996</v>
      </c>
      <c r="I22" s="374">
        <v>4.7769999999999992</v>
      </c>
      <c r="J22" s="374">
        <v>4.7839999999999989</v>
      </c>
      <c r="K22" s="374">
        <v>4.7919999999999998</v>
      </c>
      <c r="L22" s="374">
        <v>4.794999999999999</v>
      </c>
      <c r="M22" s="374">
        <v>4.7989999999999995</v>
      </c>
      <c r="N22" s="374">
        <v>4.8029999999999999</v>
      </c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</row>
    <row r="23" spans="1:28" ht="16" customHeight="1">
      <c r="A23" s="67" t="s">
        <v>36</v>
      </c>
      <c r="B23" s="913">
        <v>4.3637569146381523</v>
      </c>
      <c r="C23" s="374">
        <v>4.3140000000000009</v>
      </c>
      <c r="D23" s="374">
        <v>4.3250000000000002</v>
      </c>
      <c r="E23" s="374">
        <v>4.3389999999999995</v>
      </c>
      <c r="F23" s="374">
        <v>4.3530000000000006</v>
      </c>
      <c r="G23" s="374">
        <v>4.3559999999999999</v>
      </c>
      <c r="H23" s="374">
        <v>4.3639999999999999</v>
      </c>
      <c r="I23" s="374">
        <v>4.3694999999999986</v>
      </c>
      <c r="J23" s="374">
        <v>4.375</v>
      </c>
      <c r="K23" s="374">
        <v>4.3810000000000011</v>
      </c>
      <c r="L23" s="374">
        <v>4.3840000000000003</v>
      </c>
      <c r="M23" s="374">
        <v>4.3870000000000005</v>
      </c>
      <c r="N23" s="374">
        <v>4.3899999999999988</v>
      </c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</row>
    <row r="24" spans="1:28" ht="16" customHeight="1">
      <c r="A24" s="67" t="s">
        <v>37</v>
      </c>
      <c r="B24" s="913">
        <v>4.9060158510541267</v>
      </c>
      <c r="C24" s="374">
        <v>4.82</v>
      </c>
      <c r="D24" s="374">
        <v>4.8410000000000002</v>
      </c>
      <c r="E24" s="374">
        <v>4.8739999999999997</v>
      </c>
      <c r="F24" s="374">
        <v>4.9010000000000007</v>
      </c>
      <c r="G24" s="374">
        <v>4.9040999999999988</v>
      </c>
      <c r="H24" s="374">
        <v>4.9124999999999988</v>
      </c>
      <c r="I24" s="374">
        <v>4.9169999999999989</v>
      </c>
      <c r="J24" s="374">
        <v>4.9240000000000004</v>
      </c>
      <c r="K24" s="374">
        <v>4.931</v>
      </c>
      <c r="L24" s="374">
        <v>4.934099999999999</v>
      </c>
      <c r="M24" s="374">
        <v>4.9380999999999995</v>
      </c>
      <c r="N24" s="374">
        <v>4.942099999999999</v>
      </c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</row>
    <row r="25" spans="1:28" ht="16" customHeight="1">
      <c r="A25" s="67" t="s">
        <v>38</v>
      </c>
      <c r="B25" s="913">
        <v>4.036947040987048</v>
      </c>
      <c r="C25" s="374">
        <v>4.0010000000000003</v>
      </c>
      <c r="D25" s="374">
        <v>4.0119999999999996</v>
      </c>
      <c r="E25" s="374">
        <v>4.0250000000000012</v>
      </c>
      <c r="F25" s="374">
        <v>4.0380000000000003</v>
      </c>
      <c r="G25" s="374">
        <v>4.0360000000000005</v>
      </c>
      <c r="H25" s="374">
        <v>4.0414999999999992</v>
      </c>
      <c r="I25" s="374">
        <v>4.0430000000000001</v>
      </c>
      <c r="J25" s="374">
        <v>4.0449999999999982</v>
      </c>
      <c r="K25" s="374">
        <v>4.0479999999999974</v>
      </c>
      <c r="L25" s="374">
        <v>4.05</v>
      </c>
      <c r="M25" s="374">
        <v>4.0539999999999994</v>
      </c>
      <c r="N25" s="374">
        <v>4.0579999999999998</v>
      </c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</row>
    <row r="26" spans="1:28" ht="16" customHeight="1">
      <c r="A26" s="67" t="s">
        <v>39</v>
      </c>
      <c r="B26" s="913">
        <v>3.6375569212348804</v>
      </c>
      <c r="C26" s="374">
        <v>3.6012590963898155</v>
      </c>
      <c r="D26" s="374">
        <v>3.6126735472321361</v>
      </c>
      <c r="E26" s="374">
        <v>3.6266701973246356</v>
      </c>
      <c r="F26" s="374">
        <v>3.6383419106917003</v>
      </c>
      <c r="G26" s="374">
        <v>3.6406661033175478</v>
      </c>
      <c r="H26" s="374">
        <v>3.644006433756585</v>
      </c>
      <c r="I26" s="374">
        <v>3.6464142147497136</v>
      </c>
      <c r="J26" s="374">
        <v>3.6463799729298598</v>
      </c>
      <c r="K26" s="374">
        <v>3.6481328504403652</v>
      </c>
      <c r="L26" s="374">
        <v>3.6490746748239169</v>
      </c>
      <c r="M26" s="374">
        <v>3.6498188386653641</v>
      </c>
      <c r="N26" s="374">
        <v>3.6539159967845656</v>
      </c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</row>
    <row r="27" spans="1:28" ht="16" customHeight="1">
      <c r="A27" s="67" t="s">
        <v>97</v>
      </c>
      <c r="B27" s="913">
        <v>3.6371877033099627</v>
      </c>
      <c r="C27" s="374">
        <v>3.6019999999999994</v>
      </c>
      <c r="D27" s="374">
        <v>3.6130000000000004</v>
      </c>
      <c r="E27" s="374">
        <v>3.6269999999999993</v>
      </c>
      <c r="F27" s="374">
        <v>3.6380000000000003</v>
      </c>
      <c r="G27" s="374">
        <v>3.6400000000000006</v>
      </c>
      <c r="H27" s="374">
        <v>3.6430000000000002</v>
      </c>
      <c r="I27" s="374">
        <v>3.645</v>
      </c>
      <c r="J27" s="374">
        <v>3.6439999999999997</v>
      </c>
      <c r="K27" s="374">
        <v>3.645</v>
      </c>
      <c r="L27" s="374">
        <v>3.6455000000000002</v>
      </c>
      <c r="M27" s="374">
        <v>3.6495000000000006</v>
      </c>
      <c r="N27" s="374">
        <v>3.6535000000000006</v>
      </c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</row>
    <row r="28" spans="1:28" ht="16" customHeight="1">
      <c r="A28" s="67" t="s">
        <v>98</v>
      </c>
      <c r="B28" s="913">
        <v>3.6383487128070162</v>
      </c>
      <c r="C28" s="374">
        <v>3.5999999999999992</v>
      </c>
      <c r="D28" s="374">
        <v>3.6120000000000005</v>
      </c>
      <c r="E28" s="374">
        <v>3.6260000000000003</v>
      </c>
      <c r="F28" s="374">
        <v>3.6389999999999998</v>
      </c>
      <c r="G28" s="374">
        <v>3.6419999999999995</v>
      </c>
      <c r="H28" s="374">
        <v>3.6459999999999995</v>
      </c>
      <c r="I28" s="374">
        <v>3.6490000000000005</v>
      </c>
      <c r="J28" s="374">
        <v>3.6510000000000002</v>
      </c>
      <c r="K28" s="374">
        <v>3.6539999999999999</v>
      </c>
      <c r="L28" s="374">
        <v>3.656000000000001</v>
      </c>
      <c r="M28" s="374">
        <v>3.6509999999999994</v>
      </c>
      <c r="N28" s="374">
        <v>3.6560000000000001</v>
      </c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</row>
    <row r="29" spans="1:28" ht="16" customHeight="1">
      <c r="A29" s="67" t="s">
        <v>42</v>
      </c>
      <c r="B29" s="913">
        <v>4.8801466180755169</v>
      </c>
      <c r="C29" s="374">
        <v>4.8350000000000009</v>
      </c>
      <c r="D29" s="374">
        <v>4.8419999999999996</v>
      </c>
      <c r="E29" s="374">
        <v>4.8570000000000002</v>
      </c>
      <c r="F29" s="374">
        <v>4.870000000000001</v>
      </c>
      <c r="G29" s="374">
        <v>4.8740000000000006</v>
      </c>
      <c r="H29" s="374">
        <v>4.8810000000000002</v>
      </c>
      <c r="I29" s="374">
        <v>4.8864999999999998</v>
      </c>
      <c r="J29" s="374">
        <v>4.8919999999999995</v>
      </c>
      <c r="K29" s="374">
        <v>4.8979999999999988</v>
      </c>
      <c r="L29" s="374">
        <v>4.9029999999999987</v>
      </c>
      <c r="M29" s="374">
        <v>4.9000000000000004</v>
      </c>
      <c r="N29" s="374">
        <v>4.9300000000000006</v>
      </c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</row>
    <row r="30" spans="1:28" ht="16" customHeight="1">
      <c r="A30" s="67" t="s">
        <v>43</v>
      </c>
      <c r="B30" s="913">
        <v>5.0378736285540375</v>
      </c>
      <c r="C30" s="374">
        <v>5.0010000000000012</v>
      </c>
      <c r="D30" s="374">
        <v>5.011000000000001</v>
      </c>
      <c r="E30" s="374">
        <v>5.0249999999999995</v>
      </c>
      <c r="F30" s="374">
        <v>5.0369999999999999</v>
      </c>
      <c r="G30" s="374">
        <v>5.04</v>
      </c>
      <c r="H30" s="374">
        <v>5.0423999999999998</v>
      </c>
      <c r="I30" s="374">
        <v>5.0450999999999997</v>
      </c>
      <c r="J30" s="374">
        <v>5.0457999999999998</v>
      </c>
      <c r="K30" s="374">
        <v>5.048</v>
      </c>
      <c r="L30" s="374">
        <v>5.049100000000001</v>
      </c>
      <c r="M30" s="374">
        <v>5.0530999999999997</v>
      </c>
      <c r="N30" s="374">
        <v>5.0570999999999993</v>
      </c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</row>
    <row r="31" spans="1:28" ht="16" customHeight="1">
      <c r="A31" s="67" t="s">
        <v>44</v>
      </c>
      <c r="B31" s="913">
        <v>0</v>
      </c>
      <c r="C31" s="374">
        <v>0</v>
      </c>
      <c r="D31" s="374">
        <v>0</v>
      </c>
      <c r="E31" s="374">
        <v>0</v>
      </c>
      <c r="F31" s="374">
        <v>0</v>
      </c>
      <c r="G31" s="374">
        <v>0</v>
      </c>
      <c r="H31" s="374">
        <v>0</v>
      </c>
      <c r="I31" s="374">
        <v>0</v>
      </c>
      <c r="J31" s="374">
        <v>0</v>
      </c>
      <c r="K31" s="374">
        <v>0</v>
      </c>
      <c r="L31" s="374">
        <v>0</v>
      </c>
      <c r="M31" s="374">
        <v>0</v>
      </c>
      <c r="N31" s="374">
        <v>0</v>
      </c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</row>
    <row r="32" spans="1:28" ht="16" customHeight="1">
      <c r="A32" s="67" t="s">
        <v>45</v>
      </c>
      <c r="B32" s="913">
        <v>0</v>
      </c>
      <c r="C32" s="374">
        <v>0</v>
      </c>
      <c r="D32" s="374">
        <v>0</v>
      </c>
      <c r="E32" s="374">
        <v>0</v>
      </c>
      <c r="F32" s="374">
        <v>0</v>
      </c>
      <c r="G32" s="374">
        <v>0</v>
      </c>
      <c r="H32" s="374">
        <v>0</v>
      </c>
      <c r="I32" s="374">
        <v>0</v>
      </c>
      <c r="J32" s="374">
        <v>0</v>
      </c>
      <c r="K32" s="374">
        <v>0</v>
      </c>
      <c r="L32" s="374">
        <v>0</v>
      </c>
      <c r="M32" s="374">
        <v>0</v>
      </c>
      <c r="N32" s="374">
        <v>0</v>
      </c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</row>
    <row r="33" spans="1:28" ht="16" customHeight="1">
      <c r="A33" s="67" t="s">
        <v>46</v>
      </c>
      <c r="B33" s="913">
        <v>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</row>
    <row r="34" spans="1:28" ht="16" customHeight="1" thickBot="1">
      <c r="A34" s="113" t="s">
        <v>47</v>
      </c>
      <c r="B34" s="914">
        <v>0</v>
      </c>
      <c r="C34" s="375">
        <v>0</v>
      </c>
      <c r="D34" s="375">
        <v>0</v>
      </c>
      <c r="E34" s="375">
        <v>0</v>
      </c>
      <c r="F34" s="375">
        <v>0</v>
      </c>
      <c r="G34" s="375">
        <v>0</v>
      </c>
      <c r="H34" s="375">
        <v>0</v>
      </c>
      <c r="I34" s="375">
        <v>0</v>
      </c>
      <c r="J34" s="375">
        <v>0</v>
      </c>
      <c r="K34" s="375">
        <v>0</v>
      </c>
      <c r="L34" s="375">
        <v>0</v>
      </c>
      <c r="M34" s="375">
        <v>0</v>
      </c>
      <c r="N34" s="375">
        <v>0</v>
      </c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</row>
    <row r="35" spans="1:28" ht="9" customHeight="1">
      <c r="A35" s="449" t="s">
        <v>330</v>
      </c>
      <c r="B35" s="520"/>
      <c r="C35" s="521"/>
      <c r="D35" s="521"/>
      <c r="E35" s="379"/>
      <c r="F35" s="379"/>
      <c r="G35" s="379"/>
      <c r="H35" s="379"/>
      <c r="I35" s="379"/>
      <c r="J35" s="379"/>
      <c r="K35" s="379"/>
      <c r="L35" s="379"/>
      <c r="M35" s="379"/>
      <c r="N35" s="379"/>
    </row>
    <row r="36" spans="1:28" ht="9" customHeight="1">
      <c r="A36" s="449" t="s">
        <v>304</v>
      </c>
      <c r="B36" s="521"/>
      <c r="C36" s="521"/>
      <c r="D36" s="521"/>
      <c r="E36" s="379"/>
      <c r="F36" s="379"/>
      <c r="G36" s="379"/>
      <c r="H36" s="379"/>
      <c r="I36" s="379"/>
      <c r="J36" s="379"/>
      <c r="K36" s="379"/>
      <c r="L36" s="379"/>
      <c r="M36" s="379"/>
      <c r="N36" s="379"/>
    </row>
    <row r="37" spans="1:28" ht="9" customHeight="1">
      <c r="A37" s="451" t="s">
        <v>303</v>
      </c>
      <c r="B37" s="464"/>
      <c r="C37" s="464"/>
      <c r="D37" s="464"/>
      <c r="E37" s="173"/>
      <c r="F37" s="173"/>
      <c r="G37" s="173"/>
      <c r="H37" s="173"/>
      <c r="I37" s="173"/>
      <c r="J37" s="173"/>
      <c r="K37" s="173"/>
      <c r="L37" s="173"/>
      <c r="M37" s="173"/>
      <c r="N37" s="173"/>
    </row>
    <row r="38" spans="1:28" ht="13.25" customHeight="1">
      <c r="A38" s="522"/>
      <c r="B38" s="464"/>
      <c r="C38" s="464"/>
      <c r="D38" s="464"/>
    </row>
    <row r="39" spans="1:28" ht="13.25" customHeight="1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Hoja108">
    <tabColor theme="9" tint="0.59999389629810485"/>
  </sheetPr>
  <dimension ref="A1:AA39"/>
  <sheetViews>
    <sheetView showGridLines="0" zoomScaleNormal="100" workbookViewId="0">
      <selection activeCell="O8" sqref="O8"/>
    </sheetView>
  </sheetViews>
  <sheetFormatPr baseColWidth="10" defaultColWidth="7" defaultRowHeight="13.25" customHeight="1"/>
  <cols>
    <col min="1" max="1" width="14" style="67" customWidth="1"/>
    <col min="2" max="2" width="9" style="67" customWidth="1"/>
    <col min="3" max="14" width="9.19921875" style="67" customWidth="1"/>
    <col min="15" max="16384" width="7" style="67"/>
  </cols>
  <sheetData>
    <row r="1" spans="1:27" ht="17" customHeight="1">
      <c r="A1" s="381" t="s">
        <v>539</v>
      </c>
      <c r="B1" s="381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</row>
    <row r="2" spans="1:27" ht="13.25" customHeight="1">
      <c r="A2" s="377" t="s">
        <v>294</v>
      </c>
      <c r="B2" s="226"/>
      <c r="C2" s="101"/>
      <c r="D2" s="101"/>
      <c r="E2" s="101"/>
      <c r="F2" s="101"/>
      <c r="G2" s="104"/>
      <c r="H2" s="103"/>
      <c r="I2" s="101"/>
      <c r="J2" s="101"/>
      <c r="K2" s="101"/>
      <c r="L2" s="101"/>
      <c r="M2" s="101"/>
      <c r="N2" s="101"/>
    </row>
    <row r="3" spans="1:27" ht="6" customHeight="1" thickBot="1">
      <c r="A3" s="103"/>
      <c r="B3" s="101"/>
      <c r="C3" s="101"/>
      <c r="D3" s="101"/>
      <c r="E3" s="101"/>
      <c r="F3" s="101"/>
      <c r="G3" s="104"/>
      <c r="H3" s="103"/>
      <c r="I3" s="101"/>
      <c r="J3" s="101"/>
      <c r="K3" s="101"/>
      <c r="L3" s="101"/>
      <c r="M3" s="101"/>
      <c r="N3" s="101"/>
    </row>
    <row r="4" spans="1:27" ht="18" customHeight="1">
      <c r="A4" s="732" t="s">
        <v>16</v>
      </c>
      <c r="B4" s="732" t="s">
        <v>52</v>
      </c>
      <c r="C4" s="732" t="s">
        <v>53</v>
      </c>
      <c r="D4" s="732" t="s">
        <v>54</v>
      </c>
      <c r="E4" s="732" t="s">
        <v>55</v>
      </c>
      <c r="F4" s="732" t="s">
        <v>56</v>
      </c>
      <c r="G4" s="732" t="s">
        <v>57</v>
      </c>
      <c r="H4" s="732" t="s">
        <v>58</v>
      </c>
      <c r="I4" s="732" t="s">
        <v>59</v>
      </c>
      <c r="J4" s="732" t="s">
        <v>60</v>
      </c>
      <c r="K4" s="732" t="s">
        <v>61</v>
      </c>
      <c r="L4" s="732" t="s">
        <v>62</v>
      </c>
      <c r="M4" s="732" t="s">
        <v>63</v>
      </c>
      <c r="N4" s="732" t="s">
        <v>64</v>
      </c>
    </row>
    <row r="5" spans="1:27" ht="18" customHeight="1">
      <c r="A5" s="693" t="s">
        <v>100</v>
      </c>
      <c r="B5" s="912">
        <v>3.86088675537352</v>
      </c>
      <c r="C5" s="695">
        <v>3.747450693539379</v>
      </c>
      <c r="D5" s="695">
        <v>3.8275032006338354</v>
      </c>
      <c r="E5" s="695">
        <v>3.8566132271890203</v>
      </c>
      <c r="F5" s="695">
        <v>3.9030332706999289</v>
      </c>
      <c r="G5" s="695">
        <v>3.9063887101199892</v>
      </c>
      <c r="H5" s="695">
        <v>3.8865584501019548</v>
      </c>
      <c r="I5" s="695">
        <v>3.8843946800409763</v>
      </c>
      <c r="J5" s="695">
        <v>3.8785925656634932</v>
      </c>
      <c r="K5" s="695">
        <v>3.8794650586125834</v>
      </c>
      <c r="L5" s="695">
        <v>3.8500724919833851</v>
      </c>
      <c r="M5" s="695">
        <v>3.8383138494383968</v>
      </c>
      <c r="N5" s="695">
        <v>3.8295223287388729</v>
      </c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</row>
    <row r="6" spans="1:27" ht="16" customHeight="1">
      <c r="A6" s="67" t="s">
        <v>19</v>
      </c>
      <c r="B6" s="913">
        <v>0</v>
      </c>
      <c r="C6" s="374">
        <v>0</v>
      </c>
      <c r="D6" s="374">
        <v>0</v>
      </c>
      <c r="E6" s="374">
        <v>0</v>
      </c>
      <c r="F6" s="374">
        <v>0</v>
      </c>
      <c r="G6" s="374">
        <v>0</v>
      </c>
      <c r="H6" s="374">
        <v>0</v>
      </c>
      <c r="I6" s="374">
        <v>0</v>
      </c>
      <c r="J6" s="374">
        <v>0</v>
      </c>
      <c r="K6" s="374">
        <v>0</v>
      </c>
      <c r="L6" s="374">
        <v>0</v>
      </c>
      <c r="M6" s="374">
        <v>0</v>
      </c>
      <c r="N6" s="374">
        <v>0</v>
      </c>
      <c r="O6" s="10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</row>
    <row r="7" spans="1:27" ht="16" customHeight="1">
      <c r="A7" s="67" t="s">
        <v>20</v>
      </c>
      <c r="B7" s="913">
        <v>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</row>
    <row r="8" spans="1:27" ht="16" customHeight="1">
      <c r="A8" s="67" t="s">
        <v>21</v>
      </c>
      <c r="B8" s="913">
        <v>0</v>
      </c>
      <c r="C8" s="374">
        <v>0</v>
      </c>
      <c r="D8" s="374">
        <v>0</v>
      </c>
      <c r="E8" s="374">
        <v>0</v>
      </c>
      <c r="F8" s="374">
        <v>0</v>
      </c>
      <c r="G8" s="374">
        <v>0</v>
      </c>
      <c r="H8" s="374">
        <v>0</v>
      </c>
      <c r="I8" s="374">
        <v>0</v>
      </c>
      <c r="J8" s="374">
        <v>0</v>
      </c>
      <c r="K8" s="374">
        <v>0</v>
      </c>
      <c r="L8" s="374">
        <v>0</v>
      </c>
      <c r="M8" s="374">
        <v>0</v>
      </c>
      <c r="N8" s="374">
        <v>0</v>
      </c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</row>
    <row r="9" spans="1:27" ht="16" customHeight="1">
      <c r="A9" s="67" t="s">
        <v>22</v>
      </c>
      <c r="B9" s="913">
        <v>0</v>
      </c>
      <c r="C9" s="374">
        <v>0</v>
      </c>
      <c r="D9" s="374">
        <v>0</v>
      </c>
      <c r="E9" s="374">
        <v>0</v>
      </c>
      <c r="F9" s="374">
        <v>0</v>
      </c>
      <c r="G9" s="374">
        <v>0</v>
      </c>
      <c r="H9" s="374">
        <v>0</v>
      </c>
      <c r="I9" s="374">
        <v>0</v>
      </c>
      <c r="J9" s="374">
        <v>0</v>
      </c>
      <c r="K9" s="374">
        <v>0</v>
      </c>
      <c r="L9" s="374">
        <v>0</v>
      </c>
      <c r="M9" s="374">
        <v>0</v>
      </c>
      <c r="N9" s="374">
        <v>0</v>
      </c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</row>
    <row r="10" spans="1:27" ht="16" customHeight="1">
      <c r="A10" s="67" t="s">
        <v>23</v>
      </c>
      <c r="B10" s="913">
        <v>0</v>
      </c>
      <c r="C10" s="374">
        <v>0</v>
      </c>
      <c r="D10" s="374">
        <v>0</v>
      </c>
      <c r="E10" s="374">
        <v>0</v>
      </c>
      <c r="F10" s="374">
        <v>0</v>
      </c>
      <c r="G10" s="374">
        <v>0</v>
      </c>
      <c r="H10" s="374">
        <v>0</v>
      </c>
      <c r="I10" s="374">
        <v>0</v>
      </c>
      <c r="J10" s="374">
        <v>0</v>
      </c>
      <c r="K10" s="374">
        <v>0</v>
      </c>
      <c r="L10" s="374">
        <v>0</v>
      </c>
      <c r="M10" s="374">
        <v>0</v>
      </c>
      <c r="N10" s="374">
        <v>0</v>
      </c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</row>
    <row r="11" spans="1:27" ht="16" customHeight="1">
      <c r="A11" s="67" t="s">
        <v>94</v>
      </c>
      <c r="B11" s="913">
        <v>0</v>
      </c>
      <c r="C11" s="374">
        <v>0</v>
      </c>
      <c r="D11" s="374">
        <v>0</v>
      </c>
      <c r="E11" s="374">
        <v>0</v>
      </c>
      <c r="F11" s="374">
        <v>0</v>
      </c>
      <c r="G11" s="374">
        <v>0</v>
      </c>
      <c r="H11" s="374">
        <v>0</v>
      </c>
      <c r="I11" s="374">
        <v>0</v>
      </c>
      <c r="J11" s="374">
        <v>0</v>
      </c>
      <c r="K11" s="374">
        <v>0</v>
      </c>
      <c r="L11" s="374">
        <v>0</v>
      </c>
      <c r="M11" s="374">
        <v>0</v>
      </c>
      <c r="N11" s="374">
        <v>0</v>
      </c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</row>
    <row r="12" spans="1:27" ht="16" customHeight="1">
      <c r="A12" s="67" t="s">
        <v>95</v>
      </c>
      <c r="B12" s="913">
        <v>0</v>
      </c>
      <c r="C12" s="374">
        <v>0</v>
      </c>
      <c r="D12" s="374">
        <v>0</v>
      </c>
      <c r="E12" s="374">
        <v>0</v>
      </c>
      <c r="F12" s="374">
        <v>0</v>
      </c>
      <c r="G12" s="374">
        <v>0</v>
      </c>
      <c r="H12" s="374">
        <v>0</v>
      </c>
      <c r="I12" s="374">
        <v>0</v>
      </c>
      <c r="J12" s="374">
        <v>0</v>
      </c>
      <c r="K12" s="374">
        <v>0</v>
      </c>
      <c r="L12" s="374">
        <v>0</v>
      </c>
      <c r="M12" s="374">
        <v>0</v>
      </c>
      <c r="N12" s="374">
        <v>0</v>
      </c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</row>
    <row r="13" spans="1:27" ht="16" customHeight="1">
      <c r="A13" s="67" t="s">
        <v>124</v>
      </c>
      <c r="B13" s="913">
        <v>0</v>
      </c>
      <c r="C13" s="374">
        <v>0</v>
      </c>
      <c r="D13" s="374">
        <v>0</v>
      </c>
      <c r="E13" s="374">
        <v>0</v>
      </c>
      <c r="F13" s="374">
        <v>0</v>
      </c>
      <c r="G13" s="374">
        <v>0</v>
      </c>
      <c r="H13" s="374">
        <v>0</v>
      </c>
      <c r="I13" s="374">
        <v>0</v>
      </c>
      <c r="J13" s="374">
        <v>0</v>
      </c>
      <c r="K13" s="374">
        <v>0</v>
      </c>
      <c r="L13" s="374">
        <v>0</v>
      </c>
      <c r="M13" s="374">
        <v>0</v>
      </c>
      <c r="N13" s="374">
        <v>0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</row>
    <row r="14" spans="1:27" ht="16" customHeight="1">
      <c r="A14" s="67" t="s">
        <v>27</v>
      </c>
      <c r="B14" s="913">
        <v>0</v>
      </c>
      <c r="C14" s="374">
        <v>0</v>
      </c>
      <c r="D14" s="374">
        <v>0</v>
      </c>
      <c r="E14" s="374">
        <v>0</v>
      </c>
      <c r="F14" s="374">
        <v>0</v>
      </c>
      <c r="G14" s="374">
        <v>0</v>
      </c>
      <c r="H14" s="374">
        <v>0</v>
      </c>
      <c r="I14" s="374">
        <v>0</v>
      </c>
      <c r="J14" s="374">
        <v>0</v>
      </c>
      <c r="K14" s="374">
        <v>0</v>
      </c>
      <c r="L14" s="374">
        <v>0</v>
      </c>
      <c r="M14" s="374">
        <v>0</v>
      </c>
      <c r="N14" s="374">
        <v>0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</row>
    <row r="15" spans="1:27" ht="16" customHeight="1">
      <c r="A15" s="67" t="s">
        <v>28</v>
      </c>
      <c r="B15" s="913">
        <v>0</v>
      </c>
      <c r="C15" s="374">
        <v>0</v>
      </c>
      <c r="D15" s="374">
        <v>0</v>
      </c>
      <c r="E15" s="374">
        <v>0</v>
      </c>
      <c r="F15" s="374">
        <v>0</v>
      </c>
      <c r="G15" s="374">
        <v>0</v>
      </c>
      <c r="H15" s="374">
        <v>0</v>
      </c>
      <c r="I15" s="374">
        <v>0</v>
      </c>
      <c r="J15" s="374">
        <v>0</v>
      </c>
      <c r="K15" s="374">
        <v>0</v>
      </c>
      <c r="L15" s="374">
        <v>0</v>
      </c>
      <c r="M15" s="374">
        <v>0</v>
      </c>
      <c r="N15" s="374">
        <v>0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</row>
    <row r="16" spans="1:27" ht="16" customHeight="1">
      <c r="A16" s="67" t="s">
        <v>29</v>
      </c>
      <c r="B16" s="913">
        <v>3.3646038105396423</v>
      </c>
      <c r="C16" s="374">
        <v>3.2840000000000003</v>
      </c>
      <c r="D16" s="374">
        <v>3.3439999999999994</v>
      </c>
      <c r="E16" s="374">
        <v>3.3639999999999999</v>
      </c>
      <c r="F16" s="374">
        <v>3.3660000000000005</v>
      </c>
      <c r="G16" s="374">
        <v>3.371</v>
      </c>
      <c r="H16" s="374">
        <v>3.3739999999999997</v>
      </c>
      <c r="I16" s="374">
        <v>3.3780000000000001</v>
      </c>
      <c r="J16" s="374">
        <v>3.3750000000000004</v>
      </c>
      <c r="K16" s="374">
        <v>3.3760000000000003</v>
      </c>
      <c r="L16" s="374">
        <v>3.3780999999999999</v>
      </c>
      <c r="M16" s="374">
        <v>3.3799999999999994</v>
      </c>
      <c r="N16" s="374">
        <v>3.3818999999999999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</row>
    <row r="17" spans="1:27" ht="16" customHeight="1">
      <c r="A17" s="67" t="s">
        <v>30</v>
      </c>
      <c r="B17" s="913">
        <v>0</v>
      </c>
      <c r="C17" s="374">
        <v>0</v>
      </c>
      <c r="D17" s="374">
        <v>0</v>
      </c>
      <c r="E17" s="374">
        <v>0</v>
      </c>
      <c r="F17" s="374">
        <v>0</v>
      </c>
      <c r="G17" s="374">
        <v>0</v>
      </c>
      <c r="H17" s="374">
        <v>0</v>
      </c>
      <c r="I17" s="374">
        <v>0</v>
      </c>
      <c r="J17" s="374">
        <v>0</v>
      </c>
      <c r="K17" s="374">
        <v>0</v>
      </c>
      <c r="L17" s="374">
        <v>0</v>
      </c>
      <c r="M17" s="374">
        <v>0</v>
      </c>
      <c r="N17" s="374">
        <v>0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</row>
    <row r="18" spans="1:27" ht="16" customHeight="1">
      <c r="A18" s="67" t="s">
        <v>31</v>
      </c>
      <c r="B18" s="913">
        <v>0</v>
      </c>
      <c r="C18" s="374">
        <v>0</v>
      </c>
      <c r="D18" s="374">
        <v>0</v>
      </c>
      <c r="E18" s="374">
        <v>0</v>
      </c>
      <c r="F18" s="374">
        <v>0</v>
      </c>
      <c r="G18" s="374">
        <v>0</v>
      </c>
      <c r="H18" s="374">
        <v>0</v>
      </c>
      <c r="I18" s="374">
        <v>0</v>
      </c>
      <c r="J18" s="374">
        <v>0</v>
      </c>
      <c r="K18" s="374">
        <v>0</v>
      </c>
      <c r="L18" s="374">
        <v>0</v>
      </c>
      <c r="M18" s="374">
        <v>0</v>
      </c>
      <c r="N18" s="374">
        <v>0</v>
      </c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</row>
    <row r="19" spans="1:27" ht="16" customHeight="1">
      <c r="A19" s="67" t="s">
        <v>32</v>
      </c>
      <c r="B19" s="913">
        <v>3.4438690928430566</v>
      </c>
      <c r="C19" s="374">
        <v>3.38</v>
      </c>
      <c r="D19" s="374">
        <v>3.4210000000000003</v>
      </c>
      <c r="E19" s="374">
        <v>3.431</v>
      </c>
      <c r="F19" s="374">
        <v>3.4410000000000007</v>
      </c>
      <c r="G19" s="374">
        <v>3.4430000000000001</v>
      </c>
      <c r="H19" s="374">
        <v>3.4449999999999998</v>
      </c>
      <c r="I19" s="374">
        <v>3.4469999999999992</v>
      </c>
      <c r="J19" s="374">
        <v>3.4489999999999998</v>
      </c>
      <c r="K19" s="374">
        <v>3.451000000000001</v>
      </c>
      <c r="L19" s="374">
        <v>3.4530000000000007</v>
      </c>
      <c r="M19" s="374">
        <v>3.4499999999999997</v>
      </c>
      <c r="N19" s="374">
        <v>3.47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</row>
    <row r="20" spans="1:27" ht="16" customHeight="1">
      <c r="A20" s="67" t="s">
        <v>33</v>
      </c>
      <c r="B20" s="913">
        <v>3.4991603721001825</v>
      </c>
      <c r="C20" s="374">
        <v>3.42</v>
      </c>
      <c r="D20" s="374">
        <v>3.47</v>
      </c>
      <c r="E20" s="374">
        <v>3.4830000000000005</v>
      </c>
      <c r="F20" s="374">
        <v>3.4939999999999998</v>
      </c>
      <c r="G20" s="374">
        <v>3.4979999999999998</v>
      </c>
      <c r="H20" s="374">
        <v>3.5052000000000003</v>
      </c>
      <c r="I20" s="374">
        <v>3.5107999999999997</v>
      </c>
      <c r="J20" s="374">
        <v>3.516</v>
      </c>
      <c r="K20" s="374">
        <v>3.5219999999999998</v>
      </c>
      <c r="L20" s="374">
        <v>3.524</v>
      </c>
      <c r="M20" s="374">
        <v>3.5260000000000002</v>
      </c>
      <c r="N20" s="374">
        <v>3.528</v>
      </c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</row>
    <row r="21" spans="1:27" ht="16" customHeight="1">
      <c r="A21" s="67" t="s">
        <v>34</v>
      </c>
      <c r="B21" s="913">
        <v>3.3271847368303482</v>
      </c>
      <c r="C21" s="374">
        <v>3.2550000000000003</v>
      </c>
      <c r="D21" s="374">
        <v>3.3049999999999997</v>
      </c>
      <c r="E21" s="374">
        <v>3.3159999999999998</v>
      </c>
      <c r="F21" s="374">
        <v>3.3240000000000003</v>
      </c>
      <c r="G21" s="374">
        <v>3.327</v>
      </c>
      <c r="H21" s="374">
        <v>3.331</v>
      </c>
      <c r="I21" s="374">
        <v>3.3345000000000011</v>
      </c>
      <c r="J21" s="374">
        <v>3.3380000000000001</v>
      </c>
      <c r="K21" s="374">
        <v>3.3420000000000001</v>
      </c>
      <c r="L21" s="374">
        <v>3.3450000000000006</v>
      </c>
      <c r="M21" s="374">
        <v>3.3450000000000002</v>
      </c>
      <c r="N21" s="374">
        <v>3.347</v>
      </c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</row>
    <row r="22" spans="1:27" ht="16" customHeight="1">
      <c r="A22" s="67" t="s">
        <v>35</v>
      </c>
      <c r="B22" s="913">
        <v>3.6733242084887592</v>
      </c>
      <c r="C22" s="374">
        <v>3.6019999999999994</v>
      </c>
      <c r="D22" s="374">
        <v>3.6520000000000001</v>
      </c>
      <c r="E22" s="374">
        <v>3.6729999999999996</v>
      </c>
      <c r="F22" s="374">
        <v>3.6749999999999998</v>
      </c>
      <c r="G22" s="374">
        <v>3.6789999999999998</v>
      </c>
      <c r="H22" s="374">
        <v>3.6819999999999986</v>
      </c>
      <c r="I22" s="374">
        <v>3.6854999999999989</v>
      </c>
      <c r="J22" s="374">
        <v>3.6890000000000005</v>
      </c>
      <c r="K22" s="374">
        <v>3.6920000000000002</v>
      </c>
      <c r="L22" s="374">
        <v>3.6949999999999998</v>
      </c>
      <c r="M22" s="374">
        <v>3.6979999999999995</v>
      </c>
      <c r="N22" s="374">
        <v>3.7009999999999992</v>
      </c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</row>
    <row r="23" spans="1:27" ht="16" customHeight="1">
      <c r="A23" s="67" t="s">
        <v>36</v>
      </c>
      <c r="B23" s="913">
        <v>3.4361523158756615</v>
      </c>
      <c r="C23" s="374">
        <v>3.36</v>
      </c>
      <c r="D23" s="374">
        <v>3.4220000000000002</v>
      </c>
      <c r="E23" s="374">
        <v>3.4329999999999998</v>
      </c>
      <c r="F23" s="374">
        <v>3.4409999999999998</v>
      </c>
      <c r="G23" s="374">
        <v>3.4429999999999996</v>
      </c>
      <c r="H23" s="374">
        <v>3.4449999999999998</v>
      </c>
      <c r="I23" s="374">
        <v>3.4469999999999996</v>
      </c>
      <c r="J23" s="374">
        <v>3.4449999999999994</v>
      </c>
      <c r="K23" s="374">
        <v>3.4460000000000002</v>
      </c>
      <c r="L23" s="374">
        <v>3.448</v>
      </c>
      <c r="M23" s="374">
        <v>3.4499999999999993</v>
      </c>
      <c r="N23" s="374">
        <v>3.4519999999999995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</row>
    <row r="24" spans="1:27" ht="16" customHeight="1">
      <c r="A24" s="67" t="s">
        <v>37</v>
      </c>
      <c r="B24" s="913">
        <v>3.7880631762193446</v>
      </c>
      <c r="C24" s="374">
        <v>3.6999999999999997</v>
      </c>
      <c r="D24" s="374">
        <v>3.7539999999999996</v>
      </c>
      <c r="E24" s="374">
        <v>3.774</v>
      </c>
      <c r="F24" s="374">
        <v>3.7910000000000004</v>
      </c>
      <c r="G24" s="374">
        <v>3.7929999999999997</v>
      </c>
      <c r="H24" s="374">
        <v>3.7949999999999995</v>
      </c>
      <c r="I24" s="374">
        <v>3.7969999999999997</v>
      </c>
      <c r="J24" s="374">
        <v>3.7989999999999986</v>
      </c>
      <c r="K24" s="374">
        <v>3.8009999999999997</v>
      </c>
      <c r="L24" s="374">
        <v>3.8030000000000008</v>
      </c>
      <c r="M24" s="374">
        <v>3.8050000000000002</v>
      </c>
      <c r="N24" s="374">
        <v>3.8079999999999998</v>
      </c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</row>
    <row r="25" spans="1:27" ht="16" customHeight="1">
      <c r="A25" s="67" t="s">
        <v>38</v>
      </c>
      <c r="B25" s="913">
        <v>3.7163977480591512</v>
      </c>
      <c r="C25" s="374">
        <v>3.665</v>
      </c>
      <c r="D25" s="374">
        <v>3.7050000000000005</v>
      </c>
      <c r="E25" s="374">
        <v>3.7170000000000001</v>
      </c>
      <c r="F25" s="374">
        <v>3.7140000000000004</v>
      </c>
      <c r="G25" s="374">
        <v>3.718</v>
      </c>
      <c r="H25" s="374">
        <v>3.7191000000000001</v>
      </c>
      <c r="I25" s="374">
        <v>3.7216500000000008</v>
      </c>
      <c r="J25" s="374">
        <v>3.7240000000000002</v>
      </c>
      <c r="K25" s="374">
        <v>3.726</v>
      </c>
      <c r="L25" s="374">
        <v>3.7280000000000002</v>
      </c>
      <c r="M25" s="374">
        <v>3.7300000000000013</v>
      </c>
      <c r="N25" s="374">
        <v>3.7320000000000007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</row>
    <row r="26" spans="1:27" ht="16" customHeight="1">
      <c r="A26" s="67" t="s">
        <v>39</v>
      </c>
      <c r="B26" s="913">
        <v>3.4766133168108806</v>
      </c>
      <c r="C26" s="374">
        <v>3.4103669134598866</v>
      </c>
      <c r="D26" s="374">
        <v>3.448512293672628</v>
      </c>
      <c r="E26" s="374">
        <v>3.468473389117785</v>
      </c>
      <c r="F26" s="374">
        <v>3.4785213324303728</v>
      </c>
      <c r="G26" s="374">
        <v>3.4809652988635373</v>
      </c>
      <c r="H26" s="374">
        <v>3.4849506557854855</v>
      </c>
      <c r="I26" s="374">
        <v>3.4882256524427948</v>
      </c>
      <c r="J26" s="374">
        <v>3.4878654006330168</v>
      </c>
      <c r="K26" s="374">
        <v>3.4905017045978068</v>
      </c>
      <c r="L26" s="374">
        <v>3.4955830195359026</v>
      </c>
      <c r="M26" s="374">
        <v>3.4972047898338219</v>
      </c>
      <c r="N26" s="374">
        <v>3.4996947414892565</v>
      </c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</row>
    <row r="27" spans="1:27" ht="16" customHeight="1">
      <c r="A27" s="67" t="s">
        <v>97</v>
      </c>
      <c r="B27" s="913">
        <v>3.4722468571924767</v>
      </c>
      <c r="C27" s="374">
        <v>3.4000000000000004</v>
      </c>
      <c r="D27" s="374">
        <v>3.4540000000000006</v>
      </c>
      <c r="E27" s="374">
        <v>3.4649999999999994</v>
      </c>
      <c r="F27" s="374">
        <v>3.4739999999999998</v>
      </c>
      <c r="G27" s="374">
        <v>3.476</v>
      </c>
      <c r="H27" s="374">
        <v>3.4791000000000003</v>
      </c>
      <c r="I27" s="374">
        <v>3.4816499999999992</v>
      </c>
      <c r="J27" s="374">
        <v>3.4799999999999995</v>
      </c>
      <c r="K27" s="374">
        <v>3.4809999999999994</v>
      </c>
      <c r="L27" s="374">
        <v>3.49</v>
      </c>
      <c r="M27" s="374">
        <v>3.4930000000000003</v>
      </c>
      <c r="N27" s="374">
        <v>3.4959999999999987</v>
      </c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</row>
    <row r="28" spans="1:27" ht="16" customHeight="1">
      <c r="A28" s="67" t="s">
        <v>98</v>
      </c>
      <c r="B28" s="913">
        <v>3.4811708554659928</v>
      </c>
      <c r="C28" s="374">
        <v>3.42</v>
      </c>
      <c r="D28" s="374">
        <v>3.4430000000000001</v>
      </c>
      <c r="E28" s="374">
        <v>3.4720000000000004</v>
      </c>
      <c r="F28" s="374">
        <v>3.4829999999999992</v>
      </c>
      <c r="G28" s="374">
        <v>3.4860000000000002</v>
      </c>
      <c r="H28" s="374">
        <v>3.4909999999999997</v>
      </c>
      <c r="I28" s="374">
        <v>3.4950000000000001</v>
      </c>
      <c r="J28" s="374">
        <v>3.496</v>
      </c>
      <c r="K28" s="374">
        <v>3.4989999999999997</v>
      </c>
      <c r="L28" s="374">
        <v>3.5010000000000003</v>
      </c>
      <c r="M28" s="374">
        <v>3.5030000000000006</v>
      </c>
      <c r="N28" s="374">
        <v>3.5050000000000003</v>
      </c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</row>
    <row r="29" spans="1:27" ht="16" customHeight="1">
      <c r="A29" s="67" t="s">
        <v>42</v>
      </c>
      <c r="B29" s="913">
        <v>4.0448894222409022</v>
      </c>
      <c r="C29" s="374">
        <v>3.9610000000000007</v>
      </c>
      <c r="D29" s="374">
        <v>4.0210000000000008</v>
      </c>
      <c r="E29" s="374">
        <v>4.0410000000000004</v>
      </c>
      <c r="F29" s="374">
        <v>4.0439999999999996</v>
      </c>
      <c r="G29" s="374">
        <v>4.0469999999999997</v>
      </c>
      <c r="H29" s="374">
        <v>4.0499999999999989</v>
      </c>
      <c r="I29" s="374">
        <v>4.0529999999999999</v>
      </c>
      <c r="J29" s="374">
        <v>4.056</v>
      </c>
      <c r="K29" s="374">
        <v>4.0590000000000002</v>
      </c>
      <c r="L29" s="374">
        <v>4.0620000000000012</v>
      </c>
      <c r="M29" s="374">
        <v>4.0650000000000022</v>
      </c>
      <c r="N29" s="374">
        <v>4.0680000000000032</v>
      </c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</row>
    <row r="30" spans="1:27" ht="16" customHeight="1">
      <c r="A30" s="97" t="s">
        <v>126</v>
      </c>
      <c r="B30" s="913">
        <v>4.1298442359153507</v>
      </c>
      <c r="C30" s="374">
        <v>4.0519999999999996</v>
      </c>
      <c r="D30" s="374">
        <v>4.1020000000000012</v>
      </c>
      <c r="E30" s="374">
        <v>4.1210000000000004</v>
      </c>
      <c r="F30" s="374">
        <v>4.1239999999999997</v>
      </c>
      <c r="G30" s="374">
        <v>4.1349999999999998</v>
      </c>
      <c r="H30" s="374">
        <v>4.1379999999999999</v>
      </c>
      <c r="I30" s="374">
        <v>4.1449999999999987</v>
      </c>
      <c r="J30" s="374">
        <v>4.1430000000000007</v>
      </c>
      <c r="K30" s="374">
        <v>4.1459999999999999</v>
      </c>
      <c r="L30" s="374">
        <v>4.1464999999999996</v>
      </c>
      <c r="M30" s="374">
        <v>4.1469999999999994</v>
      </c>
      <c r="N30" s="374">
        <v>4.149</v>
      </c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</row>
    <row r="31" spans="1:27" ht="16" customHeight="1">
      <c r="A31" s="67" t="s">
        <v>44</v>
      </c>
      <c r="B31" s="913">
        <v>0</v>
      </c>
      <c r="C31" s="374">
        <v>0</v>
      </c>
      <c r="D31" s="374">
        <v>0</v>
      </c>
      <c r="E31" s="374">
        <v>0</v>
      </c>
      <c r="F31" s="374">
        <v>0</v>
      </c>
      <c r="G31" s="374">
        <v>0</v>
      </c>
      <c r="H31" s="374">
        <v>0</v>
      </c>
      <c r="I31" s="374">
        <v>0</v>
      </c>
      <c r="J31" s="374">
        <v>0</v>
      </c>
      <c r="K31" s="374">
        <v>0</v>
      </c>
      <c r="L31" s="374">
        <v>0</v>
      </c>
      <c r="M31" s="374">
        <v>0</v>
      </c>
      <c r="N31" s="374">
        <v>0</v>
      </c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</row>
    <row r="32" spans="1:27" ht="16" customHeight="1">
      <c r="A32" s="67" t="s">
        <v>45</v>
      </c>
      <c r="B32" s="913">
        <v>0</v>
      </c>
      <c r="C32" s="374">
        <v>0</v>
      </c>
      <c r="D32" s="374">
        <v>0</v>
      </c>
      <c r="E32" s="374">
        <v>0</v>
      </c>
      <c r="F32" s="374">
        <v>0</v>
      </c>
      <c r="G32" s="374">
        <v>0</v>
      </c>
      <c r="H32" s="374">
        <v>0</v>
      </c>
      <c r="I32" s="374">
        <v>0</v>
      </c>
      <c r="J32" s="374">
        <v>0</v>
      </c>
      <c r="K32" s="374">
        <v>0</v>
      </c>
      <c r="L32" s="374">
        <v>0</v>
      </c>
      <c r="M32" s="374">
        <v>0</v>
      </c>
      <c r="N32" s="374">
        <v>0</v>
      </c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</row>
    <row r="33" spans="1:27" ht="16" customHeight="1">
      <c r="A33" s="67" t="s">
        <v>46</v>
      </c>
      <c r="B33" s="913">
        <v>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</row>
    <row r="34" spans="1:27" ht="16" customHeight="1" thickBot="1">
      <c r="A34" s="113" t="s">
        <v>47</v>
      </c>
      <c r="B34" s="914">
        <v>0</v>
      </c>
      <c r="C34" s="375">
        <v>0</v>
      </c>
      <c r="D34" s="375">
        <v>0</v>
      </c>
      <c r="E34" s="375">
        <v>0</v>
      </c>
      <c r="F34" s="375">
        <v>0</v>
      </c>
      <c r="G34" s="375">
        <v>0</v>
      </c>
      <c r="H34" s="375">
        <v>0</v>
      </c>
      <c r="I34" s="375">
        <v>0</v>
      </c>
      <c r="J34" s="375">
        <v>0</v>
      </c>
      <c r="K34" s="375">
        <v>0</v>
      </c>
      <c r="L34" s="375">
        <v>0</v>
      </c>
      <c r="M34" s="375">
        <v>0</v>
      </c>
      <c r="N34" s="375">
        <v>0</v>
      </c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</row>
    <row r="35" spans="1:27" ht="9" customHeight="1">
      <c r="A35" s="449" t="s">
        <v>330</v>
      </c>
      <c r="B35" s="520"/>
      <c r="C35" s="521"/>
      <c r="D35" s="521"/>
      <c r="E35" s="379"/>
      <c r="F35" s="379"/>
      <c r="G35" s="379"/>
      <c r="H35" s="379"/>
      <c r="I35" s="379"/>
      <c r="J35" s="379"/>
      <c r="K35" s="379"/>
      <c r="L35" s="379"/>
      <c r="M35" s="379"/>
      <c r="N35" s="379"/>
    </row>
    <row r="36" spans="1:27" ht="9" customHeight="1">
      <c r="A36" s="449" t="s">
        <v>304</v>
      </c>
      <c r="B36" s="521"/>
      <c r="C36" s="521"/>
      <c r="D36" s="521"/>
      <c r="E36" s="379"/>
      <c r="F36" s="379"/>
      <c r="G36" s="379"/>
      <c r="H36" s="379"/>
      <c r="I36" s="379"/>
      <c r="J36" s="379"/>
      <c r="K36" s="379"/>
      <c r="L36" s="379"/>
      <c r="M36" s="379"/>
      <c r="N36" s="379"/>
    </row>
    <row r="37" spans="1:27" ht="9" customHeight="1">
      <c r="A37" s="451" t="s">
        <v>303</v>
      </c>
      <c r="B37" s="464"/>
      <c r="C37" s="464"/>
      <c r="D37" s="464"/>
      <c r="E37" s="173"/>
      <c r="F37" s="173"/>
      <c r="G37" s="173"/>
      <c r="H37" s="173"/>
      <c r="I37" s="173"/>
      <c r="J37" s="173"/>
      <c r="K37" s="173"/>
      <c r="L37" s="173"/>
      <c r="M37" s="173"/>
      <c r="N37" s="173"/>
    </row>
    <row r="38" spans="1:27" ht="13.25" customHeight="1">
      <c r="A38" s="522"/>
      <c r="B38" s="464"/>
      <c r="C38" s="464"/>
      <c r="D38" s="464"/>
    </row>
    <row r="39" spans="1:27" ht="13.25" customHeight="1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Hoja109">
    <tabColor theme="9" tint="0.59999389629810485"/>
  </sheetPr>
  <dimension ref="A1:AA39"/>
  <sheetViews>
    <sheetView showGridLines="0" zoomScaleNormal="100" workbookViewId="0">
      <selection activeCell="P8" sqref="P8"/>
    </sheetView>
  </sheetViews>
  <sheetFormatPr baseColWidth="10" defaultColWidth="7" defaultRowHeight="13.25" customHeight="1"/>
  <cols>
    <col min="1" max="1" width="14" style="67" customWidth="1"/>
    <col min="2" max="2" width="9" style="67" customWidth="1"/>
    <col min="3" max="14" width="9.19921875" style="67" customWidth="1"/>
    <col min="15" max="16384" width="7" style="67"/>
  </cols>
  <sheetData>
    <row r="1" spans="1:27" ht="17" customHeight="1">
      <c r="A1" s="381" t="s">
        <v>538</v>
      </c>
      <c r="B1" s="381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</row>
    <row r="2" spans="1:27" ht="13.25" customHeight="1">
      <c r="A2" s="377" t="s">
        <v>294</v>
      </c>
      <c r="B2" s="226"/>
      <c r="C2" s="101"/>
      <c r="D2" s="101"/>
      <c r="E2" s="101"/>
      <c r="F2" s="101"/>
      <c r="G2" s="104"/>
      <c r="H2" s="103"/>
      <c r="I2" s="101"/>
      <c r="J2" s="101"/>
      <c r="K2" s="101"/>
      <c r="L2" s="101"/>
      <c r="M2" s="101"/>
      <c r="N2" s="101"/>
    </row>
    <row r="3" spans="1:27" ht="6" customHeight="1" thickBot="1">
      <c r="A3" s="103"/>
      <c r="B3" s="101"/>
      <c r="C3" s="101"/>
      <c r="D3" s="101"/>
      <c r="E3" s="101"/>
      <c r="F3" s="101"/>
      <c r="G3" s="104"/>
      <c r="H3" s="103"/>
      <c r="I3" s="101"/>
      <c r="J3" s="101"/>
      <c r="K3" s="101"/>
      <c r="L3" s="101"/>
      <c r="M3" s="101"/>
      <c r="N3" s="101"/>
    </row>
    <row r="4" spans="1:27" ht="18" customHeight="1">
      <c r="A4" s="732" t="s">
        <v>16</v>
      </c>
      <c r="B4" s="732" t="s">
        <v>52</v>
      </c>
      <c r="C4" s="732" t="s">
        <v>53</v>
      </c>
      <c r="D4" s="732" t="s">
        <v>54</v>
      </c>
      <c r="E4" s="732" t="s">
        <v>55</v>
      </c>
      <c r="F4" s="732" t="s">
        <v>56</v>
      </c>
      <c r="G4" s="732" t="s">
        <v>57</v>
      </c>
      <c r="H4" s="732" t="s">
        <v>58</v>
      </c>
      <c r="I4" s="732" t="s">
        <v>59</v>
      </c>
      <c r="J4" s="732" t="s">
        <v>60</v>
      </c>
      <c r="K4" s="732" t="s">
        <v>61</v>
      </c>
      <c r="L4" s="732" t="s">
        <v>62</v>
      </c>
      <c r="M4" s="732" t="s">
        <v>63</v>
      </c>
      <c r="N4" s="732" t="s">
        <v>64</v>
      </c>
    </row>
    <row r="5" spans="1:27" ht="18" customHeight="1">
      <c r="A5" s="693" t="s">
        <v>100</v>
      </c>
      <c r="B5" s="912">
        <v>5.2360585756598015</v>
      </c>
      <c r="C5" s="695">
        <v>5.1870676320631102</v>
      </c>
      <c r="D5" s="695">
        <v>5.2104546242603842</v>
      </c>
      <c r="E5" s="695">
        <v>5.2200934850919261</v>
      </c>
      <c r="F5" s="695">
        <v>5.228692264570082</v>
      </c>
      <c r="G5" s="695">
        <v>5.2314220632004149</v>
      </c>
      <c r="H5" s="695">
        <v>5.2367083966837802</v>
      </c>
      <c r="I5" s="695">
        <v>5.240810543466198</v>
      </c>
      <c r="J5" s="695">
        <v>5.2465095571083582</v>
      </c>
      <c r="K5" s="695">
        <v>5.2498956316459156</v>
      </c>
      <c r="L5" s="695">
        <v>5.2548663640301143</v>
      </c>
      <c r="M5" s="695">
        <v>5.2605656753881185</v>
      </c>
      <c r="N5" s="695">
        <v>5.2646534067974908</v>
      </c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</row>
    <row r="6" spans="1:27" ht="16" customHeight="1">
      <c r="A6" s="67" t="s">
        <v>19</v>
      </c>
      <c r="B6" s="913">
        <v>5.2672431796310404</v>
      </c>
      <c r="C6" s="374">
        <v>5.22</v>
      </c>
      <c r="D6" s="374">
        <v>5.2430000000000003</v>
      </c>
      <c r="E6" s="374">
        <v>5.2530000000000001</v>
      </c>
      <c r="F6" s="374">
        <v>5.26</v>
      </c>
      <c r="G6" s="374">
        <v>5.262999999999999</v>
      </c>
      <c r="H6" s="374">
        <v>5.2679999999999998</v>
      </c>
      <c r="I6" s="374">
        <v>5.2720000000000002</v>
      </c>
      <c r="J6" s="374">
        <v>5.2750000000000004</v>
      </c>
      <c r="K6" s="374">
        <v>5.2790000000000008</v>
      </c>
      <c r="L6" s="374">
        <v>5.2819999999999991</v>
      </c>
      <c r="M6" s="374">
        <v>5.2850000000000001</v>
      </c>
      <c r="N6" s="374">
        <v>5.2880000000000003</v>
      </c>
      <c r="O6" s="10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</row>
    <row r="7" spans="1:27" ht="16" customHeight="1">
      <c r="A7" s="67" t="s">
        <v>20</v>
      </c>
      <c r="B7" s="913">
        <v>5.2951701310662909</v>
      </c>
      <c r="C7" s="374">
        <v>5.242</v>
      </c>
      <c r="D7" s="374">
        <v>5.2720000000000002</v>
      </c>
      <c r="E7" s="374">
        <v>5.2809999999999997</v>
      </c>
      <c r="F7" s="374">
        <v>5.2869999999999999</v>
      </c>
      <c r="G7" s="374">
        <v>5.2910000000000004</v>
      </c>
      <c r="H7" s="374">
        <v>5.2959999999999994</v>
      </c>
      <c r="I7" s="374">
        <v>5.3005000000000004</v>
      </c>
      <c r="J7" s="374">
        <v>5.3050000000000006</v>
      </c>
      <c r="K7" s="374">
        <v>5.31</v>
      </c>
      <c r="L7" s="374">
        <v>5.3150000000000004</v>
      </c>
      <c r="M7" s="374">
        <v>5.319</v>
      </c>
      <c r="N7" s="374">
        <v>5.3229999999999995</v>
      </c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</row>
    <row r="8" spans="1:27" ht="16" customHeight="1">
      <c r="A8" s="67" t="s">
        <v>21</v>
      </c>
      <c r="B8" s="913">
        <v>5.3116844160221559</v>
      </c>
      <c r="C8" s="374">
        <v>5.26</v>
      </c>
      <c r="D8" s="374">
        <v>5.2750000000000004</v>
      </c>
      <c r="E8" s="374">
        <v>5.2859999999999996</v>
      </c>
      <c r="F8" s="374">
        <v>5.2969999999999988</v>
      </c>
      <c r="G8" s="374">
        <v>5.3049999999999997</v>
      </c>
      <c r="H8" s="374">
        <v>5.3149999999999995</v>
      </c>
      <c r="I8" s="374">
        <v>5.3239999999999998</v>
      </c>
      <c r="J8" s="374">
        <v>5.3269999999999991</v>
      </c>
      <c r="K8" s="374">
        <v>5.3319999999999999</v>
      </c>
      <c r="L8" s="374">
        <v>5.3360000000000003</v>
      </c>
      <c r="M8" s="374">
        <v>5.34</v>
      </c>
      <c r="N8" s="374">
        <v>5.3440000000000003</v>
      </c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</row>
    <row r="9" spans="1:27" ht="16" customHeight="1">
      <c r="A9" s="67" t="s">
        <v>22</v>
      </c>
      <c r="B9" s="913">
        <v>5.3629262871566352</v>
      </c>
      <c r="C9" s="374">
        <v>5.31</v>
      </c>
      <c r="D9" s="374">
        <v>5.330000000000001</v>
      </c>
      <c r="E9" s="374">
        <v>5.3420000000000005</v>
      </c>
      <c r="F9" s="374">
        <v>5.3520000000000003</v>
      </c>
      <c r="G9" s="374">
        <v>5.3570000000000002</v>
      </c>
      <c r="H9" s="374">
        <v>5.3650000000000011</v>
      </c>
      <c r="I9" s="374">
        <v>5.3715000000000002</v>
      </c>
      <c r="J9" s="374">
        <v>5.3744999999999994</v>
      </c>
      <c r="K9" s="374">
        <v>5.379999999999999</v>
      </c>
      <c r="L9" s="374">
        <v>5.3840000000000003</v>
      </c>
      <c r="M9" s="374">
        <v>5.3880000000000008</v>
      </c>
      <c r="N9" s="374">
        <v>5.3920000000000021</v>
      </c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</row>
    <row r="10" spans="1:27" ht="16" customHeight="1">
      <c r="A10" s="67" t="s">
        <v>23</v>
      </c>
      <c r="B10" s="913">
        <v>5.0943096694753143</v>
      </c>
      <c r="C10" s="374">
        <v>5.050334885878641</v>
      </c>
      <c r="D10" s="374">
        <v>5.0720696384792001</v>
      </c>
      <c r="E10" s="374">
        <v>5.0818712340964831</v>
      </c>
      <c r="F10" s="374">
        <v>5.0866810671698381</v>
      </c>
      <c r="G10" s="374">
        <v>5.0873648876976505</v>
      </c>
      <c r="H10" s="374">
        <v>5.0940102372709442</v>
      </c>
      <c r="I10" s="374">
        <v>5.0985041890573006</v>
      </c>
      <c r="J10" s="374">
        <v>5.1035518481651163</v>
      </c>
      <c r="K10" s="374">
        <v>5.1082867910262628</v>
      </c>
      <c r="L10" s="374">
        <v>5.1125090788421348</v>
      </c>
      <c r="M10" s="374">
        <v>5.1157020733453713</v>
      </c>
      <c r="N10" s="374">
        <v>5.1194028419333897</v>
      </c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</row>
    <row r="11" spans="1:27" ht="16" customHeight="1">
      <c r="A11" s="67" t="s">
        <v>94</v>
      </c>
      <c r="B11" s="913">
        <v>5.0880775542368797</v>
      </c>
      <c r="C11" s="374">
        <v>5.0309999999999997</v>
      </c>
      <c r="D11" s="374">
        <v>5.0620000000000003</v>
      </c>
      <c r="E11" s="374">
        <v>5.0720000000000001</v>
      </c>
      <c r="F11" s="374">
        <v>5.08</v>
      </c>
      <c r="G11" s="374">
        <v>5.0839999999999996</v>
      </c>
      <c r="H11" s="374">
        <v>5.09</v>
      </c>
      <c r="I11" s="374">
        <v>5.0949999999999998</v>
      </c>
      <c r="J11" s="374">
        <v>5.0979999999999999</v>
      </c>
      <c r="K11" s="374">
        <v>5.1029999999999998</v>
      </c>
      <c r="L11" s="374">
        <v>5.1070000000000002</v>
      </c>
      <c r="M11" s="374">
        <v>5.1110000000000007</v>
      </c>
      <c r="N11" s="374">
        <v>5.1150000000000011</v>
      </c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</row>
    <row r="12" spans="1:27" ht="16" customHeight="1">
      <c r="A12" s="67" t="s">
        <v>95</v>
      </c>
      <c r="B12" s="913">
        <v>5.048144229419373</v>
      </c>
      <c r="C12" s="374">
        <v>5.01</v>
      </c>
      <c r="D12" s="374">
        <v>5.0199999999999996</v>
      </c>
      <c r="E12" s="374">
        <v>5.0309999999999988</v>
      </c>
      <c r="F12" s="374">
        <v>5.0399999999999991</v>
      </c>
      <c r="G12" s="374">
        <v>5.0430000000000001</v>
      </c>
      <c r="H12" s="374">
        <v>5.0490000000000004</v>
      </c>
      <c r="I12" s="374">
        <v>5.0534999999999997</v>
      </c>
      <c r="J12" s="374">
        <v>5.0580000000000007</v>
      </c>
      <c r="K12" s="374">
        <v>5.0620000000000003</v>
      </c>
      <c r="L12" s="374">
        <v>5.0659999999999998</v>
      </c>
      <c r="M12" s="374">
        <v>5.0679999999999996</v>
      </c>
      <c r="N12" s="374">
        <v>5.0699999999999994</v>
      </c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</row>
    <row r="13" spans="1:27" ht="16" customHeight="1">
      <c r="A13" s="67" t="s">
        <v>124</v>
      </c>
      <c r="B13" s="913">
        <v>5.1833094913686786</v>
      </c>
      <c r="C13" s="374">
        <v>5.13</v>
      </c>
      <c r="D13" s="374">
        <v>5.1610000000000005</v>
      </c>
      <c r="E13" s="374">
        <v>5.1730000000000009</v>
      </c>
      <c r="F13" s="374">
        <v>5.1829999999999998</v>
      </c>
      <c r="G13" s="374">
        <v>5.1849999999999996</v>
      </c>
      <c r="H13" s="374">
        <v>5.1910000000000007</v>
      </c>
      <c r="I13" s="374">
        <v>5.1950000000000012</v>
      </c>
      <c r="J13" s="374">
        <v>5.1970000000000001</v>
      </c>
      <c r="K13" s="374">
        <v>5.2000000000000011</v>
      </c>
      <c r="L13" s="374">
        <v>5.2030000000000003</v>
      </c>
      <c r="M13" s="374">
        <v>5.2040000000000006</v>
      </c>
      <c r="N13" s="374">
        <v>5.2049999999999983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</row>
    <row r="14" spans="1:27" ht="16" customHeight="1">
      <c r="A14" s="67" t="s">
        <v>27</v>
      </c>
      <c r="B14" s="913">
        <v>5.2089324941258068</v>
      </c>
      <c r="C14" s="374">
        <v>5.15</v>
      </c>
      <c r="D14" s="374">
        <v>5.17</v>
      </c>
      <c r="E14" s="374">
        <v>5.1909999999999998</v>
      </c>
      <c r="F14" s="374">
        <v>5.2070000000000007</v>
      </c>
      <c r="G14" s="374">
        <v>5.213000000000001</v>
      </c>
      <c r="H14" s="374">
        <v>5.2220000000000004</v>
      </c>
      <c r="I14" s="374">
        <v>5.2295000000000007</v>
      </c>
      <c r="J14" s="374">
        <v>5.234</v>
      </c>
      <c r="K14" s="374">
        <v>5.2380000000000004</v>
      </c>
      <c r="L14" s="374">
        <v>5.242</v>
      </c>
      <c r="M14" s="374">
        <v>5.2440000000000007</v>
      </c>
      <c r="N14" s="374">
        <v>5.2459999999999996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</row>
    <row r="15" spans="1:27" ht="16" customHeight="1">
      <c r="A15" s="67" t="s">
        <v>28</v>
      </c>
      <c r="B15" s="913">
        <v>5.0485597564948881</v>
      </c>
      <c r="C15" s="374">
        <v>5.0065000000000017</v>
      </c>
      <c r="D15" s="374">
        <v>5.0223000000000004</v>
      </c>
      <c r="E15" s="374">
        <v>5.0330000000000013</v>
      </c>
      <c r="F15" s="374">
        <v>5.0434000000000001</v>
      </c>
      <c r="G15" s="374">
        <v>5.0460000000000012</v>
      </c>
      <c r="H15" s="374">
        <v>5.0520000000000005</v>
      </c>
      <c r="I15" s="374">
        <v>5.0562999999999994</v>
      </c>
      <c r="J15" s="374">
        <v>5.0600999999999994</v>
      </c>
      <c r="K15" s="374">
        <v>5.0629999999999997</v>
      </c>
      <c r="L15" s="374">
        <v>5.0659999999999998</v>
      </c>
      <c r="M15" s="374">
        <v>5.0679999999999996</v>
      </c>
      <c r="N15" s="374">
        <v>5.07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</row>
    <row r="16" spans="1:27" ht="16" customHeight="1">
      <c r="A16" s="67" t="s">
        <v>29</v>
      </c>
      <c r="B16" s="913">
        <v>5.2444672950579836</v>
      </c>
      <c r="C16" s="374">
        <v>5.2000000000000011</v>
      </c>
      <c r="D16" s="374">
        <v>5.22</v>
      </c>
      <c r="E16" s="374">
        <v>5.23</v>
      </c>
      <c r="F16" s="374">
        <v>5.2379999999999995</v>
      </c>
      <c r="G16" s="374">
        <v>5.242</v>
      </c>
      <c r="H16" s="374">
        <v>5.2480000000000002</v>
      </c>
      <c r="I16" s="374">
        <v>5.2530000000000001</v>
      </c>
      <c r="J16" s="374">
        <v>5.2549999999999999</v>
      </c>
      <c r="K16" s="374">
        <v>5.2590000000000003</v>
      </c>
      <c r="L16" s="374">
        <v>5.2619999999999996</v>
      </c>
      <c r="M16" s="374">
        <v>5.2649999999999979</v>
      </c>
      <c r="N16" s="374">
        <v>5.267999999999998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</row>
    <row r="17" spans="1:27" ht="16" customHeight="1">
      <c r="A17" s="67" t="s">
        <v>30</v>
      </c>
      <c r="B17" s="913">
        <v>5.1660133448679382</v>
      </c>
      <c r="C17" s="374">
        <v>5.1149999999999993</v>
      </c>
      <c r="D17" s="374">
        <v>5.1429999999999989</v>
      </c>
      <c r="E17" s="374">
        <v>5.1539999999999999</v>
      </c>
      <c r="F17" s="374">
        <v>5.1630000000000003</v>
      </c>
      <c r="G17" s="374">
        <v>5.1639999999999997</v>
      </c>
      <c r="H17" s="374">
        <v>5.1689999999999987</v>
      </c>
      <c r="I17" s="374">
        <v>5.1719999999999997</v>
      </c>
      <c r="J17" s="374">
        <v>5.174999999999998</v>
      </c>
      <c r="K17" s="374">
        <v>5.1789999999999994</v>
      </c>
      <c r="L17" s="374">
        <v>5.1829999999999989</v>
      </c>
      <c r="M17" s="374">
        <v>5.1860000000000008</v>
      </c>
      <c r="N17" s="374">
        <v>5.1890000000000001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</row>
    <row r="18" spans="1:27" ht="16" customHeight="1">
      <c r="A18" s="67" t="s">
        <v>31</v>
      </c>
      <c r="B18" s="913">
        <v>5.1864894573267195</v>
      </c>
      <c r="C18" s="374">
        <v>5.1400000000000006</v>
      </c>
      <c r="D18" s="374">
        <v>5.1609999999999996</v>
      </c>
      <c r="E18" s="374">
        <v>5.1719999999999997</v>
      </c>
      <c r="F18" s="374">
        <v>5.181</v>
      </c>
      <c r="G18" s="374">
        <v>5.1839999999999993</v>
      </c>
      <c r="H18" s="374">
        <v>5.19</v>
      </c>
      <c r="I18" s="374">
        <v>5.1945000000000014</v>
      </c>
      <c r="J18" s="374">
        <v>5.1959999999999988</v>
      </c>
      <c r="K18" s="374">
        <v>5.1980000000000004</v>
      </c>
      <c r="L18" s="374">
        <v>5.2000000000000011</v>
      </c>
      <c r="M18" s="374">
        <v>5.202</v>
      </c>
      <c r="N18" s="374">
        <v>5.2039999999999997</v>
      </c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</row>
    <row r="19" spans="1:27" ht="16" customHeight="1">
      <c r="A19" s="67" t="s">
        <v>32</v>
      </c>
      <c r="B19" s="913">
        <v>5.1542644489467015</v>
      </c>
      <c r="C19" s="374">
        <v>5.1219999999999999</v>
      </c>
      <c r="D19" s="374">
        <v>5.1320000000000006</v>
      </c>
      <c r="E19" s="374">
        <v>5.141</v>
      </c>
      <c r="F19" s="374">
        <v>5.1479999999999997</v>
      </c>
      <c r="G19" s="374">
        <v>5.1509999999999998</v>
      </c>
      <c r="H19" s="374">
        <v>5.1559999999999997</v>
      </c>
      <c r="I19" s="374">
        <v>5.16</v>
      </c>
      <c r="J19" s="374">
        <v>5.1609999999999987</v>
      </c>
      <c r="K19" s="374">
        <v>5.1630000000000011</v>
      </c>
      <c r="L19" s="374">
        <v>5.165</v>
      </c>
      <c r="M19" s="374">
        <v>5.1670000000000007</v>
      </c>
      <c r="N19" s="374">
        <v>5.1689999999999987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</row>
    <row r="20" spans="1:27" ht="16" customHeight="1">
      <c r="A20" s="67" t="s">
        <v>33</v>
      </c>
      <c r="B20" s="913">
        <v>5.3060480188005226</v>
      </c>
      <c r="C20" s="374">
        <v>5.27</v>
      </c>
      <c r="D20" s="374">
        <v>5.2800000000000011</v>
      </c>
      <c r="E20" s="374">
        <v>5.2910000000000004</v>
      </c>
      <c r="F20" s="374">
        <v>5.2999999999999989</v>
      </c>
      <c r="G20" s="374">
        <v>5.3039999999999994</v>
      </c>
      <c r="H20" s="374">
        <v>5.3100000000000005</v>
      </c>
      <c r="I20" s="374">
        <v>5.3150000000000022</v>
      </c>
      <c r="J20" s="374">
        <v>5.3179999999999996</v>
      </c>
      <c r="K20" s="374">
        <v>5.3220000000000001</v>
      </c>
      <c r="L20" s="374">
        <v>5.3259999999999987</v>
      </c>
      <c r="M20" s="374">
        <v>5.3250000000000011</v>
      </c>
      <c r="N20" s="374">
        <v>5.3239999999999998</v>
      </c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</row>
    <row r="21" spans="1:27" ht="16" customHeight="1">
      <c r="A21" s="67" t="s">
        <v>34</v>
      </c>
      <c r="B21" s="913">
        <v>5.1433228826605006</v>
      </c>
      <c r="C21" s="374">
        <v>5.1154999999999999</v>
      </c>
      <c r="D21" s="374">
        <v>5.1244999999999994</v>
      </c>
      <c r="E21" s="374">
        <v>5.1320000000000006</v>
      </c>
      <c r="F21" s="374">
        <v>5.1391999999999998</v>
      </c>
      <c r="G21" s="374">
        <v>5.141</v>
      </c>
      <c r="H21" s="374">
        <v>5.1460000000000008</v>
      </c>
      <c r="I21" s="374">
        <v>5.1494</v>
      </c>
      <c r="J21" s="374">
        <v>5.1513</v>
      </c>
      <c r="K21" s="374">
        <v>5.1529999999999996</v>
      </c>
      <c r="L21" s="374">
        <v>5.1550000000000011</v>
      </c>
      <c r="M21" s="374">
        <v>5.157</v>
      </c>
      <c r="N21" s="374">
        <v>5.1590000000000016</v>
      </c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</row>
    <row r="22" spans="1:27" ht="16" customHeight="1">
      <c r="A22" s="67" t="s">
        <v>35</v>
      </c>
      <c r="B22" s="913">
        <v>5.2615895943674271</v>
      </c>
      <c r="C22" s="374">
        <v>5.2149999999999999</v>
      </c>
      <c r="D22" s="374">
        <v>5.2339999999999991</v>
      </c>
      <c r="E22" s="374">
        <v>5.2440000000000007</v>
      </c>
      <c r="F22" s="374">
        <v>5.2520000000000007</v>
      </c>
      <c r="G22" s="374">
        <v>5.2569999999999997</v>
      </c>
      <c r="H22" s="374">
        <v>5.2629999999999999</v>
      </c>
      <c r="I22" s="374">
        <v>5.2684999999999995</v>
      </c>
      <c r="J22" s="374">
        <v>5.2709999999999999</v>
      </c>
      <c r="K22" s="374">
        <v>5.2760000000000007</v>
      </c>
      <c r="L22" s="374">
        <v>5.2800000000000011</v>
      </c>
      <c r="M22" s="374">
        <v>5.2840000000000007</v>
      </c>
      <c r="N22" s="374">
        <v>5.2880000000000011</v>
      </c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</row>
    <row r="23" spans="1:27" ht="16" customHeight="1">
      <c r="A23" s="67" t="s">
        <v>36</v>
      </c>
      <c r="B23" s="913">
        <v>5.1900266977956884</v>
      </c>
      <c r="C23" s="374">
        <v>5.1430000000000007</v>
      </c>
      <c r="D23" s="374">
        <v>5.1559999999999997</v>
      </c>
      <c r="E23" s="374">
        <v>5.1710000000000003</v>
      </c>
      <c r="F23" s="374">
        <v>5.1829999999999998</v>
      </c>
      <c r="G23" s="374">
        <v>5.1869999999999994</v>
      </c>
      <c r="H23" s="374">
        <v>5.1950000000000012</v>
      </c>
      <c r="I23" s="374">
        <v>5.2010000000000005</v>
      </c>
      <c r="J23" s="374">
        <v>5.2030000000000003</v>
      </c>
      <c r="K23" s="374">
        <v>5.2060000000000004</v>
      </c>
      <c r="L23" s="374">
        <v>5.2089999999999996</v>
      </c>
      <c r="M23" s="374">
        <v>5.2119999999999989</v>
      </c>
      <c r="N23" s="374">
        <v>5.2149999999999981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</row>
    <row r="24" spans="1:27" ht="16" customHeight="1">
      <c r="A24" s="67" t="s">
        <v>37</v>
      </c>
      <c r="B24" s="913">
        <v>5.2620160829969924</v>
      </c>
      <c r="C24" s="374">
        <v>5.23</v>
      </c>
      <c r="D24" s="374">
        <v>5.2440000000000007</v>
      </c>
      <c r="E24" s="374">
        <v>5.2480000000000011</v>
      </c>
      <c r="F24" s="374">
        <v>5.2520000000000016</v>
      </c>
      <c r="G24" s="374">
        <v>5.2569999999999997</v>
      </c>
      <c r="H24" s="374">
        <v>5.2609999999999983</v>
      </c>
      <c r="I24" s="374">
        <v>5.2654999999999994</v>
      </c>
      <c r="J24" s="374">
        <v>5.2699999999999978</v>
      </c>
      <c r="K24" s="374">
        <v>5.2739999999999991</v>
      </c>
      <c r="L24" s="374">
        <v>5.2779999999999996</v>
      </c>
      <c r="M24" s="374">
        <v>5.2819999999999983</v>
      </c>
      <c r="N24" s="374">
        <v>5.2859999999999987</v>
      </c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</row>
    <row r="25" spans="1:27" ht="16" customHeight="1">
      <c r="A25" s="67" t="s">
        <v>38</v>
      </c>
      <c r="B25" s="913">
        <v>5.1964093405723233</v>
      </c>
      <c r="C25" s="374">
        <v>5.15</v>
      </c>
      <c r="D25" s="374">
        <v>5.1740000000000004</v>
      </c>
      <c r="E25" s="374">
        <v>5.1840000000000002</v>
      </c>
      <c r="F25" s="374">
        <v>5.1910000000000007</v>
      </c>
      <c r="G25" s="374">
        <v>5.194</v>
      </c>
      <c r="H25" s="374">
        <v>5.1990000000000007</v>
      </c>
      <c r="I25" s="374">
        <v>5.2029999999999994</v>
      </c>
      <c r="J25" s="374">
        <v>5.2049999999999992</v>
      </c>
      <c r="K25" s="374">
        <v>5.2070000000000007</v>
      </c>
      <c r="L25" s="374">
        <v>5.2090000000000005</v>
      </c>
      <c r="M25" s="374">
        <v>5.2109999999999994</v>
      </c>
      <c r="N25" s="374">
        <v>5.2130000000000001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</row>
    <row r="26" spans="1:27" ht="16" customHeight="1">
      <c r="A26" s="67" t="s">
        <v>39</v>
      </c>
      <c r="B26" s="913">
        <v>5.0436804258725179</v>
      </c>
      <c r="C26" s="374">
        <v>5.0039080756013758</v>
      </c>
      <c r="D26" s="374">
        <v>5.0194681596717663</v>
      </c>
      <c r="E26" s="374">
        <v>5.0313641118802437</v>
      </c>
      <c r="F26" s="374">
        <v>5.0396486198227475</v>
      </c>
      <c r="G26" s="374">
        <v>5.042840258218888</v>
      </c>
      <c r="H26" s="374">
        <v>5.048668232650769</v>
      </c>
      <c r="I26" s="374">
        <v>5.0544295011780926</v>
      </c>
      <c r="J26" s="374">
        <v>5.054816684743872</v>
      </c>
      <c r="K26" s="374">
        <v>5.0608538968971422</v>
      </c>
      <c r="L26" s="374">
        <v>5.0591832763458271</v>
      </c>
      <c r="M26" s="374">
        <v>5.0599076480736063</v>
      </c>
      <c r="N26" s="374">
        <v>5.0602345456133708</v>
      </c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</row>
    <row r="27" spans="1:27" ht="16" customHeight="1">
      <c r="A27" s="67" t="s">
        <v>97</v>
      </c>
      <c r="B27" s="913">
        <v>5.0331573263982996</v>
      </c>
      <c r="C27" s="374">
        <v>4.99</v>
      </c>
      <c r="D27" s="374">
        <v>5.01</v>
      </c>
      <c r="E27" s="374">
        <v>5.020999999999999</v>
      </c>
      <c r="F27" s="374">
        <v>5.0299999999999994</v>
      </c>
      <c r="G27" s="374">
        <v>5.0339999999999998</v>
      </c>
      <c r="H27" s="374">
        <v>5.04</v>
      </c>
      <c r="I27" s="374">
        <v>5.0449999999999999</v>
      </c>
      <c r="J27" s="374">
        <v>5.0460000000000003</v>
      </c>
      <c r="K27" s="374">
        <v>5.0490000000000004</v>
      </c>
      <c r="L27" s="374">
        <v>5.0510000000000002</v>
      </c>
      <c r="M27" s="374">
        <v>5.0510000000000002</v>
      </c>
      <c r="N27" s="374">
        <v>5.0510000000000002</v>
      </c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</row>
    <row r="28" spans="1:27" ht="16" customHeight="1">
      <c r="A28" s="67" t="s">
        <v>98</v>
      </c>
      <c r="B28" s="913">
        <v>5.0548700650890241</v>
      </c>
      <c r="C28" s="374">
        <v>5.0200000000000005</v>
      </c>
      <c r="D28" s="374">
        <v>5.0309999999999997</v>
      </c>
      <c r="E28" s="374">
        <v>5.0430000000000001</v>
      </c>
      <c r="F28" s="374">
        <v>5.0510000000000002</v>
      </c>
      <c r="G28" s="374">
        <v>5.0540000000000003</v>
      </c>
      <c r="H28" s="374">
        <v>5.0600000000000005</v>
      </c>
      <c r="I28" s="374">
        <v>5.0645000000000007</v>
      </c>
      <c r="J28" s="374">
        <v>5.0646000000000004</v>
      </c>
      <c r="K28" s="374">
        <v>5.0659999999999998</v>
      </c>
      <c r="L28" s="374">
        <v>5.0669999999999993</v>
      </c>
      <c r="M28" s="374">
        <v>5.0679999999999996</v>
      </c>
      <c r="N28" s="374">
        <v>5.0690000000000008</v>
      </c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</row>
    <row r="29" spans="1:27" ht="16" customHeight="1">
      <c r="A29" s="67" t="s">
        <v>42</v>
      </c>
      <c r="B29" s="913">
        <v>5.1960129667315007</v>
      </c>
      <c r="C29" s="374">
        <v>5.15</v>
      </c>
      <c r="D29" s="374">
        <v>5.173</v>
      </c>
      <c r="E29" s="374">
        <v>5.1830000000000007</v>
      </c>
      <c r="F29" s="374">
        <v>5.1900000000000013</v>
      </c>
      <c r="G29" s="374">
        <v>5.1929999999999996</v>
      </c>
      <c r="H29" s="374">
        <v>5.1979999999999995</v>
      </c>
      <c r="I29" s="374">
        <v>5.2019999999999982</v>
      </c>
      <c r="J29" s="374">
        <v>5.2039999999999997</v>
      </c>
      <c r="K29" s="374">
        <v>5.2080000000000002</v>
      </c>
      <c r="L29" s="374">
        <v>5.2110000000000003</v>
      </c>
      <c r="M29" s="374">
        <v>5.2140000000000004</v>
      </c>
      <c r="N29" s="374">
        <v>5.2170000000000005</v>
      </c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</row>
    <row r="30" spans="1:27" ht="16" customHeight="1">
      <c r="A30" s="67" t="s">
        <v>43</v>
      </c>
      <c r="B30" s="913">
        <v>5.2505066125091711</v>
      </c>
      <c r="C30" s="374">
        <v>5.2099999999999991</v>
      </c>
      <c r="D30" s="374">
        <v>5.2329999999999988</v>
      </c>
      <c r="E30" s="374">
        <v>5.2409999999999997</v>
      </c>
      <c r="F30" s="374">
        <v>5.2469999999999999</v>
      </c>
      <c r="G30" s="374">
        <v>5.2489999999999997</v>
      </c>
      <c r="H30" s="374">
        <v>5.2530000000000001</v>
      </c>
      <c r="I30" s="374">
        <v>5.2559999999999985</v>
      </c>
      <c r="J30" s="374">
        <v>5.2569999999999988</v>
      </c>
      <c r="K30" s="374">
        <v>5.26</v>
      </c>
      <c r="L30" s="374">
        <v>5.2619999999999996</v>
      </c>
      <c r="M30" s="374">
        <v>5.2639999999999993</v>
      </c>
      <c r="N30" s="374">
        <v>5.2659999999999991</v>
      </c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</row>
    <row r="31" spans="1:27" ht="16" customHeight="1">
      <c r="A31" s="67" t="s">
        <v>44</v>
      </c>
      <c r="B31" s="913">
        <v>5.362116468646156</v>
      </c>
      <c r="C31" s="374">
        <v>5.32</v>
      </c>
      <c r="D31" s="374">
        <v>5.34</v>
      </c>
      <c r="E31" s="374">
        <v>5.3460000000000001</v>
      </c>
      <c r="F31" s="374">
        <v>5.3520000000000003</v>
      </c>
      <c r="G31" s="374">
        <v>5.3570000000000011</v>
      </c>
      <c r="H31" s="374">
        <v>5.3630000000000004</v>
      </c>
      <c r="I31" s="374">
        <v>5.3685000000000009</v>
      </c>
      <c r="J31" s="374">
        <v>5.3710000000000004</v>
      </c>
      <c r="K31" s="374">
        <v>5.3760000000000003</v>
      </c>
      <c r="L31" s="374">
        <v>5.38</v>
      </c>
      <c r="M31" s="374">
        <v>5.383</v>
      </c>
      <c r="N31" s="374">
        <v>5.3860000000000001</v>
      </c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</row>
    <row r="32" spans="1:27" ht="16" customHeight="1">
      <c r="A32" s="67" t="s">
        <v>45</v>
      </c>
      <c r="B32" s="913">
        <v>5.441893115290104</v>
      </c>
      <c r="C32" s="374">
        <v>5.3710000000000004</v>
      </c>
      <c r="D32" s="374">
        <v>5.3810000000000011</v>
      </c>
      <c r="E32" s="374">
        <v>5.4269999999999996</v>
      </c>
      <c r="F32" s="374">
        <v>5.44</v>
      </c>
      <c r="G32" s="374">
        <v>5.4429999999999996</v>
      </c>
      <c r="H32" s="374">
        <v>5.4509999999999996</v>
      </c>
      <c r="I32" s="374">
        <v>5.4564999999999992</v>
      </c>
      <c r="J32" s="374">
        <v>5.4600000000000009</v>
      </c>
      <c r="K32" s="374">
        <v>5.4640000000000013</v>
      </c>
      <c r="L32" s="374">
        <v>5.4680000000000009</v>
      </c>
      <c r="M32" s="374">
        <v>5.4719999999999995</v>
      </c>
      <c r="N32" s="374">
        <v>5.4759999999999991</v>
      </c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</row>
    <row r="33" spans="1:27" ht="16" customHeight="1">
      <c r="A33" s="67" t="s">
        <v>46</v>
      </c>
      <c r="B33" s="913">
        <v>5.2877972336287158</v>
      </c>
      <c r="C33" s="374">
        <v>5.2270000000000003</v>
      </c>
      <c r="D33" s="374">
        <v>5.2469999999999999</v>
      </c>
      <c r="E33" s="374">
        <v>5.2639999999999993</v>
      </c>
      <c r="F33" s="374">
        <v>5.28</v>
      </c>
      <c r="G33" s="374">
        <v>5.2850000000000001</v>
      </c>
      <c r="H33" s="374">
        <v>5.293000000000001</v>
      </c>
      <c r="I33" s="374">
        <v>5.2994999999999992</v>
      </c>
      <c r="J33" s="374">
        <v>5.3040000000000003</v>
      </c>
      <c r="K33" s="374">
        <v>5.31</v>
      </c>
      <c r="L33" s="374">
        <v>5.3150000000000004</v>
      </c>
      <c r="M33" s="374">
        <v>5.3179999999999996</v>
      </c>
      <c r="N33" s="374">
        <v>5.3209999999999988</v>
      </c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</row>
    <row r="34" spans="1:27" ht="16" customHeight="1" thickBot="1">
      <c r="A34" s="113" t="s">
        <v>47</v>
      </c>
      <c r="B34" s="914">
        <v>5.3009934858768739</v>
      </c>
      <c r="C34" s="375">
        <v>5.25</v>
      </c>
      <c r="D34" s="375">
        <v>5.27</v>
      </c>
      <c r="E34" s="375">
        <v>5.2830000000000013</v>
      </c>
      <c r="F34" s="375">
        <v>5.2940000000000005</v>
      </c>
      <c r="G34" s="375">
        <v>5.298</v>
      </c>
      <c r="H34" s="375">
        <v>5.3049999999999997</v>
      </c>
      <c r="I34" s="375">
        <v>5.3104999999999993</v>
      </c>
      <c r="J34" s="375">
        <v>5.3140000000000001</v>
      </c>
      <c r="K34" s="375">
        <v>5.3189999999999991</v>
      </c>
      <c r="L34" s="375">
        <v>5.3230000000000004</v>
      </c>
      <c r="M34" s="375">
        <v>5.3270000000000008</v>
      </c>
      <c r="N34" s="375">
        <v>5.3310000000000013</v>
      </c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</row>
    <row r="35" spans="1:27" ht="9" customHeight="1">
      <c r="A35" s="449" t="s">
        <v>330</v>
      </c>
      <c r="B35" s="520"/>
      <c r="C35" s="521"/>
      <c r="D35" s="521"/>
      <c r="E35" s="379"/>
      <c r="F35" s="379"/>
      <c r="G35" s="379"/>
      <c r="H35" s="379"/>
      <c r="I35" s="379"/>
      <c r="J35" s="379"/>
      <c r="K35" s="379"/>
      <c r="L35" s="379"/>
      <c r="M35" s="379"/>
      <c r="N35" s="379"/>
    </row>
    <row r="36" spans="1:27" ht="9" customHeight="1">
      <c r="A36" s="449" t="s">
        <v>304</v>
      </c>
      <c r="B36" s="521"/>
      <c r="C36" s="521"/>
      <c r="D36" s="521"/>
      <c r="E36" s="379"/>
      <c r="F36" s="379"/>
      <c r="G36" s="379"/>
      <c r="H36" s="379"/>
      <c r="I36" s="379"/>
      <c r="J36" s="379"/>
      <c r="K36" s="379"/>
      <c r="L36" s="379"/>
      <c r="M36" s="379"/>
      <c r="N36" s="379"/>
    </row>
    <row r="37" spans="1:27" ht="9" customHeight="1">
      <c r="A37" s="451" t="s">
        <v>303</v>
      </c>
      <c r="B37" s="464"/>
      <c r="C37" s="464"/>
      <c r="D37" s="464"/>
      <c r="E37" s="173"/>
      <c r="F37" s="173"/>
      <c r="G37" s="173"/>
      <c r="H37" s="173"/>
      <c r="I37" s="173"/>
      <c r="J37" s="173"/>
      <c r="K37" s="173"/>
      <c r="L37" s="173"/>
      <c r="M37" s="173"/>
      <c r="N37" s="173"/>
    </row>
    <row r="38" spans="1:27" ht="13.25" customHeight="1">
      <c r="A38" s="522"/>
      <c r="B38" s="464"/>
      <c r="C38" s="464"/>
      <c r="D38" s="464"/>
    </row>
    <row r="39" spans="1:27" ht="13.25" customHeight="1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Hoja110">
    <tabColor theme="9" tint="0.59999389629810485"/>
  </sheetPr>
  <dimension ref="A1:AA90"/>
  <sheetViews>
    <sheetView showGridLines="0" zoomScaleNormal="100" workbookViewId="0">
      <selection activeCell="O8" sqref="O8"/>
    </sheetView>
  </sheetViews>
  <sheetFormatPr baseColWidth="10" defaultColWidth="7" defaultRowHeight="13.25" customHeight="1"/>
  <cols>
    <col min="1" max="1" width="14" style="67" customWidth="1"/>
    <col min="2" max="2" width="9" style="67" customWidth="1"/>
    <col min="3" max="14" width="9.19921875" style="67" customWidth="1"/>
    <col min="15" max="15" width="9.19921875" style="67" bestFit="1" customWidth="1"/>
    <col min="16" max="16384" width="7" style="67"/>
  </cols>
  <sheetData>
    <row r="1" spans="1:27" ht="17" customHeight="1">
      <c r="A1" s="381" t="s">
        <v>604</v>
      </c>
      <c r="B1" s="381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</row>
    <row r="2" spans="1:27" ht="13.25" customHeight="1">
      <c r="A2" s="377" t="s">
        <v>294</v>
      </c>
      <c r="B2" s="226"/>
      <c r="C2" s="101"/>
      <c r="D2" s="101"/>
      <c r="E2" s="101"/>
      <c r="F2" s="101"/>
      <c r="G2" s="104"/>
      <c r="H2" s="103"/>
      <c r="I2" s="101"/>
      <c r="J2" s="101"/>
      <c r="K2" s="101"/>
      <c r="L2" s="101"/>
      <c r="M2" s="101"/>
      <c r="N2" s="101"/>
    </row>
    <row r="3" spans="1:27" ht="6" customHeight="1" thickBot="1">
      <c r="A3" s="103"/>
      <c r="B3" s="101"/>
      <c r="C3" s="101"/>
      <c r="D3" s="101"/>
      <c r="E3" s="101"/>
      <c r="F3" s="101"/>
      <c r="G3" s="104"/>
      <c r="H3" s="103"/>
      <c r="I3" s="101"/>
      <c r="J3" s="101"/>
      <c r="K3" s="101"/>
      <c r="L3" s="101"/>
      <c r="M3" s="101"/>
      <c r="N3" s="101"/>
    </row>
    <row r="4" spans="1:27" ht="18" customHeight="1">
      <c r="A4" s="732" t="s">
        <v>16</v>
      </c>
      <c r="B4" s="732" t="s">
        <v>52</v>
      </c>
      <c r="C4" s="732" t="s">
        <v>53</v>
      </c>
      <c r="D4" s="732" t="s">
        <v>54</v>
      </c>
      <c r="E4" s="732" t="s">
        <v>55</v>
      </c>
      <c r="F4" s="732" t="s">
        <v>56</v>
      </c>
      <c r="G4" s="732" t="s">
        <v>57</v>
      </c>
      <c r="H4" s="732" t="s">
        <v>58</v>
      </c>
      <c r="I4" s="732" t="s">
        <v>59</v>
      </c>
      <c r="J4" s="732" t="s">
        <v>60</v>
      </c>
      <c r="K4" s="732" t="s">
        <v>61</v>
      </c>
      <c r="L4" s="732" t="s">
        <v>62</v>
      </c>
      <c r="M4" s="732" t="s">
        <v>63</v>
      </c>
      <c r="N4" s="732" t="s">
        <v>64</v>
      </c>
    </row>
    <row r="5" spans="1:27" ht="18" customHeight="1">
      <c r="A5" s="693" t="s">
        <v>100</v>
      </c>
      <c r="B5" s="912">
        <v>1.5387871674935578</v>
      </c>
      <c r="C5" s="695">
        <v>1.5155973323606231</v>
      </c>
      <c r="D5" s="695">
        <v>1.5249092153258192</v>
      </c>
      <c r="E5" s="695">
        <v>1.5348758527941362</v>
      </c>
      <c r="F5" s="695">
        <v>1.5418766501970886</v>
      </c>
      <c r="G5" s="695">
        <v>1.5445847245002016</v>
      </c>
      <c r="H5" s="695">
        <v>1.5442136752579467</v>
      </c>
      <c r="I5" s="695">
        <v>1.5433870403463366</v>
      </c>
      <c r="J5" s="695">
        <v>1.54147704165675</v>
      </c>
      <c r="K5" s="695">
        <v>1.5413603513998457</v>
      </c>
      <c r="L5" s="695">
        <v>1.5403777885438408</v>
      </c>
      <c r="M5" s="695">
        <v>1.5451563959454373</v>
      </c>
      <c r="N5" s="695">
        <v>1.547329076427739</v>
      </c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</row>
    <row r="6" spans="1:27" ht="16" customHeight="1">
      <c r="A6" s="67" t="s">
        <v>19</v>
      </c>
      <c r="B6" s="913">
        <v>2.1308484931300526</v>
      </c>
      <c r="C6" s="374">
        <v>2.0999999999999996</v>
      </c>
      <c r="D6" s="374">
        <v>2.116504854368932</v>
      </c>
      <c r="E6" s="374">
        <v>2.1281553398058253</v>
      </c>
      <c r="F6" s="374">
        <v>2.1310679611650487</v>
      </c>
      <c r="G6" s="374">
        <v>2.1330097087378639</v>
      </c>
      <c r="H6" s="374">
        <v>2.1330097087378643</v>
      </c>
      <c r="I6" s="374">
        <v>2.1339805825242721</v>
      </c>
      <c r="J6" s="374">
        <v>2.1349514563106795</v>
      </c>
      <c r="K6" s="374">
        <v>2.1359223300970873</v>
      </c>
      <c r="L6" s="374">
        <v>2.1378640776699029</v>
      </c>
      <c r="M6" s="374">
        <v>2.1398058252427181</v>
      </c>
      <c r="N6" s="374">
        <v>2.1417475728155337</v>
      </c>
      <c r="O6" s="10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</row>
    <row r="7" spans="1:27" ht="16" customHeight="1">
      <c r="A7" s="67" t="s">
        <v>20</v>
      </c>
      <c r="B7" s="913">
        <v>1.9194638226959297</v>
      </c>
      <c r="C7" s="374">
        <v>1.8980582524271843</v>
      </c>
      <c r="D7" s="374">
        <v>1.9077669902912622</v>
      </c>
      <c r="E7" s="374">
        <v>1.9165048543689318</v>
      </c>
      <c r="F7" s="374">
        <v>1.9213592233009711</v>
      </c>
      <c r="G7" s="374">
        <v>1.9223300970873787</v>
      </c>
      <c r="H7" s="374">
        <v>1.9223300970873787</v>
      </c>
      <c r="I7" s="374">
        <v>1.9228155339805824</v>
      </c>
      <c r="J7" s="374">
        <v>1.9233009708737863</v>
      </c>
      <c r="K7" s="374">
        <v>1.9233009708737865</v>
      </c>
      <c r="L7" s="374">
        <v>1.9233009708737865</v>
      </c>
      <c r="M7" s="374">
        <v>1.9233009708737865</v>
      </c>
      <c r="N7" s="374">
        <v>1.9233009708737863</v>
      </c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</row>
    <row r="8" spans="1:27" ht="16" customHeight="1">
      <c r="A8" s="67" t="s">
        <v>21</v>
      </c>
      <c r="B8" s="913">
        <v>1.4768606809438587</v>
      </c>
      <c r="C8" s="374">
        <v>1.4504854368932036</v>
      </c>
      <c r="D8" s="374">
        <v>1.4592233009708737</v>
      </c>
      <c r="E8" s="374">
        <v>1.4689320388349509</v>
      </c>
      <c r="F8" s="374">
        <v>1.474757281553398</v>
      </c>
      <c r="G8" s="374">
        <v>1.4766990291262134</v>
      </c>
      <c r="H8" s="374">
        <v>1.478640776699029</v>
      </c>
      <c r="I8" s="374">
        <v>1.4805825242718444</v>
      </c>
      <c r="J8" s="374">
        <v>1.4825242718446601</v>
      </c>
      <c r="K8" s="374">
        <v>1.4844660194174755</v>
      </c>
      <c r="L8" s="374">
        <v>1.4864077669902913</v>
      </c>
      <c r="M8" s="374">
        <v>1.4883495145631067</v>
      </c>
      <c r="N8" s="374">
        <v>1.4902912621359223</v>
      </c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</row>
    <row r="9" spans="1:27" ht="16" customHeight="1">
      <c r="A9" s="67" t="s">
        <v>22</v>
      </c>
      <c r="B9" s="913">
        <v>1.551336147326676</v>
      </c>
      <c r="C9" s="374">
        <v>1.5388349514563107</v>
      </c>
      <c r="D9" s="374">
        <v>1.5417475728155341</v>
      </c>
      <c r="E9" s="374">
        <v>1.5466019417475727</v>
      </c>
      <c r="F9" s="374">
        <v>1.5514563106796115</v>
      </c>
      <c r="G9" s="374">
        <v>1.5553398058252426</v>
      </c>
      <c r="H9" s="374">
        <v>1.5533980582524274</v>
      </c>
      <c r="I9" s="374">
        <v>1.554368932038835</v>
      </c>
      <c r="J9" s="374">
        <v>1.554368932038835</v>
      </c>
      <c r="K9" s="374">
        <v>1.554368932038835</v>
      </c>
      <c r="L9" s="374">
        <v>1.554368932038835</v>
      </c>
      <c r="M9" s="374">
        <v>1.554368932038835</v>
      </c>
      <c r="N9" s="374">
        <v>1.554368932038835</v>
      </c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</row>
    <row r="10" spans="1:27" ht="16" customHeight="1">
      <c r="A10" s="67" t="s">
        <v>23</v>
      </c>
      <c r="B10" s="913">
        <v>1.3992200167153177</v>
      </c>
      <c r="C10" s="374">
        <v>1.3843164764565989</v>
      </c>
      <c r="D10" s="374">
        <v>1.3864642594070755</v>
      </c>
      <c r="E10" s="374">
        <v>1.3939307239688832</v>
      </c>
      <c r="F10" s="374">
        <v>1.3999671199007422</v>
      </c>
      <c r="G10" s="374">
        <v>1.4010616249190286</v>
      </c>
      <c r="H10" s="374">
        <v>1.4006672111199596</v>
      </c>
      <c r="I10" s="374">
        <v>1.4017020010860475</v>
      </c>
      <c r="J10" s="374">
        <v>1.4020400113847016</v>
      </c>
      <c r="K10" s="374">
        <v>1.4025708570530595</v>
      </c>
      <c r="L10" s="374">
        <v>1.4041347662763795</v>
      </c>
      <c r="M10" s="374">
        <v>1.4065049246907952</v>
      </c>
      <c r="N10" s="374">
        <v>1.407385032066967</v>
      </c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</row>
    <row r="11" spans="1:27" ht="16" customHeight="1">
      <c r="A11" s="67" t="s">
        <v>94</v>
      </c>
      <c r="B11" s="913">
        <v>1.4158145862746192</v>
      </c>
      <c r="C11" s="374">
        <v>1.4038834951456309</v>
      </c>
      <c r="D11" s="374">
        <v>1.404854368932039</v>
      </c>
      <c r="E11" s="374">
        <v>1.412621359223301</v>
      </c>
      <c r="F11" s="374">
        <v>1.4165048543689323</v>
      </c>
      <c r="G11" s="374">
        <v>1.4174757281553396</v>
      </c>
      <c r="H11" s="374">
        <v>1.4174757281553398</v>
      </c>
      <c r="I11" s="374">
        <v>1.4179611650485435</v>
      </c>
      <c r="J11" s="374">
        <v>1.4184466019417477</v>
      </c>
      <c r="K11" s="374">
        <v>1.4184466019417477</v>
      </c>
      <c r="L11" s="374">
        <v>1.4184466019417477</v>
      </c>
      <c r="M11" s="374">
        <v>1.4203883495145633</v>
      </c>
      <c r="N11" s="374">
        <v>1.4223300970873787</v>
      </c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</row>
    <row r="12" spans="1:27" ht="16" customHeight="1">
      <c r="A12" s="67" t="s">
        <v>95</v>
      </c>
      <c r="B12" s="913">
        <v>1.3635502537738313</v>
      </c>
      <c r="C12" s="374">
        <v>1.3514563106796116</v>
      </c>
      <c r="D12" s="374">
        <v>1.3514563106796116</v>
      </c>
      <c r="E12" s="374">
        <v>1.3553398058252426</v>
      </c>
      <c r="F12" s="374">
        <v>1.3631067961165046</v>
      </c>
      <c r="G12" s="374">
        <v>1.3650485436893203</v>
      </c>
      <c r="H12" s="374">
        <v>1.36504854368932</v>
      </c>
      <c r="I12" s="374">
        <v>1.3660194174757283</v>
      </c>
      <c r="J12" s="374">
        <v>1.3669902912621359</v>
      </c>
      <c r="K12" s="374">
        <v>1.3679611650485437</v>
      </c>
      <c r="L12" s="374">
        <v>1.3689320388349513</v>
      </c>
      <c r="M12" s="374">
        <v>1.3708737864077669</v>
      </c>
      <c r="N12" s="374">
        <v>1.3728155339805825</v>
      </c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</row>
    <row r="13" spans="1:27" ht="16" customHeight="1">
      <c r="A13" s="67" t="s">
        <v>124</v>
      </c>
      <c r="B13" s="913">
        <v>1.5159983128487011</v>
      </c>
      <c r="C13" s="374">
        <v>1.4815533980582525</v>
      </c>
      <c r="D13" s="374">
        <v>1.4834951456310681</v>
      </c>
      <c r="E13" s="374">
        <v>1.5</v>
      </c>
      <c r="F13" s="374">
        <v>1.503883495145631</v>
      </c>
      <c r="G13" s="374">
        <v>1.5048543689320386</v>
      </c>
      <c r="H13" s="374">
        <v>1.5145631067961165</v>
      </c>
      <c r="I13" s="374">
        <v>1.5199029126213595</v>
      </c>
      <c r="J13" s="374">
        <v>1.5271844660194176</v>
      </c>
      <c r="K13" s="374">
        <v>1.5300970873786408</v>
      </c>
      <c r="L13" s="374">
        <v>1.5349514563106792</v>
      </c>
      <c r="M13" s="374">
        <v>1.5368932038834948</v>
      </c>
      <c r="N13" s="374">
        <v>1.5388349514563107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</row>
    <row r="14" spans="1:27" ht="16" customHeight="1">
      <c r="A14" s="67" t="s">
        <v>27</v>
      </c>
      <c r="B14" s="913">
        <v>1.4663378758645889</v>
      </c>
      <c r="C14" s="374">
        <v>1.4524271844660193</v>
      </c>
      <c r="D14" s="374">
        <v>1.4563106796116505</v>
      </c>
      <c r="E14" s="374">
        <v>1.4621359223300969</v>
      </c>
      <c r="F14" s="374">
        <v>1.4650485436893204</v>
      </c>
      <c r="G14" s="374">
        <v>1.4669902912621358</v>
      </c>
      <c r="H14" s="374">
        <v>1.4669902912621355</v>
      </c>
      <c r="I14" s="374">
        <v>1.4679611650485436</v>
      </c>
      <c r="J14" s="374">
        <v>1.4689320388349514</v>
      </c>
      <c r="K14" s="374">
        <v>1.4699029126213592</v>
      </c>
      <c r="L14" s="374">
        <v>1.4708737864077668</v>
      </c>
      <c r="M14" s="374">
        <v>1.47378640776699</v>
      </c>
      <c r="N14" s="374">
        <v>1.4766990291262136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</row>
    <row r="15" spans="1:27" ht="16" customHeight="1">
      <c r="A15" s="67" t="s">
        <v>28</v>
      </c>
      <c r="B15" s="913">
        <v>1.4365355752817557</v>
      </c>
      <c r="C15" s="374">
        <v>1.4213592233009706</v>
      </c>
      <c r="D15" s="374">
        <v>1.4223300970873789</v>
      </c>
      <c r="E15" s="374">
        <v>1.4281553398058253</v>
      </c>
      <c r="F15" s="374">
        <v>1.433980582524272</v>
      </c>
      <c r="G15" s="374">
        <v>1.4368932038834952</v>
      </c>
      <c r="H15" s="374">
        <v>1.4388349514563106</v>
      </c>
      <c r="I15" s="374">
        <v>1.4412621359223299</v>
      </c>
      <c r="J15" s="374">
        <v>1.441747572815534</v>
      </c>
      <c r="K15" s="374">
        <v>1.4436893203883494</v>
      </c>
      <c r="L15" s="374">
        <v>1.4446601941747574</v>
      </c>
      <c r="M15" s="374">
        <v>1.445631067961165</v>
      </c>
      <c r="N15" s="374">
        <v>1.4466019417475726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</row>
    <row r="16" spans="1:27" ht="16" customHeight="1">
      <c r="A16" s="67" t="s">
        <v>29</v>
      </c>
      <c r="B16" s="913">
        <v>1.6208061798559088</v>
      </c>
      <c r="C16" s="374">
        <v>1.6038834951456309</v>
      </c>
      <c r="D16" s="374">
        <v>1.6067961165048543</v>
      </c>
      <c r="E16" s="374">
        <v>1.6145631067961161</v>
      </c>
      <c r="F16" s="374">
        <v>1.6182524271844663</v>
      </c>
      <c r="G16" s="374">
        <v>1.6217475728155339</v>
      </c>
      <c r="H16" s="374">
        <v>1.6217475728155342</v>
      </c>
      <c r="I16" s="374">
        <v>1.6234951456310684</v>
      </c>
      <c r="J16" s="374">
        <v>1.6242718446601943</v>
      </c>
      <c r="K16" s="374">
        <v>1.6262135922330099</v>
      </c>
      <c r="L16" s="374">
        <v>1.6271844660194172</v>
      </c>
      <c r="M16" s="374">
        <v>1.6291262135922324</v>
      </c>
      <c r="N16" s="374">
        <v>1.6310679611650483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</row>
    <row r="17" spans="1:27" ht="16" customHeight="1">
      <c r="A17" s="67" t="s">
        <v>30</v>
      </c>
      <c r="B17" s="913">
        <v>1.6019163804842591</v>
      </c>
      <c r="C17" s="374">
        <v>1.5786407766990289</v>
      </c>
      <c r="D17" s="374">
        <v>1.5883495145631066</v>
      </c>
      <c r="E17" s="374">
        <v>1.5980582524271845</v>
      </c>
      <c r="F17" s="374">
        <v>1.6009708737864077</v>
      </c>
      <c r="G17" s="374">
        <v>1.6029126213592233</v>
      </c>
      <c r="H17" s="374">
        <v>1.6029126213592229</v>
      </c>
      <c r="I17" s="374">
        <v>1.6038834951456311</v>
      </c>
      <c r="J17" s="374">
        <v>1.6048543689320387</v>
      </c>
      <c r="K17" s="374">
        <v>1.6058252427184465</v>
      </c>
      <c r="L17" s="374">
        <v>1.6087378640776699</v>
      </c>
      <c r="M17" s="374">
        <v>1.6116504854368932</v>
      </c>
      <c r="N17" s="374">
        <v>1.6145631067961168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</row>
    <row r="18" spans="1:27" ht="16" customHeight="1">
      <c r="A18" s="67" t="s">
        <v>31</v>
      </c>
      <c r="B18" s="913">
        <v>1.6179864906200834</v>
      </c>
      <c r="C18" s="374">
        <v>1.6058252427184465</v>
      </c>
      <c r="D18" s="374">
        <v>1.6077669902912621</v>
      </c>
      <c r="E18" s="374">
        <v>1.6135922330097086</v>
      </c>
      <c r="F18" s="374">
        <v>1.615533980582524</v>
      </c>
      <c r="G18" s="374">
        <v>1.6174757281553396</v>
      </c>
      <c r="H18" s="374">
        <v>1.6184466019417474</v>
      </c>
      <c r="I18" s="374">
        <v>1.6199029126213591</v>
      </c>
      <c r="J18" s="374">
        <v>1.6213592233009708</v>
      </c>
      <c r="K18" s="374">
        <v>1.6223300970873784</v>
      </c>
      <c r="L18" s="374">
        <v>1.6233009708737864</v>
      </c>
      <c r="M18" s="374">
        <v>1.6252427184466021</v>
      </c>
      <c r="N18" s="374">
        <v>1.627184466019417</v>
      </c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</row>
    <row r="19" spans="1:27" ht="16" customHeight="1">
      <c r="A19" s="67" t="s">
        <v>32</v>
      </c>
      <c r="B19" s="913">
        <v>1.5736716824772343</v>
      </c>
      <c r="C19" s="374">
        <v>1.5601941747572816</v>
      </c>
      <c r="D19" s="374">
        <v>1.5699029126213593</v>
      </c>
      <c r="E19" s="374">
        <v>1.5718446601941747</v>
      </c>
      <c r="F19" s="374">
        <v>1.5737864077669905</v>
      </c>
      <c r="G19" s="374">
        <v>1.5747572815533981</v>
      </c>
      <c r="H19" s="374">
        <v>1.5747572815533981</v>
      </c>
      <c r="I19" s="374">
        <v>1.575242718446602</v>
      </c>
      <c r="J19" s="374">
        <v>1.5757281553398055</v>
      </c>
      <c r="K19" s="374">
        <v>1.5757281553398055</v>
      </c>
      <c r="L19" s="374">
        <v>1.5757281553398057</v>
      </c>
      <c r="M19" s="374">
        <v>1.5776699029126213</v>
      </c>
      <c r="N19" s="374">
        <v>1.5796116504854369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</row>
    <row r="20" spans="1:27" ht="16" customHeight="1">
      <c r="A20" s="67" t="s">
        <v>33</v>
      </c>
      <c r="B20" s="913">
        <v>1.6698745419298091</v>
      </c>
      <c r="C20" s="374">
        <v>1.6233009708737862</v>
      </c>
      <c r="D20" s="374">
        <v>1.6330097087378639</v>
      </c>
      <c r="E20" s="374">
        <v>1.6446601941747572</v>
      </c>
      <c r="F20" s="374">
        <v>1.6485436893203884</v>
      </c>
      <c r="G20" s="374">
        <v>1.6504854368932036</v>
      </c>
      <c r="H20" s="374">
        <v>1.6699029126213591</v>
      </c>
      <c r="I20" s="374">
        <v>1.6805825242718444</v>
      </c>
      <c r="J20" s="374">
        <v>1.6834951456310676</v>
      </c>
      <c r="K20" s="374">
        <v>1.6941747572815533</v>
      </c>
      <c r="L20" s="374">
        <v>1.7009708737864075</v>
      </c>
      <c r="M20" s="374">
        <v>1.7029126213592232</v>
      </c>
      <c r="N20" s="374">
        <v>1.704854368932039</v>
      </c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</row>
    <row r="21" spans="1:27" ht="16" customHeight="1">
      <c r="A21" s="67" t="s">
        <v>34</v>
      </c>
      <c r="B21" s="913">
        <v>1.3782520429367284</v>
      </c>
      <c r="C21" s="374">
        <v>1.353398058252427</v>
      </c>
      <c r="D21" s="374">
        <v>1.3631067961165046</v>
      </c>
      <c r="E21" s="374">
        <v>1.3669902912621357</v>
      </c>
      <c r="F21" s="374">
        <v>1.3708737864077667</v>
      </c>
      <c r="G21" s="374">
        <v>1.378640776699029</v>
      </c>
      <c r="H21" s="374">
        <v>1.3786407766990292</v>
      </c>
      <c r="I21" s="374">
        <v>1.38252427184466</v>
      </c>
      <c r="J21" s="374">
        <v>1.3844660194174756</v>
      </c>
      <c r="K21" s="374">
        <v>1.3864077669902912</v>
      </c>
      <c r="L21" s="374">
        <v>1.3883495145631066</v>
      </c>
      <c r="M21" s="374">
        <v>1.3902912621359225</v>
      </c>
      <c r="N21" s="374">
        <v>1.3922330097087376</v>
      </c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</row>
    <row r="22" spans="1:27" ht="16" customHeight="1">
      <c r="A22" s="67" t="s">
        <v>35</v>
      </c>
      <c r="B22" s="913">
        <v>1.489676275019981</v>
      </c>
      <c r="C22" s="374">
        <v>1.4660194174757284</v>
      </c>
      <c r="D22" s="374">
        <v>1.4766990291262134</v>
      </c>
      <c r="E22" s="374">
        <v>1.4864077669902911</v>
      </c>
      <c r="F22" s="374">
        <v>1.4893203883495143</v>
      </c>
      <c r="G22" s="374">
        <v>1.4912621359223301</v>
      </c>
      <c r="H22" s="374">
        <v>1.4912621359223301</v>
      </c>
      <c r="I22" s="374">
        <v>1.4922330097087377</v>
      </c>
      <c r="J22" s="374">
        <v>1.4932038834951458</v>
      </c>
      <c r="K22" s="374">
        <v>1.4941747572815534</v>
      </c>
      <c r="L22" s="374">
        <v>1.4951456310679612</v>
      </c>
      <c r="M22" s="374">
        <v>1.4980582524271844</v>
      </c>
      <c r="N22" s="374">
        <v>1.5009708737864076</v>
      </c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</row>
    <row r="23" spans="1:27" ht="16" customHeight="1">
      <c r="A23" s="67" t="s">
        <v>36</v>
      </c>
      <c r="B23" s="913">
        <v>1.4439042865520777</v>
      </c>
      <c r="C23" s="374">
        <v>1.4194174757281552</v>
      </c>
      <c r="D23" s="374">
        <v>1.4300970873786405</v>
      </c>
      <c r="E23" s="374">
        <v>1.4388349514563108</v>
      </c>
      <c r="F23" s="374">
        <v>1.4446601941747572</v>
      </c>
      <c r="G23" s="374">
        <v>1.4466019417475728</v>
      </c>
      <c r="H23" s="374">
        <v>1.4466019417475728</v>
      </c>
      <c r="I23" s="374">
        <v>1.4475728155339807</v>
      </c>
      <c r="J23" s="374">
        <v>1.4485436893203885</v>
      </c>
      <c r="K23" s="374">
        <v>1.4495145631067963</v>
      </c>
      <c r="L23" s="374">
        <v>1.4504854368932036</v>
      </c>
      <c r="M23" s="374">
        <v>1.4514563106796117</v>
      </c>
      <c r="N23" s="374">
        <v>1.4524271844660188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</row>
    <row r="24" spans="1:27" ht="16" customHeight="1">
      <c r="A24" s="67" t="s">
        <v>37</v>
      </c>
      <c r="B24" s="913">
        <v>1.4660713768992935</v>
      </c>
      <c r="C24" s="374">
        <v>1.4388349514563108</v>
      </c>
      <c r="D24" s="374">
        <v>1.4475728155339807</v>
      </c>
      <c r="E24" s="374">
        <v>1.4592233009708735</v>
      </c>
      <c r="F24" s="374">
        <v>1.4640776699029128</v>
      </c>
      <c r="G24" s="374">
        <v>1.4660194174757282</v>
      </c>
      <c r="H24" s="374">
        <v>1.4679611650485436</v>
      </c>
      <c r="I24" s="374">
        <v>1.4699029126213592</v>
      </c>
      <c r="J24" s="374">
        <v>1.4718446601941748</v>
      </c>
      <c r="K24" s="374">
        <v>1.4737864077669904</v>
      </c>
      <c r="L24" s="374">
        <v>1.4757281553398058</v>
      </c>
      <c r="M24" s="374">
        <v>1.4776699029126215</v>
      </c>
      <c r="N24" s="374">
        <v>1.4796116504854371</v>
      </c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</row>
    <row r="25" spans="1:27" ht="16" customHeight="1">
      <c r="A25" s="67" t="s">
        <v>38</v>
      </c>
      <c r="B25" s="913">
        <v>1.6554696415781922</v>
      </c>
      <c r="C25" s="374">
        <v>1.6339805825242717</v>
      </c>
      <c r="D25" s="374">
        <v>1.6349514563106795</v>
      </c>
      <c r="E25" s="374">
        <v>1.6436893203883494</v>
      </c>
      <c r="F25" s="374">
        <v>1.6485436893203882</v>
      </c>
      <c r="G25" s="374">
        <v>1.6504854368932038</v>
      </c>
      <c r="H25" s="374">
        <v>1.6601941747572813</v>
      </c>
      <c r="I25" s="374">
        <v>1.6660194174757281</v>
      </c>
      <c r="J25" s="374">
        <v>1.6679611650485437</v>
      </c>
      <c r="K25" s="374">
        <v>1.6699029126213594</v>
      </c>
      <c r="L25" s="374">
        <v>1.6718446601941748</v>
      </c>
      <c r="M25" s="374">
        <v>1.6718446601941745</v>
      </c>
      <c r="N25" s="374">
        <v>1.6718446601941745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</row>
    <row r="26" spans="1:27" ht="16" customHeight="1">
      <c r="A26" s="67" t="s">
        <v>39</v>
      </c>
      <c r="B26" s="913">
        <v>1.5024131392580042</v>
      </c>
      <c r="C26" s="374">
        <v>1.4894411641795142</v>
      </c>
      <c r="D26" s="374">
        <v>1.4903536068619605</v>
      </c>
      <c r="E26" s="374">
        <v>1.5005350849761925</v>
      </c>
      <c r="F26" s="374">
        <v>1.5031065591718602</v>
      </c>
      <c r="G26" s="374">
        <v>1.5048148572551487</v>
      </c>
      <c r="H26" s="374">
        <v>1.5053648918812921</v>
      </c>
      <c r="I26" s="374">
        <v>1.506118599175521</v>
      </c>
      <c r="J26" s="374">
        <v>1.5065935111449205</v>
      </c>
      <c r="K26" s="374">
        <v>1.5077807073555127</v>
      </c>
      <c r="L26" s="374">
        <v>1.5084338466428713</v>
      </c>
      <c r="M26" s="374">
        <v>1.5104941364278117</v>
      </c>
      <c r="N26" s="374">
        <v>1.5116019318541285</v>
      </c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</row>
    <row r="27" spans="1:27" ht="16" customHeight="1">
      <c r="A27" s="67" t="s">
        <v>97</v>
      </c>
      <c r="B27" s="913">
        <v>1.4967636895186942</v>
      </c>
      <c r="C27" s="374">
        <v>1.4854368932038833</v>
      </c>
      <c r="D27" s="374">
        <v>1.4854368932038835</v>
      </c>
      <c r="E27" s="374">
        <v>1.4961165048543688</v>
      </c>
      <c r="F27" s="374">
        <v>1.4990291262135922</v>
      </c>
      <c r="G27" s="374">
        <v>1.4999999999999998</v>
      </c>
      <c r="H27" s="374">
        <v>1.5</v>
      </c>
      <c r="I27" s="374">
        <v>1.5004854368932037</v>
      </c>
      <c r="J27" s="374">
        <v>1.5009708737864078</v>
      </c>
      <c r="K27" s="374">
        <v>1.5009708737864078</v>
      </c>
      <c r="L27" s="374">
        <v>1.5009708737864078</v>
      </c>
      <c r="M27" s="374">
        <v>1.5029126213592232</v>
      </c>
      <c r="N27" s="374">
        <v>1.5048543689320386</v>
      </c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</row>
    <row r="28" spans="1:27" ht="16" customHeight="1">
      <c r="A28" s="67" t="s">
        <v>98</v>
      </c>
      <c r="B28" s="913">
        <v>1.5093165515588984</v>
      </c>
      <c r="C28" s="374">
        <v>1.4951456310679612</v>
      </c>
      <c r="D28" s="374">
        <v>1.4970873786407768</v>
      </c>
      <c r="E28" s="374">
        <v>1.5067961165048542</v>
      </c>
      <c r="F28" s="374">
        <v>1.5087378640776699</v>
      </c>
      <c r="G28" s="374">
        <v>1.5106796116504855</v>
      </c>
      <c r="H28" s="374">
        <v>1.5116504854368931</v>
      </c>
      <c r="I28" s="374">
        <v>1.513106796116505</v>
      </c>
      <c r="J28" s="374">
        <v>1.5145631067961167</v>
      </c>
      <c r="K28" s="374">
        <v>1.5155339805825239</v>
      </c>
      <c r="L28" s="374">
        <v>1.5165048543689321</v>
      </c>
      <c r="M28" s="374">
        <v>1.5165048543689319</v>
      </c>
      <c r="N28" s="374">
        <v>1.5165048543689321</v>
      </c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</row>
    <row r="29" spans="1:27" ht="16" customHeight="1">
      <c r="A29" s="67" t="s">
        <v>42</v>
      </c>
      <c r="B29" s="913">
        <v>1.5410573770142224</v>
      </c>
      <c r="C29" s="374">
        <v>1.5155339805825241</v>
      </c>
      <c r="D29" s="374">
        <v>1.5262135922330096</v>
      </c>
      <c r="E29" s="374">
        <v>1.5359223300970875</v>
      </c>
      <c r="F29" s="374">
        <v>1.5407766990291263</v>
      </c>
      <c r="G29" s="374">
        <v>1.5427184466019417</v>
      </c>
      <c r="H29" s="374">
        <v>1.5436893203883497</v>
      </c>
      <c r="I29" s="374">
        <v>1.545145631067961</v>
      </c>
      <c r="J29" s="374">
        <v>1.5466019417475727</v>
      </c>
      <c r="K29" s="374">
        <v>1.5475728155339807</v>
      </c>
      <c r="L29" s="374">
        <v>1.5485436893203879</v>
      </c>
      <c r="M29" s="374">
        <v>1.5504854368932037</v>
      </c>
      <c r="N29" s="374">
        <v>1.5524271844660191</v>
      </c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</row>
    <row r="30" spans="1:27" ht="16" customHeight="1">
      <c r="A30" s="67" t="s">
        <v>43</v>
      </c>
      <c r="B30" s="913">
        <v>1.6089029830732933</v>
      </c>
      <c r="C30" s="374">
        <v>1.5902912621359222</v>
      </c>
      <c r="D30" s="374">
        <v>1.5922330097087374</v>
      </c>
      <c r="E30" s="374">
        <v>1.5990291262135923</v>
      </c>
      <c r="F30" s="374">
        <v>1.6058252427184467</v>
      </c>
      <c r="G30" s="374">
        <v>1.6067961165048543</v>
      </c>
      <c r="H30" s="374">
        <v>1.6116504854368932</v>
      </c>
      <c r="I30" s="374">
        <v>1.6145631067961164</v>
      </c>
      <c r="J30" s="374">
        <v>1.6165048543689322</v>
      </c>
      <c r="K30" s="374">
        <v>1.6194174757281552</v>
      </c>
      <c r="L30" s="374">
        <v>1.6223300970873786</v>
      </c>
      <c r="M30" s="374">
        <v>1.6252427184466021</v>
      </c>
      <c r="N30" s="374">
        <v>1.6281553398058255</v>
      </c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</row>
    <row r="31" spans="1:27" ht="16" customHeight="1">
      <c r="A31" s="67" t="s">
        <v>44</v>
      </c>
      <c r="B31" s="913">
        <v>1.5516612876820111</v>
      </c>
      <c r="C31" s="374">
        <v>1.52621359223301</v>
      </c>
      <c r="D31" s="374">
        <v>1.5349514563106796</v>
      </c>
      <c r="E31" s="374">
        <v>1.5466019417475727</v>
      </c>
      <c r="F31" s="374">
        <v>1.5495145631067961</v>
      </c>
      <c r="G31" s="374">
        <v>1.5514563106796115</v>
      </c>
      <c r="H31" s="374">
        <v>1.5533980582524274</v>
      </c>
      <c r="I31" s="374">
        <v>1.5553398058252426</v>
      </c>
      <c r="J31" s="374">
        <v>1.5572815533980582</v>
      </c>
      <c r="K31" s="374">
        <v>1.5592233009708734</v>
      </c>
      <c r="L31" s="374">
        <v>1.5611650485436892</v>
      </c>
      <c r="M31" s="374">
        <v>1.563106796116505</v>
      </c>
      <c r="N31" s="374">
        <v>1.5650485436893204</v>
      </c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</row>
    <row r="32" spans="1:27" ht="16" customHeight="1">
      <c r="A32" s="67" t="s">
        <v>45</v>
      </c>
      <c r="B32" s="913">
        <v>2.0678831359896614</v>
      </c>
      <c r="C32" s="374">
        <v>2.0320388349514564</v>
      </c>
      <c r="D32" s="374">
        <v>2.0514563106796113</v>
      </c>
      <c r="E32" s="374">
        <v>2.0611650485436894</v>
      </c>
      <c r="F32" s="374">
        <v>2.0650485436893202</v>
      </c>
      <c r="G32" s="374">
        <v>2.068932038834951</v>
      </c>
      <c r="H32" s="374">
        <v>2.0699029126213593</v>
      </c>
      <c r="I32" s="374">
        <v>2.0723300970873786</v>
      </c>
      <c r="J32" s="374">
        <v>2.0737864077669905</v>
      </c>
      <c r="K32" s="374">
        <v>2.0757281553398057</v>
      </c>
      <c r="L32" s="374">
        <v>2.0776699029126213</v>
      </c>
      <c r="M32" s="374">
        <v>2.0815533980582526</v>
      </c>
      <c r="N32" s="374">
        <v>2.0854368932038834</v>
      </c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</row>
    <row r="33" spans="1:27" ht="16" customHeight="1">
      <c r="A33" s="67" t="s">
        <v>46</v>
      </c>
      <c r="B33" s="913">
        <v>1.7329157077335493</v>
      </c>
      <c r="C33" s="374">
        <v>1.6999999999999997</v>
      </c>
      <c r="D33" s="374">
        <v>1.7097087378640774</v>
      </c>
      <c r="E33" s="374">
        <v>1.7194174757281553</v>
      </c>
      <c r="F33" s="374">
        <v>1.733980582524272</v>
      </c>
      <c r="G33" s="374">
        <v>1.7359223300970876</v>
      </c>
      <c r="H33" s="374">
        <v>1.7378640776699028</v>
      </c>
      <c r="I33" s="374">
        <v>1.7398058252427184</v>
      </c>
      <c r="J33" s="374">
        <v>1.7417475728155338</v>
      </c>
      <c r="K33" s="374">
        <v>1.7436893203883497</v>
      </c>
      <c r="L33" s="374">
        <v>1.7456310679611649</v>
      </c>
      <c r="M33" s="374">
        <v>1.7475728155339807</v>
      </c>
      <c r="N33" s="374">
        <v>1.7495145631067961</v>
      </c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</row>
    <row r="34" spans="1:27" ht="16" customHeight="1" thickBot="1">
      <c r="A34" s="113" t="s">
        <v>47</v>
      </c>
      <c r="B34" s="914">
        <v>1.7342613554415676</v>
      </c>
      <c r="C34" s="375">
        <v>1.6912621359223301</v>
      </c>
      <c r="D34" s="375">
        <v>1.7009708737864078</v>
      </c>
      <c r="E34" s="375">
        <v>1.7116504854368932</v>
      </c>
      <c r="F34" s="375">
        <v>1.7262135922330097</v>
      </c>
      <c r="G34" s="375">
        <v>1.7291262135922325</v>
      </c>
      <c r="H34" s="375">
        <v>1.7378640776699028</v>
      </c>
      <c r="I34" s="375">
        <v>1.7436893203883492</v>
      </c>
      <c r="J34" s="375">
        <v>1.7475728155339807</v>
      </c>
      <c r="K34" s="375">
        <v>1.7524271844660193</v>
      </c>
      <c r="L34" s="375">
        <v>1.7572815533980584</v>
      </c>
      <c r="M34" s="375">
        <v>1.7621359223300972</v>
      </c>
      <c r="N34" s="375">
        <v>1.766990291262136</v>
      </c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</row>
    <row r="35" spans="1:27" ht="9" customHeight="1">
      <c r="A35" s="449" t="s">
        <v>330</v>
      </c>
      <c r="B35" s="520"/>
      <c r="C35" s="521"/>
      <c r="D35" s="521"/>
      <c r="E35" s="379"/>
      <c r="F35" s="379"/>
      <c r="G35" s="379"/>
      <c r="H35" s="379"/>
      <c r="I35" s="379"/>
      <c r="J35" s="379"/>
      <c r="K35" s="379"/>
      <c r="L35" s="379"/>
      <c r="M35" s="379"/>
      <c r="N35" s="379"/>
    </row>
    <row r="36" spans="1:27" ht="9" customHeight="1">
      <c r="A36" s="449" t="s">
        <v>304</v>
      </c>
      <c r="B36" s="521"/>
      <c r="C36" s="521"/>
      <c r="D36" s="521"/>
      <c r="E36" s="379"/>
      <c r="F36" s="379"/>
      <c r="G36" s="379"/>
      <c r="H36" s="379"/>
      <c r="I36" s="379"/>
      <c r="J36" s="379"/>
      <c r="K36" s="379"/>
      <c r="L36" s="379"/>
      <c r="M36" s="373"/>
      <c r="N36" s="373"/>
    </row>
    <row r="37" spans="1:27" ht="9" customHeight="1">
      <c r="A37" s="451" t="s">
        <v>303</v>
      </c>
      <c r="B37" s="464"/>
      <c r="C37" s="464"/>
      <c r="D37" s="464"/>
      <c r="E37" s="173"/>
      <c r="F37" s="173"/>
      <c r="G37" s="173"/>
      <c r="H37" s="173"/>
      <c r="I37" s="173"/>
      <c r="J37" s="173"/>
      <c r="K37" s="173"/>
      <c r="L37" s="173"/>
      <c r="M37" s="173"/>
      <c r="N37" s="173"/>
    </row>
    <row r="38" spans="1:27" ht="13.25" customHeight="1">
      <c r="A38" s="522"/>
      <c r="B38" s="464"/>
      <c r="C38" s="464"/>
      <c r="D38" s="464"/>
    </row>
    <row r="39" spans="1:27" ht="13.25" customHeight="1">
      <c r="A39" s="22"/>
    </row>
    <row r="53" spans="1:14" ht="13.25" customHeight="1">
      <c r="A53" s="367" t="s">
        <v>411</v>
      </c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 ht="13.25" customHeight="1">
      <c r="A54" s="367" t="s">
        <v>292</v>
      </c>
      <c r="B54" s="101"/>
      <c r="C54" s="101"/>
      <c r="D54" s="101"/>
      <c r="E54" s="101"/>
      <c r="F54" s="101"/>
      <c r="G54" s="104"/>
      <c r="H54" s="103"/>
      <c r="I54" s="101"/>
      <c r="J54" s="101"/>
      <c r="K54" s="101"/>
      <c r="L54" s="101"/>
      <c r="M54" s="101"/>
      <c r="N54" s="101"/>
    </row>
    <row r="55" spans="1:14" ht="13.25" customHeight="1" thickBot="1">
      <c r="A55" s="103"/>
      <c r="B55" s="101"/>
      <c r="C55" s="101"/>
      <c r="D55" s="101"/>
      <c r="E55" s="101"/>
      <c r="F55" s="101"/>
      <c r="G55" s="104"/>
      <c r="H55" s="103"/>
      <c r="I55" s="101"/>
      <c r="J55" s="101"/>
      <c r="K55" s="101"/>
      <c r="L55" s="101"/>
      <c r="M55" s="101"/>
      <c r="N55" s="101"/>
    </row>
    <row r="56" spans="1:14" ht="13.25" customHeight="1">
      <c r="A56" s="107" t="s">
        <v>16</v>
      </c>
      <c r="B56" s="69" t="s">
        <v>125</v>
      </c>
      <c r="C56" s="108" t="s">
        <v>75</v>
      </c>
      <c r="D56" s="108" t="s">
        <v>76</v>
      </c>
      <c r="E56" s="108" t="s">
        <v>77</v>
      </c>
      <c r="F56" s="108" t="s">
        <v>78</v>
      </c>
      <c r="G56" s="108" t="s">
        <v>79</v>
      </c>
      <c r="H56" s="108" t="s">
        <v>80</v>
      </c>
      <c r="I56" s="108" t="s">
        <v>81</v>
      </c>
      <c r="J56" s="108" t="s">
        <v>82</v>
      </c>
      <c r="K56" s="108" t="s">
        <v>83</v>
      </c>
      <c r="L56" s="108" t="s">
        <v>84</v>
      </c>
      <c r="M56" s="108" t="s">
        <v>85</v>
      </c>
      <c r="N56" s="108" t="s">
        <v>86</v>
      </c>
    </row>
    <row r="57" spans="1:14" ht="13.25" customHeight="1">
      <c r="A57" s="109" t="s">
        <v>100</v>
      </c>
      <c r="B57" s="110">
        <v>1.3</v>
      </c>
      <c r="C57" s="110">
        <v>1.28</v>
      </c>
      <c r="D57" s="110">
        <v>1.28</v>
      </c>
      <c r="E57" s="110">
        <v>1.29</v>
      </c>
      <c r="F57" s="110">
        <v>1.3</v>
      </c>
      <c r="G57" s="110">
        <v>1.31</v>
      </c>
      <c r="H57" s="110">
        <v>1.31</v>
      </c>
      <c r="I57" s="110">
        <v>1.3</v>
      </c>
      <c r="J57" s="110">
        <v>1.3</v>
      </c>
      <c r="K57" s="110">
        <v>1.3</v>
      </c>
      <c r="L57" s="110">
        <v>1.3</v>
      </c>
      <c r="M57" s="110">
        <v>1.3</v>
      </c>
      <c r="N57" s="110">
        <v>1.31</v>
      </c>
    </row>
    <row r="58" spans="1:14" ht="13.25" customHeight="1">
      <c r="A58" s="67" t="s">
        <v>19</v>
      </c>
      <c r="B58" s="112">
        <v>1.94</v>
      </c>
      <c r="C58" s="112">
        <v>1.94</v>
      </c>
      <c r="D58" s="112">
        <v>1.94</v>
      </c>
      <c r="E58" s="112">
        <v>1.94</v>
      </c>
      <c r="F58" s="112">
        <v>1.94</v>
      </c>
      <c r="G58" s="112">
        <v>1.94</v>
      </c>
      <c r="H58" s="112">
        <v>1.94</v>
      </c>
      <c r="I58" s="112">
        <v>1.94</v>
      </c>
      <c r="J58" s="112">
        <v>1.94</v>
      </c>
      <c r="K58" s="112">
        <v>1.94</v>
      </c>
      <c r="L58" s="112">
        <v>1.94</v>
      </c>
      <c r="M58" s="112">
        <v>1.94</v>
      </c>
      <c r="N58" s="112">
        <v>1.94</v>
      </c>
    </row>
    <row r="59" spans="1:14" ht="13.25" customHeight="1">
      <c r="A59" s="67" t="s">
        <v>20</v>
      </c>
      <c r="B59" s="112">
        <v>1.74</v>
      </c>
      <c r="C59" s="112">
        <v>1.66</v>
      </c>
      <c r="D59" s="112">
        <v>1.66</v>
      </c>
      <c r="E59" s="112">
        <v>1.66</v>
      </c>
      <c r="F59" s="112">
        <v>1.76</v>
      </c>
      <c r="G59" s="112">
        <v>1.76</v>
      </c>
      <c r="H59" s="112">
        <v>1.76</v>
      </c>
      <c r="I59" s="112">
        <v>1.76</v>
      </c>
      <c r="J59" s="112">
        <v>1.76</v>
      </c>
      <c r="K59" s="112">
        <v>1.76</v>
      </c>
      <c r="L59" s="112">
        <v>1.78</v>
      </c>
      <c r="M59" s="112">
        <v>1.78</v>
      </c>
      <c r="N59" s="112">
        <v>1.78</v>
      </c>
    </row>
    <row r="60" spans="1:14" ht="13.25" customHeight="1">
      <c r="A60" s="67" t="s">
        <v>21</v>
      </c>
      <c r="B60" s="112">
        <v>1.29</v>
      </c>
      <c r="C60" s="112">
        <v>1.28</v>
      </c>
      <c r="D60" s="112">
        <v>1.28</v>
      </c>
      <c r="E60" s="112">
        <v>1.28</v>
      </c>
      <c r="F60" s="112">
        <v>1.28</v>
      </c>
      <c r="G60" s="112">
        <v>1.28</v>
      </c>
      <c r="H60" s="112">
        <v>1.28</v>
      </c>
      <c r="I60" s="112">
        <v>1.28</v>
      </c>
      <c r="J60" s="112">
        <v>1.28</v>
      </c>
      <c r="K60" s="112">
        <v>1.29</v>
      </c>
      <c r="L60" s="112">
        <v>1.29</v>
      </c>
      <c r="M60" s="112">
        <v>1.29</v>
      </c>
      <c r="N60" s="112">
        <v>1.29</v>
      </c>
    </row>
    <row r="61" spans="1:14" ht="13.25" customHeight="1">
      <c r="A61" s="67" t="s">
        <v>22</v>
      </c>
      <c r="B61" s="112">
        <v>1.2</v>
      </c>
      <c r="C61" s="112">
        <v>1.1599999999999999</v>
      </c>
      <c r="D61" s="112">
        <v>1.1599999999999999</v>
      </c>
      <c r="E61" s="112">
        <v>1.17</v>
      </c>
      <c r="F61" s="112">
        <v>1.18</v>
      </c>
      <c r="G61" s="112">
        <v>1.18</v>
      </c>
      <c r="H61" s="112">
        <v>1.22</v>
      </c>
      <c r="I61" s="112">
        <v>1.22</v>
      </c>
      <c r="J61" s="112">
        <v>1.22</v>
      </c>
      <c r="K61" s="112">
        <v>1.22</v>
      </c>
      <c r="L61" s="112">
        <v>1.22</v>
      </c>
      <c r="M61" s="112">
        <v>1.22</v>
      </c>
      <c r="N61" s="112">
        <v>1.22</v>
      </c>
    </row>
    <row r="62" spans="1:14" ht="13.25" customHeight="1">
      <c r="A62" s="67" t="s">
        <v>23</v>
      </c>
      <c r="B62" s="112">
        <v>1.23</v>
      </c>
      <c r="C62" s="112">
        <v>1.23</v>
      </c>
      <c r="D62" s="112">
        <v>1.23</v>
      </c>
      <c r="E62" s="112">
        <v>1.23</v>
      </c>
      <c r="F62" s="112">
        <v>1.23</v>
      </c>
      <c r="G62" s="112">
        <v>1.23</v>
      </c>
      <c r="H62" s="112">
        <v>1.23</v>
      </c>
      <c r="I62" s="112">
        <v>1.23</v>
      </c>
      <c r="J62" s="112">
        <v>1.23</v>
      </c>
      <c r="K62" s="112">
        <v>1.24</v>
      </c>
      <c r="L62" s="112">
        <v>1.24</v>
      </c>
      <c r="M62" s="112">
        <v>1.24</v>
      </c>
      <c r="N62" s="112">
        <v>1.24</v>
      </c>
    </row>
    <row r="63" spans="1:14" ht="13.25" customHeight="1">
      <c r="A63" s="67" t="s">
        <v>94</v>
      </c>
      <c r="B63" s="112">
        <v>1.24</v>
      </c>
      <c r="C63" s="112">
        <v>1.23</v>
      </c>
      <c r="D63" s="112">
        <v>1.23</v>
      </c>
      <c r="E63" s="112">
        <v>1.23</v>
      </c>
      <c r="F63" s="112">
        <v>1.23</v>
      </c>
      <c r="G63" s="112">
        <v>1.23</v>
      </c>
      <c r="H63" s="112">
        <v>1.23</v>
      </c>
      <c r="I63" s="112">
        <v>1.23</v>
      </c>
      <c r="J63" s="112">
        <v>1.23</v>
      </c>
      <c r="K63" s="112">
        <v>1.24</v>
      </c>
      <c r="L63" s="112">
        <v>1.24</v>
      </c>
      <c r="M63" s="112">
        <v>1.24</v>
      </c>
      <c r="N63" s="112">
        <v>1.24</v>
      </c>
    </row>
    <row r="64" spans="1:14" ht="13.25" customHeight="1">
      <c r="A64" s="67" t="s">
        <v>95</v>
      </c>
      <c r="B64" s="112">
        <v>1.22</v>
      </c>
      <c r="C64" s="112">
        <v>1.22</v>
      </c>
      <c r="D64" s="112">
        <v>1.22</v>
      </c>
      <c r="E64" s="112">
        <v>1.22</v>
      </c>
      <c r="F64" s="112">
        <v>1.22</v>
      </c>
      <c r="G64" s="112">
        <v>1.22</v>
      </c>
      <c r="H64" s="112">
        <v>1.22</v>
      </c>
      <c r="I64" s="112">
        <v>1.22</v>
      </c>
      <c r="J64" s="112">
        <v>1.23</v>
      </c>
      <c r="K64" s="112">
        <v>1.22</v>
      </c>
      <c r="L64" s="112">
        <v>1.22</v>
      </c>
      <c r="M64" s="112">
        <v>1.22</v>
      </c>
      <c r="N64" s="112">
        <v>1.22</v>
      </c>
    </row>
    <row r="65" spans="1:14" ht="13.25" customHeight="1">
      <c r="A65" s="67" t="s">
        <v>124</v>
      </c>
      <c r="B65" s="112">
        <v>1.29</v>
      </c>
      <c r="C65" s="112">
        <v>1.29</v>
      </c>
      <c r="D65" s="112">
        <v>1.29</v>
      </c>
      <c r="E65" s="112">
        <v>1.29</v>
      </c>
      <c r="F65" s="112">
        <v>1.29</v>
      </c>
      <c r="G65" s="112">
        <v>1.29</v>
      </c>
      <c r="H65" s="112">
        <v>1.29</v>
      </c>
      <c r="I65" s="112">
        <v>1.29</v>
      </c>
      <c r="J65" s="112">
        <v>1.29</v>
      </c>
      <c r="K65" s="112">
        <v>1.29</v>
      </c>
      <c r="L65" s="112">
        <v>1.29</v>
      </c>
      <c r="M65" s="112">
        <v>1.29</v>
      </c>
      <c r="N65" s="112">
        <v>1.29</v>
      </c>
    </row>
    <row r="66" spans="1:14" ht="13.25" customHeight="1">
      <c r="A66" s="67" t="s">
        <v>27</v>
      </c>
      <c r="B66" s="112">
        <v>1.29</v>
      </c>
      <c r="C66" s="112">
        <v>1.25</v>
      </c>
      <c r="D66" s="112">
        <v>1.25</v>
      </c>
      <c r="E66" s="112">
        <v>1.26</v>
      </c>
      <c r="F66" s="112">
        <v>1.28</v>
      </c>
      <c r="G66" s="112">
        <v>1.28</v>
      </c>
      <c r="H66" s="112">
        <v>1.29</v>
      </c>
      <c r="I66" s="112">
        <v>1.3</v>
      </c>
      <c r="J66" s="112">
        <v>1.3</v>
      </c>
      <c r="K66" s="112">
        <v>1.3</v>
      </c>
      <c r="L66" s="112">
        <v>1.31</v>
      </c>
      <c r="M66" s="112">
        <v>1.31</v>
      </c>
      <c r="N66" s="112">
        <v>1.31</v>
      </c>
    </row>
    <row r="67" spans="1:14" ht="13.25" customHeight="1">
      <c r="A67" s="67" t="s">
        <v>28</v>
      </c>
      <c r="B67" s="112">
        <v>1.26</v>
      </c>
      <c r="C67" s="112">
        <v>1.21</v>
      </c>
      <c r="D67" s="112">
        <v>1.21</v>
      </c>
      <c r="E67" s="112">
        <v>1.22</v>
      </c>
      <c r="F67" s="112">
        <v>1.22</v>
      </c>
      <c r="G67" s="112">
        <v>1.28</v>
      </c>
      <c r="H67" s="112">
        <v>1.28</v>
      </c>
      <c r="I67" s="112">
        <v>1.28</v>
      </c>
      <c r="J67" s="112">
        <v>1.28</v>
      </c>
      <c r="K67" s="112">
        <v>1.28</v>
      </c>
      <c r="L67" s="112">
        <v>1.28</v>
      </c>
      <c r="M67" s="112">
        <v>1.28</v>
      </c>
      <c r="N67" s="112">
        <v>1.28</v>
      </c>
    </row>
    <row r="68" spans="1:14" ht="13.25" customHeight="1">
      <c r="A68" s="67" t="s">
        <v>29</v>
      </c>
      <c r="B68" s="112">
        <v>1.39</v>
      </c>
      <c r="C68" s="112">
        <v>1.38</v>
      </c>
      <c r="D68" s="112">
        <v>1.39</v>
      </c>
      <c r="E68" s="112">
        <v>1.39</v>
      </c>
      <c r="F68" s="112">
        <v>1.39</v>
      </c>
      <c r="G68" s="112">
        <v>1.39</v>
      </c>
      <c r="H68" s="112">
        <v>1.39</v>
      </c>
      <c r="I68" s="112">
        <v>1.39</v>
      </c>
      <c r="J68" s="112">
        <v>1.39</v>
      </c>
      <c r="K68" s="112">
        <v>1.39</v>
      </c>
      <c r="L68" s="112">
        <v>1.39</v>
      </c>
      <c r="M68" s="112">
        <v>1.4</v>
      </c>
      <c r="N68" s="112">
        <v>1.41</v>
      </c>
    </row>
    <row r="69" spans="1:14" ht="13.25" customHeight="1">
      <c r="A69" s="67" t="s">
        <v>30</v>
      </c>
      <c r="B69" s="112">
        <v>1.26</v>
      </c>
      <c r="C69" s="112">
        <v>1.24</v>
      </c>
      <c r="D69" s="112">
        <v>1.24</v>
      </c>
      <c r="E69" s="112">
        <v>1.24</v>
      </c>
      <c r="F69" s="112">
        <v>1.25</v>
      </c>
      <c r="G69" s="112">
        <v>1.25</v>
      </c>
      <c r="H69" s="112">
        <v>1.26</v>
      </c>
      <c r="I69" s="112">
        <v>1.26</v>
      </c>
      <c r="J69" s="112">
        <v>1.28</v>
      </c>
      <c r="K69" s="112">
        <v>1.28</v>
      </c>
      <c r="L69" s="112">
        <v>1.28</v>
      </c>
      <c r="M69" s="112">
        <v>1.28</v>
      </c>
      <c r="N69" s="112">
        <v>1.28</v>
      </c>
    </row>
    <row r="70" spans="1:14" ht="13.25" customHeight="1">
      <c r="A70" s="67" t="s">
        <v>31</v>
      </c>
      <c r="B70" s="112">
        <v>1.48</v>
      </c>
      <c r="C70" s="112">
        <v>1.48</v>
      </c>
      <c r="D70" s="112">
        <v>1.48</v>
      </c>
      <c r="E70" s="112">
        <v>1.49</v>
      </c>
      <c r="F70" s="112">
        <v>1.49</v>
      </c>
      <c r="G70" s="112">
        <v>1.49</v>
      </c>
      <c r="H70" s="112">
        <v>1.49</v>
      </c>
      <c r="I70" s="112">
        <v>1.49</v>
      </c>
      <c r="J70" s="112">
        <v>1.49</v>
      </c>
      <c r="K70" s="112">
        <v>1.49</v>
      </c>
      <c r="L70" s="112">
        <v>1.49</v>
      </c>
      <c r="M70" s="112">
        <v>1.49</v>
      </c>
      <c r="N70" s="112">
        <v>1.49</v>
      </c>
    </row>
    <row r="71" spans="1:14" ht="13.25" customHeight="1">
      <c r="A71" s="67" t="s">
        <v>32</v>
      </c>
      <c r="B71" s="112">
        <v>1.46</v>
      </c>
      <c r="C71" s="112">
        <v>1.46</v>
      </c>
      <c r="D71" s="112">
        <v>1.46</v>
      </c>
      <c r="E71" s="112">
        <v>1.46</v>
      </c>
      <c r="F71" s="112">
        <v>1.46</v>
      </c>
      <c r="G71" s="112">
        <v>1.46</v>
      </c>
      <c r="H71" s="112">
        <v>1.46</v>
      </c>
      <c r="I71" s="112">
        <v>1.46</v>
      </c>
      <c r="J71" s="112">
        <v>1.46</v>
      </c>
      <c r="K71" s="112">
        <v>1.46</v>
      </c>
      <c r="L71" s="112">
        <v>1.48</v>
      </c>
      <c r="M71" s="112">
        <v>1.48</v>
      </c>
      <c r="N71" s="112">
        <v>1.48</v>
      </c>
    </row>
    <row r="72" spans="1:14" ht="13.25" customHeight="1">
      <c r="A72" s="67" t="s">
        <v>33</v>
      </c>
      <c r="B72" s="112">
        <v>1.31</v>
      </c>
      <c r="C72" s="112">
        <v>1.28</v>
      </c>
      <c r="D72" s="112">
        <v>1.28</v>
      </c>
      <c r="E72" s="112">
        <v>1.29</v>
      </c>
      <c r="F72" s="112">
        <v>1.3</v>
      </c>
      <c r="G72" s="112">
        <v>1.3</v>
      </c>
      <c r="H72" s="112">
        <v>1.31</v>
      </c>
      <c r="I72" s="112">
        <v>1.31</v>
      </c>
      <c r="J72" s="112">
        <v>1.32</v>
      </c>
      <c r="K72" s="112">
        <v>1.32</v>
      </c>
      <c r="L72" s="112">
        <v>1.32</v>
      </c>
      <c r="M72" s="112">
        <v>1.32</v>
      </c>
      <c r="N72" s="112">
        <v>1.33</v>
      </c>
    </row>
    <row r="73" spans="1:14" ht="13.25" customHeight="1">
      <c r="A73" s="67" t="s">
        <v>34</v>
      </c>
      <c r="B73" s="112">
        <v>1.22</v>
      </c>
      <c r="C73" s="112">
        <v>1.2</v>
      </c>
      <c r="D73" s="112">
        <v>1.2</v>
      </c>
      <c r="E73" s="112">
        <v>1.2</v>
      </c>
      <c r="F73" s="112">
        <v>1.2</v>
      </c>
      <c r="G73" s="112">
        <v>1.2</v>
      </c>
      <c r="H73" s="112">
        <v>1.2</v>
      </c>
      <c r="I73" s="112">
        <v>1.23</v>
      </c>
      <c r="J73" s="112">
        <v>1.23</v>
      </c>
      <c r="K73" s="112">
        <v>1.23</v>
      </c>
      <c r="L73" s="112">
        <v>1.23</v>
      </c>
      <c r="M73" s="112">
        <v>1.23</v>
      </c>
      <c r="N73" s="112">
        <v>1.23</v>
      </c>
    </row>
    <row r="74" spans="1:14" ht="13.25" customHeight="1">
      <c r="A74" s="67" t="s">
        <v>35</v>
      </c>
      <c r="B74" s="112">
        <v>1.22</v>
      </c>
      <c r="C74" s="112">
        <v>1.21</v>
      </c>
      <c r="D74" s="112">
        <v>1.21</v>
      </c>
      <c r="E74" s="112">
        <v>1.21</v>
      </c>
      <c r="F74" s="112">
        <v>1.21</v>
      </c>
      <c r="G74" s="112">
        <v>1.21</v>
      </c>
      <c r="H74" s="112">
        <v>1.21</v>
      </c>
      <c r="I74" s="112">
        <v>1.2</v>
      </c>
      <c r="J74" s="112">
        <v>1.21</v>
      </c>
      <c r="K74" s="112">
        <v>1.22</v>
      </c>
      <c r="L74" s="112">
        <v>1.22</v>
      </c>
      <c r="M74" s="112">
        <v>1.22</v>
      </c>
      <c r="N74" s="112">
        <v>1.23</v>
      </c>
    </row>
    <row r="75" spans="1:14" ht="13.25" customHeight="1">
      <c r="A75" s="67" t="s">
        <v>36</v>
      </c>
      <c r="B75" s="112">
        <v>1.33</v>
      </c>
      <c r="C75" s="112">
        <v>1.34</v>
      </c>
      <c r="D75" s="112">
        <v>1.34</v>
      </c>
      <c r="E75" s="112">
        <v>1.34</v>
      </c>
      <c r="F75" s="112">
        <v>1.34</v>
      </c>
      <c r="G75" s="112">
        <v>1.34</v>
      </c>
      <c r="H75" s="112">
        <v>1.34</v>
      </c>
      <c r="I75" s="112">
        <v>1.32</v>
      </c>
      <c r="J75" s="112">
        <v>1.32</v>
      </c>
      <c r="K75" s="112">
        <v>1.32</v>
      </c>
      <c r="L75" s="112">
        <v>1.32</v>
      </c>
      <c r="M75" s="112">
        <v>1.32</v>
      </c>
      <c r="N75" s="112">
        <v>1.32</v>
      </c>
    </row>
    <row r="76" spans="1:14" ht="13.25" customHeight="1">
      <c r="A76" s="67" t="s">
        <v>37</v>
      </c>
      <c r="B76" s="112">
        <v>1.22</v>
      </c>
      <c r="C76" s="112">
        <v>1.19</v>
      </c>
      <c r="D76" s="112">
        <v>1.19</v>
      </c>
      <c r="E76" s="112">
        <v>1.21</v>
      </c>
      <c r="F76" s="112">
        <v>1.21</v>
      </c>
      <c r="G76" s="112">
        <v>1.21</v>
      </c>
      <c r="H76" s="112">
        <v>1.21</v>
      </c>
      <c r="I76" s="112">
        <v>1.21</v>
      </c>
      <c r="J76" s="112">
        <v>1.22</v>
      </c>
      <c r="K76" s="112">
        <v>1.21</v>
      </c>
      <c r="L76" s="112">
        <v>1.23</v>
      </c>
      <c r="M76" s="112">
        <v>1.23</v>
      </c>
      <c r="N76" s="112">
        <v>1.24</v>
      </c>
    </row>
    <row r="77" spans="1:14" ht="13.25" customHeight="1">
      <c r="A77" s="67" t="s">
        <v>38</v>
      </c>
      <c r="B77" s="112">
        <v>1.51</v>
      </c>
      <c r="C77" s="112">
        <v>1.5</v>
      </c>
      <c r="D77" s="112">
        <v>1.5</v>
      </c>
      <c r="E77" s="112">
        <v>1.5</v>
      </c>
      <c r="F77" s="112">
        <v>1.51</v>
      </c>
      <c r="G77" s="112">
        <v>1.51</v>
      </c>
      <c r="H77" s="112">
        <v>1.51</v>
      </c>
      <c r="I77" s="112">
        <v>1.52</v>
      </c>
      <c r="J77" s="112">
        <v>1.51</v>
      </c>
      <c r="K77" s="112">
        <v>1.51</v>
      </c>
      <c r="L77" s="112">
        <v>1.52</v>
      </c>
      <c r="M77" s="112">
        <v>1.52</v>
      </c>
      <c r="N77" s="112">
        <v>1.53</v>
      </c>
    </row>
    <row r="78" spans="1:14" ht="13.25" customHeight="1">
      <c r="A78" s="67" t="s">
        <v>39</v>
      </c>
      <c r="B78" s="112">
        <v>1.33</v>
      </c>
      <c r="C78" s="111">
        <v>1.33</v>
      </c>
      <c r="D78" s="111">
        <v>1.33</v>
      </c>
      <c r="E78" s="111">
        <v>1.33</v>
      </c>
      <c r="F78" s="111">
        <v>1.33</v>
      </c>
      <c r="G78" s="111">
        <v>1.33</v>
      </c>
      <c r="H78" s="111">
        <v>1.33</v>
      </c>
      <c r="I78" s="111">
        <v>1.33</v>
      </c>
      <c r="J78" s="111">
        <v>1.33</v>
      </c>
      <c r="K78" s="111">
        <v>1.33</v>
      </c>
      <c r="L78" s="111">
        <v>1.33</v>
      </c>
      <c r="M78" s="111">
        <v>1.33</v>
      </c>
      <c r="N78" s="111">
        <v>1.32</v>
      </c>
    </row>
    <row r="79" spans="1:14" ht="13.25" customHeight="1">
      <c r="A79" s="67" t="s">
        <v>97</v>
      </c>
      <c r="B79" s="112">
        <v>1.33</v>
      </c>
      <c r="C79" s="112">
        <v>1.33</v>
      </c>
      <c r="D79" s="112">
        <v>1.33</v>
      </c>
      <c r="E79" s="112">
        <v>1.33</v>
      </c>
      <c r="F79" s="112">
        <v>1.33</v>
      </c>
      <c r="G79" s="112">
        <v>1.33</v>
      </c>
      <c r="H79" s="112">
        <v>1.33</v>
      </c>
      <c r="I79" s="112">
        <v>1.33</v>
      </c>
      <c r="J79" s="112">
        <v>1.33</v>
      </c>
      <c r="K79" s="112">
        <v>1.33</v>
      </c>
      <c r="L79" s="112">
        <v>1.33</v>
      </c>
      <c r="M79" s="112">
        <v>1.33</v>
      </c>
      <c r="N79" s="112">
        <v>1.33</v>
      </c>
    </row>
    <row r="80" spans="1:14" ht="13.25" customHeight="1">
      <c r="A80" s="67" t="s">
        <v>98</v>
      </c>
      <c r="B80" s="112">
        <v>1.32</v>
      </c>
      <c r="C80" s="112">
        <v>1.32</v>
      </c>
      <c r="D80" s="112">
        <v>1.32</v>
      </c>
      <c r="E80" s="112">
        <v>1.32</v>
      </c>
      <c r="F80" s="112">
        <v>1.32</v>
      </c>
      <c r="G80" s="112">
        <v>1.32</v>
      </c>
      <c r="H80" s="112">
        <v>1.32</v>
      </c>
      <c r="I80" s="112">
        <v>1.32</v>
      </c>
      <c r="J80" s="112">
        <v>1.32</v>
      </c>
      <c r="K80" s="112">
        <v>1.32</v>
      </c>
      <c r="L80" s="112">
        <v>1.32</v>
      </c>
      <c r="M80" s="112">
        <v>1.32</v>
      </c>
      <c r="N80" s="112">
        <v>1.32</v>
      </c>
    </row>
    <row r="81" spans="1:14" ht="13.25" customHeight="1">
      <c r="A81" s="67" t="s">
        <v>42</v>
      </c>
      <c r="B81" s="112">
        <v>1.35</v>
      </c>
      <c r="C81" s="112">
        <v>1.36</v>
      </c>
      <c r="D81" s="112">
        <v>1.36</v>
      </c>
      <c r="E81" s="112">
        <v>1.36</v>
      </c>
      <c r="F81" s="112">
        <v>1.34</v>
      </c>
      <c r="G81" s="112">
        <v>1.34</v>
      </c>
      <c r="H81" s="112">
        <v>1.34</v>
      </c>
      <c r="I81" s="112">
        <v>1.34</v>
      </c>
      <c r="J81" s="112">
        <v>1.34</v>
      </c>
      <c r="K81" s="112">
        <v>1.35</v>
      </c>
      <c r="L81" s="112">
        <v>1.37</v>
      </c>
      <c r="M81" s="112">
        <v>1.37</v>
      </c>
      <c r="N81" s="112">
        <v>1.37</v>
      </c>
    </row>
    <row r="82" spans="1:14" ht="13.25" customHeight="1">
      <c r="A82" s="67" t="s">
        <v>43</v>
      </c>
      <c r="B82" s="112">
        <v>1.2</v>
      </c>
      <c r="C82" s="112">
        <v>1.17</v>
      </c>
      <c r="D82" s="112">
        <v>1.17</v>
      </c>
      <c r="E82" s="112">
        <v>1.17</v>
      </c>
      <c r="F82" s="112">
        <v>1.17</v>
      </c>
      <c r="G82" s="112">
        <v>1.23</v>
      </c>
      <c r="H82" s="112">
        <v>1.23</v>
      </c>
      <c r="I82" s="112">
        <v>1.23</v>
      </c>
      <c r="J82" s="112">
        <v>1.23</v>
      </c>
      <c r="K82" s="112">
        <v>1.23</v>
      </c>
      <c r="L82" s="112">
        <v>1.23</v>
      </c>
      <c r="M82" s="112">
        <v>1.23</v>
      </c>
      <c r="N82" s="112">
        <v>1.24</v>
      </c>
    </row>
    <row r="83" spans="1:14" ht="13.25" customHeight="1">
      <c r="A83" s="67" t="s">
        <v>44</v>
      </c>
      <c r="B83" s="112">
        <v>1.31</v>
      </c>
      <c r="C83" s="112">
        <v>1.31</v>
      </c>
      <c r="D83" s="112">
        <v>1.31</v>
      </c>
      <c r="E83" s="112">
        <v>1.31</v>
      </c>
      <c r="F83" s="112">
        <v>1.31</v>
      </c>
      <c r="G83" s="112">
        <v>1.31</v>
      </c>
      <c r="H83" s="112">
        <v>1.31</v>
      </c>
      <c r="I83" s="112">
        <v>1.31</v>
      </c>
      <c r="J83" s="112">
        <v>1.31</v>
      </c>
      <c r="K83" s="112">
        <v>1.31</v>
      </c>
      <c r="L83" s="112">
        <v>1.31</v>
      </c>
      <c r="M83" s="112">
        <v>1.31</v>
      </c>
      <c r="N83" s="112">
        <v>1.31</v>
      </c>
    </row>
    <row r="84" spans="1:14" ht="13.25" customHeight="1">
      <c r="A84" s="67" t="s">
        <v>45</v>
      </c>
      <c r="B84" s="112">
        <v>1.85</v>
      </c>
      <c r="C84" s="112">
        <v>1.84</v>
      </c>
      <c r="D84" s="112">
        <v>1.84</v>
      </c>
      <c r="E84" s="112">
        <v>1.84</v>
      </c>
      <c r="F84" s="112">
        <v>1.85</v>
      </c>
      <c r="G84" s="112">
        <v>1.85</v>
      </c>
      <c r="H84" s="112">
        <v>1.85</v>
      </c>
      <c r="I84" s="112">
        <v>1.85</v>
      </c>
      <c r="J84" s="112">
        <v>1.85</v>
      </c>
      <c r="K84" s="112">
        <v>1.85</v>
      </c>
      <c r="L84" s="112">
        <v>1.85</v>
      </c>
      <c r="M84" s="112">
        <v>1.85</v>
      </c>
      <c r="N84" s="112">
        <v>1.85</v>
      </c>
    </row>
    <row r="85" spans="1:14" ht="13.25" customHeight="1">
      <c r="A85" s="67" t="s">
        <v>46</v>
      </c>
      <c r="B85" s="112">
        <v>1.53</v>
      </c>
      <c r="C85" s="112">
        <v>1.53</v>
      </c>
      <c r="D85" s="112">
        <v>1.53</v>
      </c>
      <c r="E85" s="112">
        <v>1.53</v>
      </c>
      <c r="F85" s="112">
        <v>1.53</v>
      </c>
      <c r="G85" s="112">
        <v>1.53</v>
      </c>
      <c r="H85" s="112">
        <v>1.53</v>
      </c>
      <c r="I85" s="112">
        <v>1.53</v>
      </c>
      <c r="J85" s="112">
        <v>1.53</v>
      </c>
      <c r="K85" s="112">
        <v>1.53</v>
      </c>
      <c r="L85" s="112">
        <v>1.53</v>
      </c>
      <c r="M85" s="112">
        <v>1.54</v>
      </c>
      <c r="N85" s="112">
        <v>1.53</v>
      </c>
    </row>
    <row r="86" spans="1:14" ht="13.25" customHeight="1" thickBot="1">
      <c r="A86" s="113" t="s">
        <v>47</v>
      </c>
      <c r="B86" s="117">
        <v>1.54</v>
      </c>
      <c r="C86" s="114">
        <v>1.53</v>
      </c>
      <c r="D86" s="114">
        <v>1.53</v>
      </c>
      <c r="E86" s="114">
        <v>1.54</v>
      </c>
      <c r="F86" s="114">
        <v>1.55</v>
      </c>
      <c r="G86" s="114">
        <v>1.55</v>
      </c>
      <c r="H86" s="114">
        <v>1.55</v>
      </c>
      <c r="I86" s="114">
        <v>1.55</v>
      </c>
      <c r="J86" s="114">
        <v>1.55</v>
      </c>
      <c r="K86" s="114">
        <v>1.55</v>
      </c>
      <c r="L86" s="114">
        <v>1.58</v>
      </c>
      <c r="M86" s="114">
        <v>1.49</v>
      </c>
      <c r="N86" s="117">
        <v>1.49</v>
      </c>
    </row>
    <row r="87" spans="1:14" ht="13.25" customHeight="1">
      <c r="A87" s="9" t="s">
        <v>305</v>
      </c>
      <c r="B87" s="115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</row>
    <row r="88" spans="1:14" ht="13.25" customHeight="1">
      <c r="A88" s="9" t="s">
        <v>304</v>
      </c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18"/>
      <c r="N88" s="118"/>
    </row>
    <row r="89" spans="1:14" ht="13.25" customHeight="1">
      <c r="A89" s="11" t="s">
        <v>303</v>
      </c>
    </row>
    <row r="90" spans="1:14" ht="13.25" customHeight="1">
      <c r="A90" s="22"/>
    </row>
  </sheetData>
  <printOptions horizontalCentered="1" verticalCentered="1" gridLinesSet="0"/>
  <pageMargins left="0" right="0" top="0" bottom="0" header="0" footer="0"/>
  <pageSetup paperSize="8" orientation="portrait" r:id="rId1"/>
  <headerFooter scaleWithDoc="0"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Hoja111">
    <tabColor theme="9" tint="0.59999389629810485"/>
  </sheetPr>
  <dimension ref="A1:AB91"/>
  <sheetViews>
    <sheetView showGridLines="0" zoomScaleNormal="100" workbookViewId="0">
      <selection activeCell="O8" sqref="O8"/>
    </sheetView>
  </sheetViews>
  <sheetFormatPr baseColWidth="10" defaultColWidth="7" defaultRowHeight="13.25" customHeight="1"/>
  <cols>
    <col min="1" max="1" width="14" style="67" customWidth="1"/>
    <col min="2" max="2" width="9" style="67" customWidth="1"/>
    <col min="3" max="14" width="9.19921875" style="67" customWidth="1"/>
    <col min="15" max="16384" width="7" style="67"/>
  </cols>
  <sheetData>
    <row r="1" spans="1:28" ht="17" customHeight="1">
      <c r="A1" s="381" t="s">
        <v>537</v>
      </c>
      <c r="B1" s="381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</row>
    <row r="2" spans="1:28" ht="13.25" customHeight="1">
      <c r="A2" s="402" t="s">
        <v>329</v>
      </c>
      <c r="B2" s="226"/>
      <c r="C2" s="101"/>
      <c r="D2" s="101"/>
      <c r="E2" s="101"/>
      <c r="F2" s="101"/>
      <c r="G2" s="104"/>
      <c r="H2" s="103"/>
      <c r="I2" s="101"/>
      <c r="J2" s="101"/>
      <c r="K2" s="101"/>
      <c r="L2" s="101"/>
      <c r="M2" s="101"/>
      <c r="N2" s="101"/>
    </row>
    <row r="3" spans="1:28" ht="6" customHeight="1" thickBot="1">
      <c r="A3" s="103"/>
      <c r="B3" s="101"/>
      <c r="C3" s="101"/>
      <c r="D3" s="101"/>
      <c r="E3" s="101"/>
      <c r="F3" s="101"/>
      <c r="G3" s="104"/>
      <c r="H3" s="103"/>
      <c r="I3" s="101"/>
      <c r="J3" s="101"/>
      <c r="K3" s="101"/>
      <c r="L3" s="101"/>
      <c r="M3" s="101"/>
      <c r="N3" s="101"/>
    </row>
    <row r="4" spans="1:28" ht="18" customHeight="1">
      <c r="A4" s="732" t="s">
        <v>16</v>
      </c>
      <c r="B4" s="732" t="s">
        <v>52</v>
      </c>
      <c r="C4" s="732" t="s">
        <v>53</v>
      </c>
      <c r="D4" s="732" t="s">
        <v>54</v>
      </c>
      <c r="E4" s="732" t="s">
        <v>55</v>
      </c>
      <c r="F4" s="732" t="s">
        <v>56</v>
      </c>
      <c r="G4" s="732" t="s">
        <v>57</v>
      </c>
      <c r="H4" s="732" t="s">
        <v>58</v>
      </c>
      <c r="I4" s="732" t="s">
        <v>59</v>
      </c>
      <c r="J4" s="732" t="s">
        <v>60</v>
      </c>
      <c r="K4" s="732" t="s">
        <v>61</v>
      </c>
      <c r="L4" s="732" t="s">
        <v>62</v>
      </c>
      <c r="M4" s="732" t="s">
        <v>63</v>
      </c>
      <c r="N4" s="732" t="s">
        <v>64</v>
      </c>
    </row>
    <row r="5" spans="1:28" ht="18" customHeight="1">
      <c r="A5" s="693" t="s">
        <v>100</v>
      </c>
      <c r="B5" s="912">
        <v>14.74780990183822</v>
      </c>
      <c r="C5" s="695">
        <v>14.930398932108631</v>
      </c>
      <c r="D5" s="695">
        <v>14.826707353028965</v>
      </c>
      <c r="E5" s="695">
        <v>14.852387016279261</v>
      </c>
      <c r="F5" s="695">
        <v>13.647168054397122</v>
      </c>
      <c r="G5" s="695">
        <v>13.791153092212289</v>
      </c>
      <c r="H5" s="695">
        <v>14.072384206070124</v>
      </c>
      <c r="I5" s="695">
        <v>14.751759824083118</v>
      </c>
      <c r="J5" s="695">
        <v>14.590593503751391</v>
      </c>
      <c r="K5" s="695">
        <v>14.044836497014435</v>
      </c>
      <c r="L5" s="695">
        <v>14.336370790681459</v>
      </c>
      <c r="M5" s="695">
        <v>14.782667739895011</v>
      </c>
      <c r="N5" s="695">
        <v>14.737920497812263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</row>
    <row r="6" spans="1:28" ht="16" customHeight="1">
      <c r="A6" s="67" t="s">
        <v>19</v>
      </c>
      <c r="B6" s="913">
        <v>0</v>
      </c>
      <c r="C6" s="374">
        <v>0</v>
      </c>
      <c r="D6" s="374">
        <v>0</v>
      </c>
      <c r="E6" s="374">
        <v>0</v>
      </c>
      <c r="F6" s="374">
        <v>0</v>
      </c>
      <c r="G6" s="374">
        <v>0</v>
      </c>
      <c r="H6" s="374">
        <v>0</v>
      </c>
      <c r="I6" s="374">
        <v>0</v>
      </c>
      <c r="J6" s="374">
        <v>0</v>
      </c>
      <c r="K6" s="374">
        <v>0</v>
      </c>
      <c r="L6" s="374">
        <v>0</v>
      </c>
      <c r="M6" s="374">
        <v>0</v>
      </c>
      <c r="N6" s="374">
        <v>0</v>
      </c>
      <c r="O6" s="10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</row>
    <row r="7" spans="1:28" ht="16" customHeight="1">
      <c r="A7" s="67" t="s">
        <v>20</v>
      </c>
      <c r="B7" s="913">
        <v>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</row>
    <row r="8" spans="1:28" ht="16" customHeight="1">
      <c r="A8" s="67" t="s">
        <v>21</v>
      </c>
      <c r="B8" s="913">
        <v>0</v>
      </c>
      <c r="C8" s="374">
        <v>0</v>
      </c>
      <c r="D8" s="374">
        <v>0</v>
      </c>
      <c r="E8" s="374">
        <v>0</v>
      </c>
      <c r="F8" s="374">
        <v>0</v>
      </c>
      <c r="G8" s="374">
        <v>0</v>
      </c>
      <c r="H8" s="374">
        <v>0</v>
      </c>
      <c r="I8" s="374">
        <v>0</v>
      </c>
      <c r="J8" s="374">
        <v>0</v>
      </c>
      <c r="K8" s="374">
        <v>0</v>
      </c>
      <c r="L8" s="374">
        <v>0</v>
      </c>
      <c r="M8" s="374">
        <v>0</v>
      </c>
      <c r="N8" s="374">
        <v>0</v>
      </c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</row>
    <row r="9" spans="1:28" ht="16" customHeight="1">
      <c r="A9" s="67" t="s">
        <v>22</v>
      </c>
      <c r="B9" s="913">
        <v>14.589805051013231</v>
      </c>
      <c r="C9" s="374">
        <v>0</v>
      </c>
      <c r="D9" s="374">
        <v>0</v>
      </c>
      <c r="E9" s="374">
        <v>0</v>
      </c>
      <c r="F9" s="374">
        <v>14.613686534216335</v>
      </c>
      <c r="G9" s="378">
        <v>14.657836644591612</v>
      </c>
      <c r="H9" s="378">
        <v>14.569536423841059</v>
      </c>
      <c r="I9" s="378">
        <v>14.547461368653423</v>
      </c>
      <c r="J9" s="378">
        <v>14.525386313465782</v>
      </c>
      <c r="K9" s="374">
        <v>0</v>
      </c>
      <c r="L9" s="378">
        <v>14.547461368653421</v>
      </c>
      <c r="M9" s="378">
        <v>14.560706401766003</v>
      </c>
      <c r="N9" s="378">
        <v>14.591611479028696</v>
      </c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</row>
    <row r="10" spans="1:28" ht="16" customHeight="1">
      <c r="A10" s="67" t="s">
        <v>23</v>
      </c>
      <c r="B10" s="913">
        <v>0</v>
      </c>
      <c r="C10" s="374">
        <v>0</v>
      </c>
      <c r="D10" s="374">
        <v>0</v>
      </c>
      <c r="E10" s="374">
        <v>0</v>
      </c>
      <c r="F10" s="374">
        <v>0</v>
      </c>
      <c r="G10" s="374">
        <v>0</v>
      </c>
      <c r="H10" s="374">
        <v>0</v>
      </c>
      <c r="I10" s="374">
        <v>0</v>
      </c>
      <c r="J10" s="374">
        <v>0</v>
      </c>
      <c r="K10" s="374">
        <v>0</v>
      </c>
      <c r="L10" s="374">
        <v>0</v>
      </c>
      <c r="M10" s="374">
        <v>0</v>
      </c>
      <c r="N10" s="374">
        <v>0</v>
      </c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</row>
    <row r="11" spans="1:28" ht="16" customHeight="1">
      <c r="A11" s="67" t="s">
        <v>94</v>
      </c>
      <c r="B11" s="913">
        <v>0</v>
      </c>
      <c r="C11" s="374">
        <v>0</v>
      </c>
      <c r="D11" s="374">
        <v>0</v>
      </c>
      <c r="E11" s="374">
        <v>0</v>
      </c>
      <c r="F11" s="374">
        <v>0</v>
      </c>
      <c r="G11" s="374">
        <v>0</v>
      </c>
      <c r="H11" s="374">
        <v>0</v>
      </c>
      <c r="I11" s="374">
        <v>0</v>
      </c>
      <c r="J11" s="374">
        <v>0</v>
      </c>
      <c r="K11" s="374">
        <v>0</v>
      </c>
      <c r="L11" s="374">
        <v>0</v>
      </c>
      <c r="M11" s="374">
        <v>0</v>
      </c>
      <c r="N11" s="374">
        <v>0</v>
      </c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</row>
    <row r="12" spans="1:28" ht="16" customHeight="1">
      <c r="A12" s="67" t="s">
        <v>95</v>
      </c>
      <c r="B12" s="913">
        <v>0</v>
      </c>
      <c r="C12" s="374">
        <v>0</v>
      </c>
      <c r="D12" s="374">
        <v>0</v>
      </c>
      <c r="E12" s="374">
        <v>0</v>
      </c>
      <c r="F12" s="374">
        <v>0</v>
      </c>
      <c r="G12" s="374">
        <v>0</v>
      </c>
      <c r="H12" s="374">
        <v>0</v>
      </c>
      <c r="I12" s="374">
        <v>0</v>
      </c>
      <c r="J12" s="374">
        <v>0</v>
      </c>
      <c r="K12" s="374">
        <v>0</v>
      </c>
      <c r="L12" s="374">
        <v>0</v>
      </c>
      <c r="M12" s="374">
        <v>0</v>
      </c>
      <c r="N12" s="374">
        <v>0</v>
      </c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</row>
    <row r="13" spans="1:28" ht="16" customHeight="1">
      <c r="A13" s="67" t="s">
        <v>124</v>
      </c>
      <c r="B13" s="913">
        <v>0</v>
      </c>
      <c r="C13" s="374">
        <v>0</v>
      </c>
      <c r="D13" s="374">
        <v>0</v>
      </c>
      <c r="E13" s="374">
        <v>0</v>
      </c>
      <c r="F13" s="374">
        <v>0</v>
      </c>
      <c r="G13" s="374">
        <v>0</v>
      </c>
      <c r="H13" s="374">
        <v>0</v>
      </c>
      <c r="I13" s="374">
        <v>0</v>
      </c>
      <c r="J13" s="374">
        <v>0</v>
      </c>
      <c r="K13" s="374">
        <v>0</v>
      </c>
      <c r="L13" s="374">
        <v>0</v>
      </c>
      <c r="M13" s="374">
        <v>0</v>
      </c>
      <c r="N13" s="374">
        <v>0</v>
      </c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</row>
    <row r="14" spans="1:28" ht="16" customHeight="1">
      <c r="A14" s="67" t="s">
        <v>27</v>
      </c>
      <c r="B14" s="913">
        <v>0</v>
      </c>
      <c r="C14" s="374">
        <v>0</v>
      </c>
      <c r="D14" s="374">
        <v>0</v>
      </c>
      <c r="E14" s="374">
        <v>0</v>
      </c>
      <c r="F14" s="374">
        <v>0</v>
      </c>
      <c r="G14" s="374">
        <v>0</v>
      </c>
      <c r="H14" s="374">
        <v>0</v>
      </c>
      <c r="I14" s="374">
        <v>0</v>
      </c>
      <c r="J14" s="374">
        <v>0</v>
      </c>
      <c r="K14" s="374">
        <v>0</v>
      </c>
      <c r="L14" s="374">
        <v>0</v>
      </c>
      <c r="M14" s="374">
        <v>0</v>
      </c>
      <c r="N14" s="374">
        <v>0</v>
      </c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</row>
    <row r="15" spans="1:28" ht="16" customHeight="1">
      <c r="A15" s="67" t="s">
        <v>28</v>
      </c>
      <c r="B15" s="913">
        <v>0</v>
      </c>
      <c r="C15" s="374">
        <v>0</v>
      </c>
      <c r="D15" s="374">
        <v>0</v>
      </c>
      <c r="E15" s="374">
        <v>0</v>
      </c>
      <c r="F15" s="374">
        <v>0</v>
      </c>
      <c r="G15" s="374">
        <v>0</v>
      </c>
      <c r="H15" s="374">
        <v>0</v>
      </c>
      <c r="I15" s="374">
        <v>0</v>
      </c>
      <c r="J15" s="374">
        <v>0</v>
      </c>
      <c r="K15" s="374">
        <v>0</v>
      </c>
      <c r="L15" s="374">
        <v>0</v>
      </c>
      <c r="M15" s="374">
        <v>0</v>
      </c>
      <c r="N15" s="374">
        <v>0</v>
      </c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</row>
    <row r="16" spans="1:28" ht="16" customHeight="1">
      <c r="A16" s="67" t="s">
        <v>29</v>
      </c>
      <c r="B16" s="913">
        <v>14.927078010823294</v>
      </c>
      <c r="C16" s="374">
        <v>0</v>
      </c>
      <c r="D16" s="374">
        <v>0</v>
      </c>
      <c r="E16" s="374">
        <v>0</v>
      </c>
      <c r="F16" s="374">
        <v>14.931567328918323</v>
      </c>
      <c r="G16" s="374">
        <v>14.947019867549669</v>
      </c>
      <c r="H16" s="374">
        <v>14.902869757174393</v>
      </c>
      <c r="I16" s="374">
        <v>14.888520971302428</v>
      </c>
      <c r="J16" s="374">
        <v>14.874172185430464</v>
      </c>
      <c r="K16" s="374">
        <v>0</v>
      </c>
      <c r="L16" s="374">
        <v>0</v>
      </c>
      <c r="M16" s="374">
        <v>0</v>
      </c>
      <c r="N16" s="374">
        <v>0</v>
      </c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</row>
    <row r="17" spans="1:28" ht="16" customHeight="1">
      <c r="A17" s="67" t="s">
        <v>30</v>
      </c>
      <c r="B17" s="913">
        <v>0</v>
      </c>
      <c r="C17" s="374">
        <v>0</v>
      </c>
      <c r="D17" s="374">
        <v>0</v>
      </c>
      <c r="E17" s="374">
        <v>0</v>
      </c>
      <c r="F17" s="374">
        <v>0</v>
      </c>
      <c r="G17" s="374">
        <v>0</v>
      </c>
      <c r="H17" s="374">
        <v>0</v>
      </c>
      <c r="I17" s="374">
        <v>0</v>
      </c>
      <c r="J17" s="374">
        <v>0</v>
      </c>
      <c r="K17" s="374">
        <v>0</v>
      </c>
      <c r="L17" s="374">
        <v>0</v>
      </c>
      <c r="M17" s="374">
        <v>0</v>
      </c>
      <c r="N17" s="374">
        <v>0</v>
      </c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</row>
    <row r="18" spans="1:28" ht="16" customHeight="1">
      <c r="A18" s="67" t="s">
        <v>31</v>
      </c>
      <c r="B18" s="913">
        <v>13.881136274438582</v>
      </c>
      <c r="C18" s="374">
        <v>13.821192052980132</v>
      </c>
      <c r="D18" s="374">
        <v>13.869757174392934</v>
      </c>
      <c r="E18" s="374">
        <v>13.876379690949227</v>
      </c>
      <c r="F18" s="374">
        <v>13.883443708609271</v>
      </c>
      <c r="G18" s="374">
        <v>13.887417218543048</v>
      </c>
      <c r="H18" s="374">
        <v>13.871964679911699</v>
      </c>
      <c r="I18" s="374">
        <v>13.866225165562913</v>
      </c>
      <c r="J18" s="374">
        <v>13.860485651214127</v>
      </c>
      <c r="K18" s="374">
        <v>13.871964679911699</v>
      </c>
      <c r="L18" s="374">
        <v>13.876379690949225</v>
      </c>
      <c r="M18" s="374">
        <v>13.887417218543044</v>
      </c>
      <c r="N18" s="374">
        <v>13.898454746136865</v>
      </c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</row>
    <row r="19" spans="1:28" ht="16" customHeight="1">
      <c r="A19" s="67" t="s">
        <v>32</v>
      </c>
      <c r="B19" s="913">
        <v>13.858044182925585</v>
      </c>
      <c r="C19" s="374">
        <v>14.198675496688743</v>
      </c>
      <c r="D19" s="374">
        <v>0</v>
      </c>
      <c r="E19" s="374">
        <v>0</v>
      </c>
      <c r="F19" s="374">
        <v>0</v>
      </c>
      <c r="G19" s="374">
        <v>0</v>
      </c>
      <c r="H19" s="374">
        <v>0</v>
      </c>
      <c r="I19" s="374">
        <v>0</v>
      </c>
      <c r="J19" s="374">
        <v>0</v>
      </c>
      <c r="K19" s="374">
        <v>0</v>
      </c>
      <c r="L19" s="374">
        <v>13.852097130242827</v>
      </c>
      <c r="M19" s="374">
        <v>13.858719646799118</v>
      </c>
      <c r="N19" s="374">
        <v>13.852097130242825</v>
      </c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</row>
    <row r="20" spans="1:28" ht="16" customHeight="1">
      <c r="A20" s="67" t="s">
        <v>33</v>
      </c>
      <c r="B20" s="913">
        <v>14.017448616229075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14.008830022075054</v>
      </c>
      <c r="L20" s="374">
        <v>14.011037527593816</v>
      </c>
      <c r="M20" s="374">
        <v>14.022075055187637</v>
      </c>
      <c r="N20" s="374">
        <v>14.039735099337747</v>
      </c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</row>
    <row r="21" spans="1:28" ht="16" customHeight="1">
      <c r="A21" s="67" t="s">
        <v>34</v>
      </c>
      <c r="B21" s="913">
        <v>13.952456934254149</v>
      </c>
      <c r="C21" s="374">
        <v>0</v>
      </c>
      <c r="D21" s="374">
        <v>13.973509933774835</v>
      </c>
      <c r="E21" s="374">
        <v>13.984547461368653</v>
      </c>
      <c r="F21" s="374">
        <v>13.999999999999998</v>
      </c>
      <c r="G21" s="374">
        <v>13.929359823399556</v>
      </c>
      <c r="H21" s="374">
        <v>13.951434878587198</v>
      </c>
      <c r="I21" s="374">
        <v>0</v>
      </c>
      <c r="J21" s="374">
        <v>0</v>
      </c>
      <c r="K21" s="374">
        <v>13.931567328918321</v>
      </c>
      <c r="L21" s="374">
        <v>13.929359823399558</v>
      </c>
      <c r="M21" s="374">
        <v>13.935982339955846</v>
      </c>
      <c r="N21" s="374">
        <v>13.938189845474614</v>
      </c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</row>
    <row r="22" spans="1:28" ht="16" customHeight="1">
      <c r="A22" s="67" t="s">
        <v>35</v>
      </c>
      <c r="B22" s="913">
        <v>16.546990592539295</v>
      </c>
      <c r="C22" s="374">
        <v>16.44591611479029</v>
      </c>
      <c r="D22" s="374">
        <v>16.514348785871963</v>
      </c>
      <c r="E22" s="374">
        <v>16.584988962472405</v>
      </c>
      <c r="F22" s="374">
        <v>0</v>
      </c>
      <c r="G22" s="374">
        <v>0</v>
      </c>
      <c r="H22" s="374">
        <v>0</v>
      </c>
      <c r="I22" s="374">
        <v>0</v>
      </c>
      <c r="J22" s="374">
        <v>0</v>
      </c>
      <c r="K22" s="374">
        <v>0</v>
      </c>
      <c r="L22" s="374">
        <v>0</v>
      </c>
      <c r="M22" s="374">
        <v>0</v>
      </c>
      <c r="N22" s="374">
        <v>16.732891832229576</v>
      </c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</row>
    <row r="23" spans="1:28" ht="16" customHeight="1">
      <c r="A23" s="67" t="s">
        <v>36</v>
      </c>
      <c r="B23" s="913">
        <v>14.854424691237218</v>
      </c>
      <c r="C23" s="374">
        <v>14.701986754966885</v>
      </c>
      <c r="D23" s="374">
        <v>14.754966887417217</v>
      </c>
      <c r="E23" s="374">
        <v>14.752759381898455</v>
      </c>
      <c r="F23" s="374">
        <v>14.834437086092713</v>
      </c>
      <c r="G23" s="374">
        <v>0</v>
      </c>
      <c r="H23" s="374">
        <v>0</v>
      </c>
      <c r="I23" s="374">
        <v>0</v>
      </c>
      <c r="J23" s="374">
        <v>0</v>
      </c>
      <c r="K23" s="374">
        <v>14.860927152317881</v>
      </c>
      <c r="L23" s="374">
        <v>14.856512141280357</v>
      </c>
      <c r="M23" s="374">
        <v>14.867549668874174</v>
      </c>
      <c r="N23" s="374">
        <v>14.874392935982339</v>
      </c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</row>
    <row r="24" spans="1:28" ht="16" customHeight="1">
      <c r="A24" s="67" t="s">
        <v>37</v>
      </c>
      <c r="B24" s="913">
        <v>14.891914024817554</v>
      </c>
      <c r="C24" s="374">
        <v>0</v>
      </c>
      <c r="D24" s="374">
        <v>0</v>
      </c>
      <c r="E24" s="374">
        <v>0</v>
      </c>
      <c r="F24" s="374">
        <v>0</v>
      </c>
      <c r="G24" s="374">
        <v>0</v>
      </c>
      <c r="H24" s="374">
        <v>0</v>
      </c>
      <c r="I24" s="374">
        <v>0</v>
      </c>
      <c r="J24" s="374">
        <v>0</v>
      </c>
      <c r="K24" s="374">
        <v>0</v>
      </c>
      <c r="L24" s="374">
        <v>14.887417218543044</v>
      </c>
      <c r="M24" s="374">
        <v>14.902869757174393</v>
      </c>
      <c r="N24" s="374">
        <v>0</v>
      </c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</row>
    <row r="25" spans="1:28" ht="16" customHeight="1">
      <c r="A25" s="67" t="s">
        <v>38</v>
      </c>
      <c r="B25" s="913">
        <v>13.149862559127479</v>
      </c>
      <c r="C25" s="374">
        <v>13.068432671081679</v>
      </c>
      <c r="D25" s="374">
        <v>13.112582781456952</v>
      </c>
      <c r="E25" s="374">
        <v>13.145695364238408</v>
      </c>
      <c r="F25" s="374">
        <v>13.163355408388519</v>
      </c>
      <c r="G25" s="374">
        <v>13.150110375275936</v>
      </c>
      <c r="H25" s="374">
        <v>13.139072847682121</v>
      </c>
      <c r="I25" s="374">
        <v>0</v>
      </c>
      <c r="J25" s="374">
        <v>0</v>
      </c>
      <c r="K25" s="374">
        <v>13.141280353200884</v>
      </c>
      <c r="L25" s="374">
        <v>13.156732891832231</v>
      </c>
      <c r="M25" s="374">
        <v>13.167770419426049</v>
      </c>
      <c r="N25" s="374">
        <v>13.174392935982338</v>
      </c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</row>
    <row r="26" spans="1:28" ht="16" customHeight="1">
      <c r="A26" s="67" t="s">
        <v>39</v>
      </c>
      <c r="B26" s="913">
        <v>12.708539253127721</v>
      </c>
      <c r="C26" s="374">
        <v>12.715274414302376</v>
      </c>
      <c r="D26" s="374">
        <v>12.690645192836802</v>
      </c>
      <c r="E26" s="374">
        <v>12.694422950824903</v>
      </c>
      <c r="F26" s="374">
        <v>12.71933988598834</v>
      </c>
      <c r="G26" s="374">
        <v>12.763796909492275</v>
      </c>
      <c r="H26" s="374">
        <v>0</v>
      </c>
      <c r="I26" s="374">
        <v>0</v>
      </c>
      <c r="J26" s="374">
        <v>0</v>
      </c>
      <c r="K26" s="374">
        <v>0</v>
      </c>
      <c r="L26" s="374">
        <v>0</v>
      </c>
      <c r="M26" s="374">
        <v>12.724061810154527</v>
      </c>
      <c r="N26" s="374">
        <v>12.741721854304636</v>
      </c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</row>
    <row r="27" spans="1:28" ht="16" customHeight="1">
      <c r="A27" s="67" t="s">
        <v>97</v>
      </c>
      <c r="B27" s="913">
        <v>12.710707172693336</v>
      </c>
      <c r="C27" s="374">
        <v>12.759381898454745</v>
      </c>
      <c r="D27" s="374">
        <v>12.684326710816778</v>
      </c>
      <c r="E27" s="374">
        <v>12.695364238410598</v>
      </c>
      <c r="F27" s="374">
        <v>12.715231788079471</v>
      </c>
      <c r="G27" s="374">
        <v>0</v>
      </c>
      <c r="H27" s="374">
        <v>0</v>
      </c>
      <c r="I27" s="374">
        <v>0</v>
      </c>
      <c r="J27" s="374">
        <v>0</v>
      </c>
      <c r="K27" s="374">
        <v>0</v>
      </c>
      <c r="L27" s="374">
        <v>0</v>
      </c>
      <c r="M27" s="374">
        <v>12.724061810154527</v>
      </c>
      <c r="N27" s="374">
        <v>12.741721854304636</v>
      </c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</row>
    <row r="28" spans="1:28" ht="16" customHeight="1">
      <c r="A28" s="67" t="s">
        <v>98</v>
      </c>
      <c r="B28" s="913">
        <v>12.700029361536542</v>
      </c>
      <c r="C28" s="374">
        <v>12.671081677704194</v>
      </c>
      <c r="D28" s="374">
        <v>12.715231788079468</v>
      </c>
      <c r="E28" s="374">
        <v>12.690949227373066</v>
      </c>
      <c r="F28" s="374">
        <v>12.737306843267106</v>
      </c>
      <c r="G28" s="374">
        <v>12.763796909492275</v>
      </c>
      <c r="H28" s="374">
        <v>0</v>
      </c>
      <c r="I28" s="374">
        <v>0</v>
      </c>
      <c r="J28" s="374">
        <v>0</v>
      </c>
      <c r="K28" s="374">
        <v>0</v>
      </c>
      <c r="L28" s="374">
        <v>0</v>
      </c>
      <c r="M28" s="374">
        <v>0</v>
      </c>
      <c r="N28" s="374">
        <v>0</v>
      </c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</row>
    <row r="29" spans="1:28" ht="16" customHeight="1">
      <c r="A29" s="67" t="s">
        <v>42</v>
      </c>
      <c r="B29" s="913">
        <v>14.876525450329771</v>
      </c>
      <c r="C29" s="374">
        <v>14.885209713024283</v>
      </c>
      <c r="D29" s="374">
        <v>14.927152317880791</v>
      </c>
      <c r="E29" s="374">
        <v>14.95364238410596</v>
      </c>
      <c r="F29" s="374">
        <v>0</v>
      </c>
      <c r="G29" s="374">
        <v>0</v>
      </c>
      <c r="H29" s="374">
        <v>0</v>
      </c>
      <c r="I29" s="374">
        <v>0</v>
      </c>
      <c r="J29" s="374">
        <v>0</v>
      </c>
      <c r="K29" s="374">
        <v>0</v>
      </c>
      <c r="L29" s="374">
        <v>0</v>
      </c>
      <c r="M29" s="374">
        <v>14.843267108167771</v>
      </c>
      <c r="N29" s="374">
        <v>14.878587196467992</v>
      </c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</row>
    <row r="30" spans="1:28" ht="16" customHeight="1">
      <c r="A30" s="67" t="s">
        <v>43</v>
      </c>
      <c r="B30" s="913">
        <v>14.917734984206396</v>
      </c>
      <c r="C30" s="374">
        <v>14.821192052980134</v>
      </c>
      <c r="D30" s="378">
        <v>14.838852097130243</v>
      </c>
      <c r="E30" s="378">
        <v>14.863134657836643</v>
      </c>
      <c r="F30" s="374">
        <v>0</v>
      </c>
      <c r="G30" s="374">
        <v>0</v>
      </c>
      <c r="H30" s="374">
        <v>0</v>
      </c>
      <c r="I30" s="374">
        <v>0</v>
      </c>
      <c r="J30" s="374">
        <v>0</v>
      </c>
      <c r="K30" s="374">
        <v>0</v>
      </c>
      <c r="L30" s="374">
        <v>0</v>
      </c>
      <c r="M30" s="378">
        <v>14.951434878587191</v>
      </c>
      <c r="N30" s="378">
        <v>15.037527593818984</v>
      </c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</row>
    <row r="31" spans="1:28" ht="16" customHeight="1">
      <c r="A31" s="67" t="s">
        <v>44</v>
      </c>
      <c r="B31" s="913">
        <v>0</v>
      </c>
      <c r="C31" s="374">
        <v>0</v>
      </c>
      <c r="D31" s="374">
        <v>0</v>
      </c>
      <c r="E31" s="374">
        <v>0</v>
      </c>
      <c r="F31" s="374">
        <v>0</v>
      </c>
      <c r="G31" s="374">
        <v>0</v>
      </c>
      <c r="H31" s="374">
        <v>0</v>
      </c>
      <c r="I31" s="374">
        <v>0</v>
      </c>
      <c r="J31" s="374">
        <v>0</v>
      </c>
      <c r="K31" s="374">
        <v>0</v>
      </c>
      <c r="L31" s="374">
        <v>0</v>
      </c>
      <c r="M31" s="374">
        <v>0</v>
      </c>
      <c r="N31" s="374">
        <v>0</v>
      </c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</row>
    <row r="32" spans="1:28" ht="16" customHeight="1">
      <c r="A32" s="67" t="s">
        <v>45</v>
      </c>
      <c r="B32" s="913">
        <v>0</v>
      </c>
      <c r="C32" s="374">
        <v>0</v>
      </c>
      <c r="D32" s="374">
        <v>0</v>
      </c>
      <c r="E32" s="374">
        <v>0</v>
      </c>
      <c r="F32" s="374">
        <v>0</v>
      </c>
      <c r="G32" s="374">
        <v>0</v>
      </c>
      <c r="H32" s="374">
        <v>0</v>
      </c>
      <c r="I32" s="374">
        <v>0</v>
      </c>
      <c r="J32" s="374">
        <v>0</v>
      </c>
      <c r="K32" s="374">
        <v>0</v>
      </c>
      <c r="L32" s="374">
        <v>0</v>
      </c>
      <c r="M32" s="374">
        <v>0</v>
      </c>
      <c r="N32" s="374">
        <v>0</v>
      </c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</row>
    <row r="33" spans="1:28" ht="16" customHeight="1">
      <c r="A33" s="67" t="s">
        <v>46</v>
      </c>
      <c r="B33" s="913">
        <v>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</row>
    <row r="34" spans="1:28" ht="16" customHeight="1" thickBot="1">
      <c r="A34" s="113" t="s">
        <v>47</v>
      </c>
      <c r="B34" s="914">
        <v>0</v>
      </c>
      <c r="C34" s="375">
        <v>0</v>
      </c>
      <c r="D34" s="375">
        <v>0</v>
      </c>
      <c r="E34" s="375">
        <v>0</v>
      </c>
      <c r="F34" s="375">
        <v>0</v>
      </c>
      <c r="G34" s="375">
        <v>0</v>
      </c>
      <c r="H34" s="375">
        <v>0</v>
      </c>
      <c r="I34" s="375">
        <v>0</v>
      </c>
      <c r="J34" s="375">
        <v>0</v>
      </c>
      <c r="K34" s="375">
        <v>0</v>
      </c>
      <c r="L34" s="375">
        <v>0</v>
      </c>
      <c r="M34" s="375">
        <v>0</v>
      </c>
      <c r="N34" s="375">
        <v>0</v>
      </c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</row>
    <row r="35" spans="1:28" ht="9" customHeight="1">
      <c r="A35" s="449" t="s">
        <v>330</v>
      </c>
      <c r="B35" s="520"/>
      <c r="C35" s="521"/>
      <c r="D35" s="521"/>
      <c r="E35" s="379"/>
      <c r="F35" s="379"/>
      <c r="G35" s="379"/>
      <c r="H35" s="379"/>
      <c r="I35" s="379"/>
      <c r="J35" s="379"/>
      <c r="K35" s="379"/>
      <c r="L35" s="379"/>
      <c r="M35" s="379"/>
      <c r="N35" s="379"/>
    </row>
    <row r="36" spans="1:28" ht="9" customHeight="1">
      <c r="A36" s="449" t="s">
        <v>304</v>
      </c>
      <c r="B36" s="521"/>
      <c r="C36" s="521"/>
      <c r="D36" s="521"/>
      <c r="E36" s="379"/>
      <c r="F36" s="379"/>
      <c r="G36" s="379"/>
      <c r="H36" s="379"/>
      <c r="I36" s="379"/>
      <c r="J36" s="379"/>
      <c r="K36" s="379"/>
      <c r="L36" s="379"/>
      <c r="M36" s="379"/>
      <c r="N36" s="379"/>
    </row>
    <row r="37" spans="1:28" ht="9" customHeight="1">
      <c r="A37" s="451" t="s">
        <v>303</v>
      </c>
      <c r="B37" s="464"/>
      <c r="C37" s="464"/>
      <c r="D37" s="464"/>
      <c r="E37" s="173"/>
      <c r="F37" s="173"/>
      <c r="G37" s="173"/>
      <c r="H37" s="173"/>
      <c r="I37" s="173"/>
      <c r="J37" s="173"/>
      <c r="K37" s="173"/>
      <c r="L37" s="173"/>
      <c r="M37" s="173"/>
      <c r="N37" s="173"/>
    </row>
    <row r="38" spans="1:28" ht="13.25" customHeight="1">
      <c r="A38" s="522"/>
      <c r="B38" s="464"/>
      <c r="C38" s="464"/>
      <c r="D38" s="464"/>
    </row>
    <row r="39" spans="1:28" ht="13.25" customHeight="1">
      <c r="A39" s="22"/>
    </row>
    <row r="55" spans="1:14" ht="13.25" customHeight="1">
      <c r="A55" s="67" t="s">
        <v>301</v>
      </c>
    </row>
    <row r="56" spans="1:14" ht="13.25" customHeight="1">
      <c r="A56" s="67" t="s">
        <v>293</v>
      </c>
    </row>
    <row r="58" spans="1:14" ht="13.25" customHeight="1">
      <c r="A58" s="67" t="s">
        <v>127</v>
      </c>
      <c r="B58" s="67" t="s">
        <v>125</v>
      </c>
      <c r="C58" s="67" t="s">
        <v>75</v>
      </c>
      <c r="D58" s="67" t="s">
        <v>76</v>
      </c>
      <c r="E58" s="67" t="s">
        <v>77</v>
      </c>
      <c r="F58" s="67" t="s">
        <v>78</v>
      </c>
      <c r="G58" s="67" t="s">
        <v>79</v>
      </c>
      <c r="H58" s="67" t="s">
        <v>80</v>
      </c>
      <c r="I58" s="67" t="s">
        <v>81</v>
      </c>
      <c r="J58" s="67" t="s">
        <v>82</v>
      </c>
      <c r="K58" s="67" t="s">
        <v>83</v>
      </c>
      <c r="L58" s="67" t="s">
        <v>84</v>
      </c>
      <c r="M58" s="67" t="s">
        <v>85</v>
      </c>
      <c r="N58" s="67" t="s">
        <v>86</v>
      </c>
    </row>
    <row r="59" spans="1:14" ht="13.25" customHeight="1">
      <c r="A59" s="67" t="s">
        <v>100</v>
      </c>
      <c r="B59" s="112">
        <v>14.631479363308744</v>
      </c>
      <c r="C59" s="112">
        <v>14.704315126500443</v>
      </c>
      <c r="D59" s="112">
        <v>14.585047290351097</v>
      </c>
      <c r="E59" s="112">
        <v>14.552576159526204</v>
      </c>
      <c r="F59" s="112">
        <v>13.410162814063051</v>
      </c>
      <c r="G59" s="112">
        <v>14.372282742194335</v>
      </c>
      <c r="H59" s="112">
        <v>15.386853710593817</v>
      </c>
      <c r="I59" s="112">
        <v>13.766868280922154</v>
      </c>
      <c r="J59" s="112">
        <v>13.430421679742638</v>
      </c>
      <c r="K59" s="112">
        <v>14.208895674523099</v>
      </c>
      <c r="L59" s="112">
        <v>15.05991129013969</v>
      </c>
      <c r="M59" s="112">
        <v>14.730440765961383</v>
      </c>
      <c r="N59" s="112">
        <v>14.500973084043888</v>
      </c>
    </row>
    <row r="60" spans="1:14" ht="13.25" customHeight="1">
      <c r="A60" s="67" t="s">
        <v>19</v>
      </c>
      <c r="B60" s="112">
        <v>0</v>
      </c>
      <c r="C60" s="112">
        <v>0</v>
      </c>
      <c r="D60" s="112">
        <v>0</v>
      </c>
      <c r="E60" s="112">
        <v>0</v>
      </c>
      <c r="F60" s="112">
        <v>0</v>
      </c>
      <c r="G60" s="112">
        <v>0</v>
      </c>
      <c r="H60" s="112">
        <v>0</v>
      </c>
      <c r="I60" s="112">
        <v>0</v>
      </c>
      <c r="J60" s="112">
        <v>0</v>
      </c>
      <c r="K60" s="112">
        <v>0</v>
      </c>
      <c r="L60" s="112">
        <v>0</v>
      </c>
      <c r="M60" s="112">
        <v>0</v>
      </c>
      <c r="N60" s="112">
        <v>0</v>
      </c>
    </row>
    <row r="61" spans="1:14" ht="13.25" customHeight="1">
      <c r="A61" s="67" t="s">
        <v>20</v>
      </c>
      <c r="B61" s="112">
        <v>12.84126716414794</v>
      </c>
      <c r="C61" s="112">
        <v>0</v>
      </c>
      <c r="D61" s="112">
        <v>0</v>
      </c>
      <c r="E61" s="112">
        <v>0</v>
      </c>
      <c r="F61" s="112">
        <v>12.803532008830024</v>
      </c>
      <c r="G61" s="112">
        <v>12.913907284768209</v>
      </c>
      <c r="H61" s="112">
        <v>0</v>
      </c>
      <c r="I61" s="112">
        <v>0</v>
      </c>
      <c r="J61" s="112">
        <v>0</v>
      </c>
      <c r="K61" s="112">
        <v>0</v>
      </c>
      <c r="L61" s="112">
        <v>0</v>
      </c>
      <c r="M61" s="112">
        <v>0</v>
      </c>
      <c r="N61" s="112">
        <v>0</v>
      </c>
    </row>
    <row r="62" spans="1:14" ht="13.25" customHeight="1">
      <c r="A62" s="67" t="s">
        <v>21</v>
      </c>
      <c r="B62" s="112">
        <v>0</v>
      </c>
      <c r="C62" s="112">
        <v>0</v>
      </c>
      <c r="D62" s="112">
        <v>0</v>
      </c>
      <c r="E62" s="112">
        <v>0</v>
      </c>
      <c r="F62" s="112">
        <v>0</v>
      </c>
      <c r="G62" s="112">
        <v>0</v>
      </c>
      <c r="H62" s="112">
        <v>0</v>
      </c>
      <c r="I62" s="112">
        <v>0</v>
      </c>
      <c r="J62" s="112">
        <v>0</v>
      </c>
      <c r="K62" s="112">
        <v>0</v>
      </c>
      <c r="L62" s="112">
        <v>0</v>
      </c>
      <c r="M62" s="112">
        <v>0</v>
      </c>
      <c r="N62" s="112">
        <v>0</v>
      </c>
    </row>
    <row r="63" spans="1:14" ht="13.25" customHeight="1">
      <c r="A63" s="67" t="s">
        <v>22</v>
      </c>
      <c r="B63" s="112">
        <v>13.16091511204734</v>
      </c>
      <c r="C63" s="112">
        <v>0</v>
      </c>
      <c r="D63" s="112">
        <v>0</v>
      </c>
      <c r="E63" s="112">
        <v>0</v>
      </c>
      <c r="F63" s="112">
        <v>13.24503311258278</v>
      </c>
      <c r="G63" s="112">
        <v>13.200883002207505</v>
      </c>
      <c r="H63" s="112">
        <v>13.178807947019868</v>
      </c>
      <c r="I63" s="112">
        <v>13.203532008830022</v>
      </c>
      <c r="J63" s="112">
        <v>13.178807947019864</v>
      </c>
      <c r="K63" s="112">
        <v>0</v>
      </c>
      <c r="L63" s="112">
        <v>13.156732891832229</v>
      </c>
      <c r="M63" s="112">
        <v>13.134657836644591</v>
      </c>
      <c r="N63" s="112">
        <v>13.112582781456954</v>
      </c>
    </row>
    <row r="64" spans="1:14" ht="13.25" customHeight="1">
      <c r="A64" s="67" t="s">
        <v>23</v>
      </c>
      <c r="B64" s="112">
        <v>0</v>
      </c>
      <c r="C64" s="112">
        <v>0</v>
      </c>
      <c r="D64" s="112">
        <v>0</v>
      </c>
      <c r="E64" s="112">
        <v>0</v>
      </c>
      <c r="F64" s="112">
        <v>0</v>
      </c>
      <c r="G64" s="112">
        <v>0</v>
      </c>
      <c r="H64" s="112">
        <v>0</v>
      </c>
      <c r="I64" s="112">
        <v>0</v>
      </c>
      <c r="J64" s="112">
        <v>0</v>
      </c>
      <c r="K64" s="112">
        <v>0</v>
      </c>
      <c r="L64" s="112">
        <v>0</v>
      </c>
      <c r="M64" s="112">
        <v>0</v>
      </c>
      <c r="N64" s="112">
        <v>0</v>
      </c>
    </row>
    <row r="65" spans="1:14" ht="13.25" customHeight="1">
      <c r="A65" s="67" t="s">
        <v>94</v>
      </c>
      <c r="B65" s="112">
        <v>0</v>
      </c>
      <c r="C65" s="112">
        <v>0</v>
      </c>
      <c r="D65" s="112">
        <v>0</v>
      </c>
      <c r="E65" s="112">
        <v>0</v>
      </c>
      <c r="F65" s="112">
        <v>0</v>
      </c>
      <c r="G65" s="112">
        <v>0</v>
      </c>
      <c r="H65" s="112">
        <v>0</v>
      </c>
      <c r="I65" s="112">
        <v>0</v>
      </c>
      <c r="J65" s="112">
        <v>0</v>
      </c>
      <c r="K65" s="112">
        <v>0</v>
      </c>
      <c r="L65" s="112">
        <v>0</v>
      </c>
      <c r="M65" s="112">
        <v>0</v>
      </c>
      <c r="N65" s="112">
        <v>0</v>
      </c>
    </row>
    <row r="66" spans="1:14" ht="13.25" customHeight="1">
      <c r="A66" s="67" t="s">
        <v>95</v>
      </c>
      <c r="B66" s="112">
        <v>0</v>
      </c>
      <c r="C66" s="112">
        <v>0</v>
      </c>
      <c r="D66" s="112">
        <v>0</v>
      </c>
      <c r="E66" s="112">
        <v>0</v>
      </c>
      <c r="F66" s="112">
        <v>0</v>
      </c>
      <c r="G66" s="112">
        <v>0</v>
      </c>
      <c r="H66" s="112">
        <v>0</v>
      </c>
      <c r="I66" s="112">
        <v>0</v>
      </c>
      <c r="J66" s="112">
        <v>0</v>
      </c>
      <c r="K66" s="112">
        <v>0</v>
      </c>
      <c r="L66" s="112">
        <v>0</v>
      </c>
      <c r="M66" s="112">
        <v>0</v>
      </c>
      <c r="N66" s="112">
        <v>0</v>
      </c>
    </row>
    <row r="67" spans="1:14" ht="13.25" customHeight="1">
      <c r="A67" s="67" t="s">
        <v>124</v>
      </c>
      <c r="B67" s="112">
        <v>0</v>
      </c>
      <c r="C67" s="112">
        <v>0</v>
      </c>
      <c r="D67" s="112">
        <v>0</v>
      </c>
      <c r="E67" s="112">
        <v>0</v>
      </c>
      <c r="F67" s="112">
        <v>0</v>
      </c>
      <c r="G67" s="112">
        <v>0</v>
      </c>
      <c r="H67" s="112">
        <v>0</v>
      </c>
      <c r="I67" s="112">
        <v>0</v>
      </c>
      <c r="J67" s="112">
        <v>0</v>
      </c>
      <c r="K67" s="112">
        <v>0</v>
      </c>
      <c r="L67" s="112">
        <v>0</v>
      </c>
      <c r="M67" s="112">
        <v>0</v>
      </c>
      <c r="N67" s="112">
        <v>0</v>
      </c>
    </row>
    <row r="68" spans="1:14" ht="13.25" customHeight="1">
      <c r="A68" s="67" t="s">
        <v>27</v>
      </c>
      <c r="B68" s="112">
        <v>0</v>
      </c>
      <c r="C68" s="112">
        <v>0</v>
      </c>
      <c r="D68" s="112">
        <v>0</v>
      </c>
      <c r="E68" s="112">
        <v>0</v>
      </c>
      <c r="F68" s="112">
        <v>0</v>
      </c>
      <c r="G68" s="112">
        <v>0</v>
      </c>
      <c r="H68" s="112">
        <v>0</v>
      </c>
      <c r="I68" s="112">
        <v>0</v>
      </c>
      <c r="J68" s="112">
        <v>0</v>
      </c>
      <c r="K68" s="112">
        <v>0</v>
      </c>
      <c r="L68" s="112">
        <v>0</v>
      </c>
      <c r="M68" s="112">
        <v>0</v>
      </c>
      <c r="N68" s="112">
        <v>0</v>
      </c>
    </row>
    <row r="69" spans="1:14" ht="13.25" customHeight="1">
      <c r="A69" s="67" t="s">
        <v>28</v>
      </c>
      <c r="B69" s="112">
        <v>0</v>
      </c>
      <c r="C69" s="112">
        <v>0</v>
      </c>
      <c r="D69" s="112">
        <v>0</v>
      </c>
      <c r="E69" s="112">
        <v>0</v>
      </c>
      <c r="F69" s="112">
        <v>0</v>
      </c>
      <c r="G69" s="112">
        <v>0</v>
      </c>
      <c r="H69" s="112">
        <v>0</v>
      </c>
      <c r="I69" s="112">
        <v>0</v>
      </c>
      <c r="J69" s="112">
        <v>0</v>
      </c>
      <c r="K69" s="112">
        <v>0</v>
      </c>
      <c r="L69" s="112">
        <v>0</v>
      </c>
      <c r="M69" s="112">
        <v>0</v>
      </c>
      <c r="N69" s="112">
        <v>0</v>
      </c>
    </row>
    <row r="70" spans="1:14" ht="13.25" customHeight="1">
      <c r="A70" s="67" t="s">
        <v>29</v>
      </c>
      <c r="B70" s="112">
        <v>14.063357323296762</v>
      </c>
      <c r="C70" s="112">
        <v>0</v>
      </c>
      <c r="D70" s="112">
        <v>13.907284768211918</v>
      </c>
      <c r="E70" s="112">
        <v>0</v>
      </c>
      <c r="F70" s="112">
        <v>14.017660044150107</v>
      </c>
      <c r="G70" s="112">
        <v>14.083885209713026</v>
      </c>
      <c r="H70" s="112">
        <v>14.105960264900663</v>
      </c>
      <c r="I70" s="112">
        <v>14.150110375275938</v>
      </c>
      <c r="J70" s="112">
        <v>0</v>
      </c>
      <c r="K70" s="112">
        <v>0</v>
      </c>
      <c r="L70" s="112">
        <v>0</v>
      </c>
      <c r="M70" s="112">
        <v>0</v>
      </c>
      <c r="N70" s="112">
        <v>0</v>
      </c>
    </row>
    <row r="71" spans="1:14" ht="13.25" customHeight="1">
      <c r="A71" s="67" t="s">
        <v>30</v>
      </c>
      <c r="B71" s="112">
        <v>0</v>
      </c>
      <c r="C71" s="112">
        <v>0</v>
      </c>
      <c r="D71" s="112">
        <v>0</v>
      </c>
      <c r="E71" s="112">
        <v>0</v>
      </c>
      <c r="F71" s="112">
        <v>0</v>
      </c>
      <c r="G71" s="112">
        <v>0</v>
      </c>
      <c r="H71" s="112">
        <v>0</v>
      </c>
      <c r="I71" s="112">
        <v>0</v>
      </c>
      <c r="J71" s="112">
        <v>0</v>
      </c>
      <c r="K71" s="112">
        <v>0</v>
      </c>
      <c r="L71" s="112">
        <v>0</v>
      </c>
      <c r="M71" s="112">
        <v>0</v>
      </c>
      <c r="N71" s="112">
        <v>0</v>
      </c>
    </row>
    <row r="72" spans="1:14" ht="13.25" customHeight="1">
      <c r="A72" s="67" t="s">
        <v>31</v>
      </c>
      <c r="B72" s="112">
        <v>12.686453621744029</v>
      </c>
      <c r="C72" s="112">
        <v>9.0949227373068435</v>
      </c>
      <c r="D72" s="112">
        <v>13.642384105960264</v>
      </c>
      <c r="E72" s="112">
        <v>13.620309050772628</v>
      </c>
      <c r="F72" s="112">
        <v>13.752759381898453</v>
      </c>
      <c r="G72" s="112">
        <v>13.620309050772626</v>
      </c>
      <c r="H72" s="112">
        <v>13.68653421633554</v>
      </c>
      <c r="I72" s="112">
        <v>13.730684326710817</v>
      </c>
      <c r="J72" s="112">
        <v>13.708609271523176</v>
      </c>
      <c r="K72" s="112">
        <v>13.730684326710817</v>
      </c>
      <c r="L72" s="112">
        <v>13.752759381898455</v>
      </c>
      <c r="M72" s="112">
        <v>13.708609271523178</v>
      </c>
      <c r="N72" s="112">
        <v>13.730684326710815</v>
      </c>
    </row>
    <row r="73" spans="1:14" ht="13.25" customHeight="1">
      <c r="A73" s="67" t="s">
        <v>32</v>
      </c>
      <c r="B73" s="112">
        <v>13.503220907610405</v>
      </c>
      <c r="C73" s="112">
        <v>0</v>
      </c>
      <c r="D73" s="112">
        <v>0</v>
      </c>
      <c r="E73" s="112">
        <v>0</v>
      </c>
      <c r="F73" s="112">
        <v>0</v>
      </c>
      <c r="G73" s="112">
        <v>0</v>
      </c>
      <c r="H73" s="112">
        <v>0</v>
      </c>
      <c r="I73" s="112">
        <v>0</v>
      </c>
      <c r="J73" s="112">
        <v>0</v>
      </c>
      <c r="K73" s="112">
        <v>0</v>
      </c>
      <c r="L73" s="112">
        <v>12.913907284768213</v>
      </c>
      <c r="M73" s="112">
        <v>13.642384105960264</v>
      </c>
      <c r="N73" s="112">
        <v>13.620309050772624</v>
      </c>
    </row>
    <row r="74" spans="1:14" ht="13.25" customHeight="1">
      <c r="A74" s="67" t="s">
        <v>33</v>
      </c>
      <c r="B74" s="112">
        <v>15.311655857170331</v>
      </c>
      <c r="C74" s="112">
        <v>0</v>
      </c>
      <c r="D74" s="112">
        <v>0</v>
      </c>
      <c r="E74" s="112">
        <v>0</v>
      </c>
      <c r="F74" s="112">
        <v>0</v>
      </c>
      <c r="G74" s="112">
        <v>0</v>
      </c>
      <c r="H74" s="112">
        <v>0</v>
      </c>
      <c r="I74" s="112">
        <v>0</v>
      </c>
      <c r="J74" s="112">
        <v>0</v>
      </c>
      <c r="K74" s="112">
        <v>0</v>
      </c>
      <c r="L74" s="112">
        <v>15.540838852097126</v>
      </c>
      <c r="M74" s="112">
        <v>15.56291390728477</v>
      </c>
      <c r="N74" s="112">
        <v>11.147902869757173</v>
      </c>
    </row>
    <row r="75" spans="1:14" ht="13.25" customHeight="1">
      <c r="A75" s="67" t="s">
        <v>34</v>
      </c>
      <c r="B75" s="112">
        <v>15.782211655557033</v>
      </c>
      <c r="C75" s="112">
        <v>0</v>
      </c>
      <c r="D75" s="112">
        <v>15.783664459161146</v>
      </c>
      <c r="E75" s="112">
        <v>15.805739514348785</v>
      </c>
      <c r="F75" s="112">
        <v>15.78366445916115</v>
      </c>
      <c r="G75" s="112">
        <v>15.739514348785875</v>
      </c>
      <c r="H75" s="112">
        <v>15.78366445916115</v>
      </c>
      <c r="I75" s="112">
        <v>0</v>
      </c>
      <c r="J75" s="112">
        <v>0</v>
      </c>
      <c r="K75" s="112">
        <v>15.805739514348785</v>
      </c>
      <c r="L75" s="112">
        <v>15.827814569536423</v>
      </c>
      <c r="M75" s="112">
        <v>15.849889624724064</v>
      </c>
      <c r="N75" s="112">
        <v>15.83664459161148</v>
      </c>
    </row>
    <row r="76" spans="1:14" ht="13.25" customHeight="1">
      <c r="A76" s="67" t="s">
        <v>35</v>
      </c>
      <c r="B76" s="112">
        <v>17.02312124368456</v>
      </c>
      <c r="C76" s="112">
        <v>17.019867549668874</v>
      </c>
      <c r="D76" s="112">
        <v>16.997792494481235</v>
      </c>
      <c r="E76" s="112">
        <v>17.041942604856509</v>
      </c>
      <c r="F76" s="112">
        <v>0</v>
      </c>
      <c r="G76" s="112">
        <v>0</v>
      </c>
      <c r="H76" s="112">
        <v>0</v>
      </c>
      <c r="I76" s="112">
        <v>0</v>
      </c>
      <c r="J76" s="112">
        <v>0</v>
      </c>
      <c r="K76" s="112">
        <v>0</v>
      </c>
      <c r="L76" s="112">
        <v>0</v>
      </c>
      <c r="M76" s="112">
        <v>0</v>
      </c>
      <c r="N76" s="112">
        <v>17.041942604856512</v>
      </c>
    </row>
    <row r="77" spans="1:14" ht="13.25" customHeight="1">
      <c r="A77" s="67" t="s">
        <v>36</v>
      </c>
      <c r="B77" s="112">
        <v>15.060566608810296</v>
      </c>
      <c r="C77" s="112">
        <v>14.67991169977925</v>
      </c>
      <c r="D77" s="112">
        <v>15.011037527593817</v>
      </c>
      <c r="E77" s="112">
        <v>15.055187637969095</v>
      </c>
      <c r="F77" s="112">
        <v>15.099337748344368</v>
      </c>
      <c r="G77" s="112">
        <v>0</v>
      </c>
      <c r="H77" s="112">
        <v>0</v>
      </c>
      <c r="I77" s="112">
        <v>0</v>
      </c>
      <c r="J77" s="112">
        <v>15.121412803532007</v>
      </c>
      <c r="K77" s="112">
        <v>15.18763796909492</v>
      </c>
      <c r="L77" s="112">
        <v>15.121412803532007</v>
      </c>
      <c r="M77" s="112">
        <v>15.099337748344368</v>
      </c>
      <c r="N77" s="112">
        <v>14.856512141280353</v>
      </c>
    </row>
    <row r="78" spans="1:14" ht="13.25" customHeight="1">
      <c r="A78" s="67" t="s">
        <v>37</v>
      </c>
      <c r="B78" s="112">
        <v>15.429763390753056</v>
      </c>
      <c r="C78" s="112">
        <v>0</v>
      </c>
      <c r="D78" s="112">
        <v>0</v>
      </c>
      <c r="E78" s="112">
        <v>0</v>
      </c>
      <c r="F78" s="112">
        <v>0</v>
      </c>
      <c r="G78" s="112">
        <v>0</v>
      </c>
      <c r="H78" s="112">
        <v>0</v>
      </c>
      <c r="I78" s="112">
        <v>0</v>
      </c>
      <c r="J78" s="112">
        <v>0</v>
      </c>
      <c r="K78" s="112">
        <v>0</v>
      </c>
      <c r="L78" s="112">
        <v>15.894039735099337</v>
      </c>
      <c r="M78" s="112">
        <v>15.011037527593817</v>
      </c>
      <c r="N78" s="112">
        <v>0</v>
      </c>
    </row>
    <row r="79" spans="1:14" ht="13.25" customHeight="1">
      <c r="A79" s="67" t="s">
        <v>38</v>
      </c>
      <c r="B79" s="112">
        <v>13.004055454780735</v>
      </c>
      <c r="C79" s="112">
        <v>12.913907284768209</v>
      </c>
      <c r="D79" s="112">
        <v>12.935982339955851</v>
      </c>
      <c r="E79" s="112">
        <v>12.958057395143488</v>
      </c>
      <c r="F79" s="112">
        <v>13.024282560706403</v>
      </c>
      <c r="G79" s="112">
        <v>12.980132450331126</v>
      </c>
      <c r="H79" s="112">
        <v>13.024282560706402</v>
      </c>
      <c r="I79" s="112">
        <v>0</v>
      </c>
      <c r="J79" s="112">
        <v>13.046357615894038</v>
      </c>
      <c r="K79" s="112">
        <v>13.090507726269315</v>
      </c>
      <c r="L79" s="112">
        <v>13.134657836644591</v>
      </c>
      <c r="M79" s="112">
        <v>13.090507726269315</v>
      </c>
      <c r="N79" s="112">
        <v>13.068432671081675</v>
      </c>
    </row>
    <row r="80" spans="1:14" ht="13.25" customHeight="1">
      <c r="A80" s="67" t="s">
        <v>39</v>
      </c>
      <c r="B80" s="112">
        <v>12.553090088009814</v>
      </c>
      <c r="C80" s="112">
        <v>12.338858774977533</v>
      </c>
      <c r="D80" s="112">
        <v>12.397840876853147</v>
      </c>
      <c r="E80" s="112">
        <v>12.445889354488886</v>
      </c>
      <c r="F80" s="112">
        <v>12.43639210224635</v>
      </c>
      <c r="G80" s="112">
        <v>12.494481236203089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13.046357615894038</v>
      </c>
      <c r="N80" s="112">
        <v>13.024282560706403</v>
      </c>
    </row>
    <row r="81" spans="1:14" ht="13.25" customHeight="1">
      <c r="A81" s="67" t="s">
        <v>97</v>
      </c>
      <c r="B81" s="112">
        <v>12.595529379004882</v>
      </c>
      <c r="C81" s="112">
        <v>12.362030905077262</v>
      </c>
      <c r="D81" s="112">
        <v>12.406181015452537</v>
      </c>
      <c r="E81" s="112">
        <v>12.450331125827816</v>
      </c>
      <c r="F81" s="112">
        <v>12.428256070640174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13.046357615894038</v>
      </c>
      <c r="N81" s="112">
        <v>13.024282560706403</v>
      </c>
    </row>
    <row r="82" spans="1:14" ht="13.25" customHeight="1">
      <c r="A82" s="67" t="s">
        <v>98</v>
      </c>
      <c r="B82" s="112">
        <v>12.377227550640423</v>
      </c>
      <c r="C82" s="112">
        <v>12.317880794701988</v>
      </c>
      <c r="D82" s="112">
        <v>12.362030905077262</v>
      </c>
      <c r="E82" s="112">
        <v>12.428256070640176</v>
      </c>
      <c r="F82" s="112">
        <v>12.472406181015453</v>
      </c>
      <c r="G82" s="112">
        <v>12.494481236203089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13.25" customHeight="1">
      <c r="A83" s="67" t="s">
        <v>42</v>
      </c>
      <c r="B83" s="112">
        <v>14.4426319650981</v>
      </c>
      <c r="C83" s="112">
        <v>14.569536423841058</v>
      </c>
      <c r="D83" s="112">
        <v>14.525386313465786</v>
      </c>
      <c r="E83" s="112">
        <v>14.569536423841061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14.348785871964681</v>
      </c>
      <c r="N83" s="112">
        <v>14.392935982339955</v>
      </c>
    </row>
    <row r="84" spans="1:14" ht="13.25" customHeight="1">
      <c r="A84" s="67" t="s">
        <v>43</v>
      </c>
      <c r="B84" s="112">
        <v>14.678794355596526</v>
      </c>
      <c r="C84" s="112">
        <v>14.419072847682118</v>
      </c>
      <c r="D84" s="112">
        <v>14.470975717439295</v>
      </c>
      <c r="E84" s="112">
        <v>14.531055187637969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14.803249448123619</v>
      </c>
      <c r="N84" s="112">
        <v>14.826030905077262</v>
      </c>
    </row>
    <row r="85" spans="1:14" ht="13.25" customHeight="1">
      <c r="A85" s="67" t="s">
        <v>44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13.25" customHeight="1">
      <c r="A86" s="67" t="s">
        <v>45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13.25" customHeight="1">
      <c r="A87" s="67" t="s">
        <v>46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13.25" customHeight="1">
      <c r="A88" s="67" t="s">
        <v>47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13.25" customHeight="1">
      <c r="A89" s="67" t="s">
        <v>305</v>
      </c>
    </row>
    <row r="90" spans="1:14" ht="13.25" customHeight="1">
      <c r="A90" s="67" t="s">
        <v>304</v>
      </c>
    </row>
    <row r="91" spans="1:14" ht="13.25" customHeight="1">
      <c r="A91" s="67" t="s">
        <v>300</v>
      </c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Hoja112">
    <tabColor theme="9" tint="0.59999389629810485"/>
  </sheetPr>
  <dimension ref="A1:AA92"/>
  <sheetViews>
    <sheetView showGridLines="0" zoomScaleNormal="100" workbookViewId="0">
      <selection activeCell="G38" sqref="G38"/>
    </sheetView>
  </sheetViews>
  <sheetFormatPr baseColWidth="10" defaultColWidth="7" defaultRowHeight="13.25" customHeight="1"/>
  <cols>
    <col min="1" max="1" width="14" style="67" customWidth="1"/>
    <col min="2" max="2" width="9" style="67" customWidth="1"/>
    <col min="3" max="14" width="9.19921875" style="67" customWidth="1"/>
    <col min="15" max="16384" width="7" style="67"/>
  </cols>
  <sheetData>
    <row r="1" spans="1:27" ht="17" customHeight="1">
      <c r="A1" s="381" t="s">
        <v>536</v>
      </c>
      <c r="B1" s="381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</row>
    <row r="2" spans="1:27" ht="13.25" customHeight="1">
      <c r="A2" s="402" t="s">
        <v>329</v>
      </c>
      <c r="B2" s="226"/>
      <c r="C2" s="101"/>
      <c r="D2" s="101"/>
      <c r="E2" s="101"/>
      <c r="F2" s="101"/>
      <c r="G2" s="104"/>
      <c r="H2" s="103"/>
      <c r="I2" s="101"/>
      <c r="J2" s="101"/>
      <c r="K2" s="101"/>
      <c r="L2" s="101"/>
      <c r="M2" s="101"/>
      <c r="N2" s="101"/>
    </row>
    <row r="3" spans="1:27" ht="6" customHeight="1" thickBot="1">
      <c r="A3" s="104"/>
      <c r="B3" s="105"/>
      <c r="C3" s="106"/>
      <c r="D3" s="105"/>
      <c r="E3" s="105"/>
      <c r="F3" s="105"/>
      <c r="G3" s="105"/>
      <c r="H3" s="105"/>
      <c r="I3" s="105"/>
      <c r="J3" s="103"/>
      <c r="K3" s="103"/>
      <c r="L3" s="103"/>
      <c r="M3" s="103"/>
      <c r="N3" s="103"/>
    </row>
    <row r="4" spans="1:27" ht="18" customHeight="1">
      <c r="A4" s="732" t="s">
        <v>16</v>
      </c>
      <c r="B4" s="732" t="s">
        <v>52</v>
      </c>
      <c r="C4" s="732" t="s">
        <v>53</v>
      </c>
      <c r="D4" s="732" t="s">
        <v>54</v>
      </c>
      <c r="E4" s="732" t="s">
        <v>55</v>
      </c>
      <c r="F4" s="732" t="s">
        <v>56</v>
      </c>
      <c r="G4" s="732" t="s">
        <v>57</v>
      </c>
      <c r="H4" s="732" t="s">
        <v>58</v>
      </c>
      <c r="I4" s="732" t="s">
        <v>59</v>
      </c>
      <c r="J4" s="732" t="s">
        <v>60</v>
      </c>
      <c r="K4" s="732" t="s">
        <v>61</v>
      </c>
      <c r="L4" s="732" t="s">
        <v>62</v>
      </c>
      <c r="M4" s="732" t="s">
        <v>63</v>
      </c>
      <c r="N4" s="732" t="s">
        <v>64</v>
      </c>
    </row>
    <row r="5" spans="1:27" ht="18" customHeight="1">
      <c r="A5" s="693" t="s">
        <v>100</v>
      </c>
      <c r="B5" s="912">
        <v>6.6147688046628588</v>
      </c>
      <c r="C5" s="695">
        <v>6.5549889017770768</v>
      </c>
      <c r="D5" s="695">
        <v>6.4349293408582806</v>
      </c>
      <c r="E5" s="695">
        <v>6.5291166371568057</v>
      </c>
      <c r="F5" s="695">
        <v>6.0301254604422363</v>
      </c>
      <c r="G5" s="695">
        <v>6.3845284342348396</v>
      </c>
      <c r="H5" s="695">
        <v>6.7607697207018234</v>
      </c>
      <c r="I5" s="695">
        <v>6.4591611479028694</v>
      </c>
      <c r="J5" s="694">
        <v>0</v>
      </c>
      <c r="K5" s="694">
        <v>6.9495583847275437</v>
      </c>
      <c r="L5" s="695">
        <v>6.9718328846118576</v>
      </c>
      <c r="M5" s="695">
        <v>6.6442271388964196</v>
      </c>
      <c r="N5" s="695">
        <v>6.7308860044715608</v>
      </c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</row>
    <row r="6" spans="1:27" ht="16" customHeight="1">
      <c r="A6" s="67" t="s">
        <v>19</v>
      </c>
      <c r="B6" s="913">
        <v>0</v>
      </c>
      <c r="C6" s="374">
        <v>0</v>
      </c>
      <c r="D6" s="374">
        <v>0</v>
      </c>
      <c r="E6" s="374">
        <v>0</v>
      </c>
      <c r="F6" s="374">
        <v>0</v>
      </c>
      <c r="G6" s="374">
        <v>0</v>
      </c>
      <c r="H6" s="374">
        <v>0</v>
      </c>
      <c r="I6" s="374">
        <v>0</v>
      </c>
      <c r="J6" s="374">
        <v>0</v>
      </c>
      <c r="K6" s="374">
        <v>0</v>
      </c>
      <c r="L6" s="374">
        <v>0</v>
      </c>
      <c r="M6" s="374">
        <v>0</v>
      </c>
      <c r="N6" s="374">
        <v>0</v>
      </c>
      <c r="O6" s="10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</row>
    <row r="7" spans="1:27" ht="16" customHeight="1">
      <c r="A7" s="67" t="s">
        <v>20</v>
      </c>
      <c r="B7" s="913">
        <v>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</row>
    <row r="8" spans="1:27" ht="16" customHeight="1">
      <c r="A8" s="67" t="s">
        <v>21</v>
      </c>
      <c r="B8" s="913">
        <v>0</v>
      </c>
      <c r="C8" s="374">
        <v>0</v>
      </c>
      <c r="D8" s="374">
        <v>0</v>
      </c>
      <c r="E8" s="374">
        <v>0</v>
      </c>
      <c r="F8" s="374">
        <v>0</v>
      </c>
      <c r="G8" s="374">
        <v>0</v>
      </c>
      <c r="H8" s="374">
        <v>0</v>
      </c>
      <c r="I8" s="374">
        <v>0</v>
      </c>
      <c r="J8" s="374">
        <v>0</v>
      </c>
      <c r="K8" s="374">
        <v>0</v>
      </c>
      <c r="L8" s="374">
        <v>0</v>
      </c>
      <c r="M8" s="374">
        <v>0</v>
      </c>
      <c r="N8" s="374">
        <v>0</v>
      </c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</row>
    <row r="9" spans="1:27" ht="16" customHeight="1">
      <c r="A9" s="67" t="s">
        <v>22</v>
      </c>
      <c r="B9" s="913">
        <v>0</v>
      </c>
      <c r="C9" s="374">
        <v>0</v>
      </c>
      <c r="D9" s="374">
        <v>0</v>
      </c>
      <c r="E9" s="374">
        <v>0</v>
      </c>
      <c r="F9" s="374">
        <v>0</v>
      </c>
      <c r="G9" s="374">
        <v>0</v>
      </c>
      <c r="H9" s="374">
        <v>0</v>
      </c>
      <c r="I9" s="374">
        <v>0</v>
      </c>
      <c r="J9" s="374">
        <v>0</v>
      </c>
      <c r="K9" s="374">
        <v>0</v>
      </c>
      <c r="L9" s="374">
        <v>0</v>
      </c>
      <c r="M9" s="374">
        <v>0</v>
      </c>
      <c r="N9" s="374">
        <v>0</v>
      </c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</row>
    <row r="10" spans="1:27" ht="16" customHeight="1">
      <c r="A10" s="67" t="s">
        <v>23</v>
      </c>
      <c r="B10" s="913">
        <v>0</v>
      </c>
      <c r="C10" s="374">
        <v>0</v>
      </c>
      <c r="D10" s="374">
        <v>0</v>
      </c>
      <c r="E10" s="374">
        <v>0</v>
      </c>
      <c r="F10" s="374">
        <v>0</v>
      </c>
      <c r="G10" s="374">
        <v>0</v>
      </c>
      <c r="H10" s="374">
        <v>0</v>
      </c>
      <c r="I10" s="374">
        <v>0</v>
      </c>
      <c r="J10" s="374">
        <v>0</v>
      </c>
      <c r="K10" s="374">
        <v>0</v>
      </c>
      <c r="L10" s="374">
        <v>0</v>
      </c>
      <c r="M10" s="374">
        <v>0</v>
      </c>
      <c r="N10" s="374">
        <v>0</v>
      </c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</row>
    <row r="11" spans="1:27" ht="16" customHeight="1">
      <c r="A11" s="67" t="s">
        <v>94</v>
      </c>
      <c r="B11" s="913">
        <v>0</v>
      </c>
      <c r="C11" s="374">
        <v>0</v>
      </c>
      <c r="D11" s="374">
        <v>0</v>
      </c>
      <c r="E11" s="374">
        <v>0</v>
      </c>
      <c r="F11" s="374">
        <v>0</v>
      </c>
      <c r="G11" s="374">
        <v>0</v>
      </c>
      <c r="H11" s="374">
        <v>0</v>
      </c>
      <c r="I11" s="374">
        <v>0</v>
      </c>
      <c r="J11" s="374">
        <v>0</v>
      </c>
      <c r="K11" s="374">
        <v>0</v>
      </c>
      <c r="L11" s="374">
        <v>0</v>
      </c>
      <c r="M11" s="374">
        <v>0</v>
      </c>
      <c r="N11" s="374">
        <v>0</v>
      </c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</row>
    <row r="12" spans="1:27" ht="16" customHeight="1">
      <c r="A12" s="67" t="s">
        <v>95</v>
      </c>
      <c r="B12" s="913">
        <v>0</v>
      </c>
      <c r="C12" s="374">
        <v>0</v>
      </c>
      <c r="D12" s="374">
        <v>0</v>
      </c>
      <c r="E12" s="374">
        <v>0</v>
      </c>
      <c r="F12" s="374">
        <v>0</v>
      </c>
      <c r="G12" s="374">
        <v>0</v>
      </c>
      <c r="H12" s="374">
        <v>0</v>
      </c>
      <c r="I12" s="374">
        <v>0</v>
      </c>
      <c r="J12" s="374">
        <v>0</v>
      </c>
      <c r="K12" s="374">
        <v>0</v>
      </c>
      <c r="L12" s="374">
        <v>0</v>
      </c>
      <c r="M12" s="374">
        <v>0</v>
      </c>
      <c r="N12" s="374">
        <v>0</v>
      </c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</row>
    <row r="13" spans="1:27" ht="16" customHeight="1">
      <c r="A13" s="67" t="s">
        <v>124</v>
      </c>
      <c r="B13" s="913">
        <v>0</v>
      </c>
      <c r="C13" s="374">
        <v>0</v>
      </c>
      <c r="D13" s="374">
        <v>0</v>
      </c>
      <c r="E13" s="374">
        <v>0</v>
      </c>
      <c r="F13" s="374">
        <v>0</v>
      </c>
      <c r="G13" s="374">
        <v>0</v>
      </c>
      <c r="H13" s="374">
        <v>0</v>
      </c>
      <c r="I13" s="374">
        <v>0</v>
      </c>
      <c r="J13" s="374">
        <v>0</v>
      </c>
      <c r="K13" s="374">
        <v>0</v>
      </c>
      <c r="L13" s="374">
        <v>0</v>
      </c>
      <c r="M13" s="374">
        <v>0</v>
      </c>
      <c r="N13" s="374">
        <v>0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</row>
    <row r="14" spans="1:27" ht="16" customHeight="1">
      <c r="A14" s="67" t="s">
        <v>27</v>
      </c>
      <c r="B14" s="913">
        <v>0</v>
      </c>
      <c r="C14" s="374">
        <v>0</v>
      </c>
      <c r="D14" s="374">
        <v>0</v>
      </c>
      <c r="E14" s="374">
        <v>0</v>
      </c>
      <c r="F14" s="374">
        <v>0</v>
      </c>
      <c r="G14" s="374">
        <v>0</v>
      </c>
      <c r="H14" s="374">
        <v>0</v>
      </c>
      <c r="I14" s="374">
        <v>0</v>
      </c>
      <c r="J14" s="374">
        <v>0</v>
      </c>
      <c r="K14" s="374">
        <v>0</v>
      </c>
      <c r="L14" s="374">
        <v>0</v>
      </c>
      <c r="M14" s="374">
        <v>0</v>
      </c>
      <c r="N14" s="374">
        <v>0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</row>
    <row r="15" spans="1:27" ht="16" customHeight="1">
      <c r="A15" s="67" t="s">
        <v>28</v>
      </c>
      <c r="B15" s="913">
        <v>0</v>
      </c>
      <c r="C15" s="374">
        <v>0</v>
      </c>
      <c r="D15" s="374">
        <v>0</v>
      </c>
      <c r="E15" s="374">
        <v>0</v>
      </c>
      <c r="F15" s="374">
        <v>0</v>
      </c>
      <c r="G15" s="374">
        <v>0</v>
      </c>
      <c r="H15" s="374">
        <v>0</v>
      </c>
      <c r="I15" s="374">
        <v>0</v>
      </c>
      <c r="J15" s="374">
        <v>0</v>
      </c>
      <c r="K15" s="374">
        <v>0</v>
      </c>
      <c r="L15" s="374">
        <v>0</v>
      </c>
      <c r="M15" s="374">
        <v>0</v>
      </c>
      <c r="N15" s="374">
        <v>0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</row>
    <row r="16" spans="1:27" ht="16" customHeight="1">
      <c r="A16" s="67" t="s">
        <v>29</v>
      </c>
      <c r="B16" s="913">
        <v>6.5049607913467877</v>
      </c>
      <c r="C16" s="374">
        <v>0</v>
      </c>
      <c r="D16" s="374">
        <v>0</v>
      </c>
      <c r="E16" s="374">
        <v>6.4900662251655632</v>
      </c>
      <c r="F16" s="374">
        <v>6.5121412803532017</v>
      </c>
      <c r="G16" s="374">
        <v>6.5430463576158937</v>
      </c>
      <c r="H16" s="374">
        <v>6.4768211920529808</v>
      </c>
      <c r="I16" s="374">
        <v>3.6776381815612362E-7</v>
      </c>
      <c r="J16" s="374">
        <v>0</v>
      </c>
      <c r="K16" s="374">
        <v>0</v>
      </c>
      <c r="L16" s="374">
        <v>0</v>
      </c>
      <c r="M16" s="374">
        <v>0</v>
      </c>
      <c r="N16" s="374">
        <v>0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</row>
    <row r="17" spans="1:27" ht="16" customHeight="1">
      <c r="A17" s="67" t="s">
        <v>30</v>
      </c>
      <c r="B17" s="913">
        <v>0</v>
      </c>
      <c r="C17" s="374">
        <v>0</v>
      </c>
      <c r="D17" s="374">
        <v>0</v>
      </c>
      <c r="E17" s="374">
        <v>0</v>
      </c>
      <c r="F17" s="374">
        <v>0</v>
      </c>
      <c r="G17" s="374">
        <v>0</v>
      </c>
      <c r="H17" s="374">
        <v>0</v>
      </c>
      <c r="I17" s="374">
        <v>0</v>
      </c>
      <c r="J17" s="374">
        <v>0</v>
      </c>
      <c r="K17" s="374">
        <v>0</v>
      </c>
      <c r="L17" s="374">
        <v>0</v>
      </c>
      <c r="M17" s="374">
        <v>0</v>
      </c>
      <c r="N17" s="374">
        <v>0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</row>
    <row r="18" spans="1:27" ht="16" customHeight="1">
      <c r="A18" s="67" t="s">
        <v>31</v>
      </c>
      <c r="B18" s="913">
        <v>0</v>
      </c>
      <c r="C18" s="374">
        <v>0</v>
      </c>
      <c r="D18" s="374">
        <v>0</v>
      </c>
      <c r="E18" s="374">
        <v>0</v>
      </c>
      <c r="F18" s="374">
        <v>0</v>
      </c>
      <c r="G18" s="374">
        <v>0</v>
      </c>
      <c r="H18" s="374">
        <v>0</v>
      </c>
      <c r="I18" s="374">
        <v>0</v>
      </c>
      <c r="J18" s="374">
        <v>0</v>
      </c>
      <c r="K18" s="374">
        <v>0</v>
      </c>
      <c r="L18" s="374">
        <v>0</v>
      </c>
      <c r="M18" s="374">
        <v>0</v>
      </c>
      <c r="N18" s="374">
        <v>0</v>
      </c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</row>
    <row r="19" spans="1:27" ht="16" customHeight="1">
      <c r="A19" s="67" t="s">
        <v>32</v>
      </c>
      <c r="B19" s="913">
        <v>7.088992310433321</v>
      </c>
      <c r="C19" s="374">
        <v>0</v>
      </c>
      <c r="D19" s="374">
        <v>0</v>
      </c>
      <c r="E19" s="374">
        <v>0</v>
      </c>
      <c r="F19" s="374">
        <v>0</v>
      </c>
      <c r="G19" s="374">
        <v>0</v>
      </c>
      <c r="H19" s="374">
        <v>0</v>
      </c>
      <c r="I19" s="374">
        <v>0</v>
      </c>
      <c r="J19" s="374">
        <v>0</v>
      </c>
      <c r="K19" s="374">
        <v>0</v>
      </c>
      <c r="L19" s="374">
        <v>7.0640176600441498</v>
      </c>
      <c r="M19" s="374">
        <v>7.0905077262693155</v>
      </c>
      <c r="N19" s="374">
        <v>7.0949227373068435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</row>
    <row r="20" spans="1:27" ht="16" customHeight="1">
      <c r="A20" s="67" t="s">
        <v>33</v>
      </c>
      <c r="B20" s="913">
        <v>6.9889565290781936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6.960264900662251</v>
      </c>
      <c r="L20" s="374">
        <v>6.9757174392935983</v>
      </c>
      <c r="M20" s="374">
        <v>7.0022075055187649</v>
      </c>
      <c r="N20" s="374">
        <v>7.0198675496688754</v>
      </c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</row>
    <row r="21" spans="1:27" ht="16" customHeight="1">
      <c r="A21" s="67" t="s">
        <v>34</v>
      </c>
      <c r="B21" s="913">
        <v>6.9195439320127443</v>
      </c>
      <c r="C21" s="374">
        <v>0</v>
      </c>
      <c r="D21" s="374">
        <v>6.9139072847682117</v>
      </c>
      <c r="E21" s="374">
        <v>6.9359823399558493</v>
      </c>
      <c r="F21" s="374">
        <v>6.9359823399558502</v>
      </c>
      <c r="G21" s="374">
        <v>6.9403973509933765</v>
      </c>
      <c r="H21" s="374">
        <v>6.9094922737306836</v>
      </c>
      <c r="I21" s="374">
        <v>0</v>
      </c>
      <c r="J21" s="374">
        <v>0</v>
      </c>
      <c r="K21" s="374">
        <v>0</v>
      </c>
      <c r="L21" s="374">
        <v>0</v>
      </c>
      <c r="M21" s="374">
        <v>6.9381898454746143</v>
      </c>
      <c r="N21" s="374">
        <v>6.9381898454746134</v>
      </c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</row>
    <row r="22" spans="1:27" ht="16" customHeight="1">
      <c r="A22" s="67" t="s">
        <v>35</v>
      </c>
      <c r="B22" s="913">
        <v>7.24221638873997</v>
      </c>
      <c r="C22" s="374">
        <v>7.1743929359823397</v>
      </c>
      <c r="D22" s="374">
        <v>7.2185430463576159</v>
      </c>
      <c r="E22" s="374">
        <v>7.2626931567328921</v>
      </c>
      <c r="F22" s="374">
        <v>0</v>
      </c>
      <c r="G22" s="374">
        <v>0</v>
      </c>
      <c r="H22" s="374">
        <v>0</v>
      </c>
      <c r="I22" s="374">
        <v>0</v>
      </c>
      <c r="J22" s="374">
        <v>0</v>
      </c>
      <c r="K22" s="374">
        <v>0</v>
      </c>
      <c r="L22" s="374">
        <v>0</v>
      </c>
      <c r="M22" s="374">
        <v>0</v>
      </c>
      <c r="N22" s="374">
        <v>7.3311258278145699</v>
      </c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</row>
    <row r="23" spans="1:27" ht="16" customHeight="1">
      <c r="A23" s="67" t="s">
        <v>36</v>
      </c>
      <c r="B23" s="913">
        <v>6.7337346585946793</v>
      </c>
      <c r="C23" s="374">
        <v>0</v>
      </c>
      <c r="D23" s="374">
        <v>0</v>
      </c>
      <c r="E23" s="374">
        <v>0</v>
      </c>
      <c r="F23" s="374">
        <v>0</v>
      </c>
      <c r="G23" s="374">
        <v>0</v>
      </c>
      <c r="H23" s="374">
        <v>0</v>
      </c>
      <c r="I23" s="374">
        <v>0</v>
      </c>
      <c r="J23" s="374">
        <v>0</v>
      </c>
      <c r="K23" s="374">
        <v>6.7152317880794694</v>
      </c>
      <c r="L23" s="374">
        <v>6.7196467991169975</v>
      </c>
      <c r="M23" s="374">
        <v>6.7328918322295808</v>
      </c>
      <c r="N23" s="374">
        <v>6.741721854304636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</row>
    <row r="24" spans="1:27" ht="16" customHeight="1">
      <c r="A24" s="67" t="s">
        <v>37</v>
      </c>
      <c r="B24" s="913">
        <v>0</v>
      </c>
      <c r="C24" s="374">
        <v>0</v>
      </c>
      <c r="D24" s="374">
        <v>0</v>
      </c>
      <c r="E24" s="374">
        <v>0</v>
      </c>
      <c r="F24" s="374">
        <v>0</v>
      </c>
      <c r="G24" s="374">
        <v>0</v>
      </c>
      <c r="H24" s="374">
        <v>0</v>
      </c>
      <c r="I24" s="374">
        <v>0</v>
      </c>
      <c r="J24" s="374">
        <v>0</v>
      </c>
      <c r="K24" s="374">
        <v>0</v>
      </c>
      <c r="L24" s="374">
        <v>0</v>
      </c>
      <c r="M24" s="374">
        <v>0</v>
      </c>
      <c r="N24" s="374">
        <v>0</v>
      </c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</row>
    <row r="25" spans="1:27" ht="16" customHeight="1">
      <c r="A25" s="67" t="s">
        <v>38</v>
      </c>
      <c r="B25" s="913">
        <v>6.1822895340082864</v>
      </c>
      <c r="C25" s="374">
        <v>0</v>
      </c>
      <c r="D25" s="374">
        <v>0</v>
      </c>
      <c r="E25" s="374">
        <v>6.1368653421633539</v>
      </c>
      <c r="F25" s="374">
        <v>6.1832229580573959</v>
      </c>
      <c r="G25" s="374">
        <v>6.2052980132450317</v>
      </c>
      <c r="H25" s="374">
        <v>6.14569536423841</v>
      </c>
      <c r="I25" s="374">
        <v>0</v>
      </c>
      <c r="J25" s="374">
        <v>0</v>
      </c>
      <c r="K25" s="374">
        <v>0</v>
      </c>
      <c r="L25" s="374">
        <v>0</v>
      </c>
      <c r="M25" s="374">
        <v>0</v>
      </c>
      <c r="N25" s="374">
        <v>6.1655629139072854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</row>
    <row r="26" spans="1:27" ht="16" customHeight="1">
      <c r="A26" s="67" t="s">
        <v>39</v>
      </c>
      <c r="B26" s="913">
        <v>5.8576693943210492</v>
      </c>
      <c r="C26" s="374">
        <v>5.8153469674806582</v>
      </c>
      <c r="D26" s="374">
        <v>5.8341861035531135</v>
      </c>
      <c r="E26" s="374">
        <v>5.8582999563786329</v>
      </c>
      <c r="F26" s="374">
        <v>5.8791405293904253</v>
      </c>
      <c r="G26" s="374">
        <v>5.904547758287011</v>
      </c>
      <c r="H26" s="374">
        <v>0</v>
      </c>
      <c r="I26" s="374">
        <v>0</v>
      </c>
      <c r="J26" s="374">
        <v>0</v>
      </c>
      <c r="K26" s="374">
        <v>0</v>
      </c>
      <c r="L26" s="374">
        <v>0</v>
      </c>
      <c r="M26" s="374">
        <v>5.9249448123620327</v>
      </c>
      <c r="N26" s="374">
        <v>5.9823399558498895</v>
      </c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</row>
    <row r="27" spans="1:27" ht="16" customHeight="1">
      <c r="A27" s="67" t="s">
        <v>97</v>
      </c>
      <c r="B27" s="913">
        <v>5.8620710745478375</v>
      </c>
      <c r="C27" s="374">
        <v>5.7748344370860929</v>
      </c>
      <c r="D27" s="374">
        <v>5.814569536423841</v>
      </c>
      <c r="E27" s="374">
        <v>5.849889624724061</v>
      </c>
      <c r="F27" s="374">
        <v>5.8785871964679908</v>
      </c>
      <c r="G27" s="374">
        <v>5.9161147902869757</v>
      </c>
      <c r="H27" s="374">
        <v>0</v>
      </c>
      <c r="I27" s="374">
        <v>0</v>
      </c>
      <c r="J27" s="374">
        <v>0</v>
      </c>
      <c r="K27" s="374">
        <v>0</v>
      </c>
      <c r="L27" s="374">
        <v>0</v>
      </c>
      <c r="M27" s="374">
        <v>5.9249448123620327</v>
      </c>
      <c r="N27" s="374">
        <v>5.9823399558498895</v>
      </c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</row>
    <row r="28" spans="1:27" ht="16" customHeight="1">
      <c r="A28" s="67" t="s">
        <v>98</v>
      </c>
      <c r="B28" s="913">
        <v>5.850752397351684</v>
      </c>
      <c r="C28" s="374">
        <v>5.8278145695364243</v>
      </c>
      <c r="D28" s="374">
        <v>5.8565121412803531</v>
      </c>
      <c r="E28" s="374">
        <v>5.8719646799116996</v>
      </c>
      <c r="F28" s="374">
        <v>5.8852097130242829</v>
      </c>
      <c r="G28" s="374">
        <v>5.9006622516556284</v>
      </c>
      <c r="H28" s="374">
        <v>0</v>
      </c>
      <c r="I28" s="374">
        <v>0</v>
      </c>
      <c r="J28" s="374">
        <v>0</v>
      </c>
      <c r="K28" s="374">
        <v>0</v>
      </c>
      <c r="L28" s="374">
        <v>0</v>
      </c>
      <c r="M28" s="374">
        <v>0</v>
      </c>
      <c r="N28" s="374">
        <v>0</v>
      </c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</row>
    <row r="29" spans="1:27" ht="16" customHeight="1">
      <c r="A29" s="67" t="s">
        <v>42</v>
      </c>
      <c r="B29" s="913">
        <v>6.5398290473014988</v>
      </c>
      <c r="C29" s="374">
        <v>6.4900662251655614</v>
      </c>
      <c r="D29" s="374">
        <v>6.5364238410596025</v>
      </c>
      <c r="E29" s="374">
        <v>6.5629139072847673</v>
      </c>
      <c r="F29" s="374">
        <v>0</v>
      </c>
      <c r="G29" s="374">
        <v>0</v>
      </c>
      <c r="H29" s="374">
        <v>0</v>
      </c>
      <c r="I29" s="374">
        <v>0</v>
      </c>
      <c r="J29" s="374">
        <v>0</v>
      </c>
      <c r="K29" s="374">
        <v>0</v>
      </c>
      <c r="L29" s="374">
        <v>0</v>
      </c>
      <c r="M29" s="374">
        <v>6.6445916114790293</v>
      </c>
      <c r="N29" s="374">
        <v>6.6490066225165556</v>
      </c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</row>
    <row r="30" spans="1:27" ht="16" customHeight="1">
      <c r="A30" s="67" t="s">
        <v>43</v>
      </c>
      <c r="B30" s="913">
        <v>6.5089043093014434</v>
      </c>
      <c r="C30" s="374">
        <v>0</v>
      </c>
      <c r="D30" s="374">
        <v>6.3818984547461373</v>
      </c>
      <c r="E30" s="374">
        <v>6.445916114790287</v>
      </c>
      <c r="F30" s="374">
        <v>0</v>
      </c>
      <c r="G30" s="374">
        <v>0</v>
      </c>
      <c r="H30" s="374">
        <v>0</v>
      </c>
      <c r="I30" s="374">
        <v>0</v>
      </c>
      <c r="J30" s="374">
        <v>0</v>
      </c>
      <c r="K30" s="374">
        <v>0</v>
      </c>
      <c r="L30" s="374">
        <v>0</v>
      </c>
      <c r="M30" s="374">
        <v>6.5629139072847673</v>
      </c>
      <c r="N30" s="374">
        <v>6.5673289183222954</v>
      </c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</row>
    <row r="31" spans="1:27" ht="16" customHeight="1">
      <c r="A31" s="67" t="s">
        <v>44</v>
      </c>
      <c r="B31" s="913">
        <v>0</v>
      </c>
      <c r="C31" s="374">
        <v>0</v>
      </c>
      <c r="D31" s="374">
        <v>0</v>
      </c>
      <c r="E31" s="374">
        <v>0</v>
      </c>
      <c r="F31" s="374">
        <v>0</v>
      </c>
      <c r="G31" s="374">
        <v>0</v>
      </c>
      <c r="H31" s="374">
        <v>0</v>
      </c>
      <c r="I31" s="374">
        <v>0</v>
      </c>
      <c r="J31" s="374">
        <v>0</v>
      </c>
      <c r="K31" s="374">
        <v>0</v>
      </c>
      <c r="L31" s="374">
        <v>0</v>
      </c>
      <c r="M31" s="374">
        <v>0</v>
      </c>
      <c r="N31" s="374">
        <v>0</v>
      </c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</row>
    <row r="32" spans="1:27" ht="16" customHeight="1">
      <c r="A32" s="67" t="s">
        <v>45</v>
      </c>
      <c r="B32" s="913">
        <v>0</v>
      </c>
      <c r="C32" s="374">
        <v>0</v>
      </c>
      <c r="D32" s="374">
        <v>0</v>
      </c>
      <c r="E32" s="374">
        <v>0</v>
      </c>
      <c r="F32" s="374">
        <v>0</v>
      </c>
      <c r="G32" s="374">
        <v>0</v>
      </c>
      <c r="H32" s="374">
        <v>0</v>
      </c>
      <c r="I32" s="374">
        <v>0</v>
      </c>
      <c r="J32" s="374">
        <v>0</v>
      </c>
      <c r="K32" s="374">
        <v>0</v>
      </c>
      <c r="L32" s="374">
        <v>0</v>
      </c>
      <c r="M32" s="374">
        <v>0</v>
      </c>
      <c r="N32" s="374">
        <v>0</v>
      </c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</row>
    <row r="33" spans="1:27" ht="16" customHeight="1">
      <c r="A33" s="67" t="s">
        <v>46</v>
      </c>
      <c r="B33" s="913">
        <v>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</row>
    <row r="34" spans="1:27" ht="16" customHeight="1" thickBot="1">
      <c r="A34" s="113" t="s">
        <v>47</v>
      </c>
      <c r="B34" s="914">
        <v>0</v>
      </c>
      <c r="C34" s="375">
        <v>0</v>
      </c>
      <c r="D34" s="375">
        <v>0</v>
      </c>
      <c r="E34" s="375">
        <v>0</v>
      </c>
      <c r="F34" s="375">
        <v>0</v>
      </c>
      <c r="G34" s="375">
        <v>0</v>
      </c>
      <c r="H34" s="375">
        <v>0</v>
      </c>
      <c r="I34" s="375">
        <v>0</v>
      </c>
      <c r="J34" s="375">
        <v>0</v>
      </c>
      <c r="K34" s="375">
        <v>0</v>
      </c>
      <c r="L34" s="375">
        <v>0</v>
      </c>
      <c r="M34" s="375">
        <v>0</v>
      </c>
      <c r="N34" s="375">
        <v>0</v>
      </c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</row>
    <row r="35" spans="1:27" ht="9" customHeight="1">
      <c r="A35" s="449" t="s">
        <v>330</v>
      </c>
      <c r="B35" s="520"/>
      <c r="C35" s="521"/>
      <c r="D35" s="521"/>
      <c r="E35" s="379"/>
      <c r="F35" s="379"/>
      <c r="G35" s="379"/>
      <c r="H35" s="379"/>
      <c r="I35" s="379"/>
      <c r="J35" s="379"/>
      <c r="K35" s="379"/>
      <c r="L35" s="379"/>
      <c r="M35" s="379"/>
      <c r="N35" s="379"/>
    </row>
    <row r="36" spans="1:27" ht="9" customHeight="1">
      <c r="A36" s="449" t="s">
        <v>304</v>
      </c>
      <c r="B36" s="521"/>
      <c r="C36" s="521"/>
      <c r="D36" s="521"/>
      <c r="E36" s="379"/>
      <c r="F36" s="379"/>
      <c r="G36" s="379"/>
      <c r="H36" s="379"/>
      <c r="I36" s="379"/>
      <c r="J36" s="379"/>
      <c r="K36" s="379"/>
      <c r="L36" s="379"/>
      <c r="M36" s="379"/>
      <c r="N36" s="379"/>
    </row>
    <row r="37" spans="1:27" ht="9" customHeight="1">
      <c r="A37" s="451" t="s">
        <v>303</v>
      </c>
      <c r="B37" s="464"/>
      <c r="C37" s="464"/>
      <c r="D37" s="464"/>
      <c r="E37" s="173"/>
      <c r="F37" s="173"/>
      <c r="G37" s="173"/>
      <c r="H37" s="173"/>
      <c r="I37" s="173"/>
      <c r="J37" s="173"/>
      <c r="K37" s="173"/>
      <c r="L37" s="173"/>
      <c r="M37" s="173"/>
      <c r="N37" s="173"/>
    </row>
    <row r="38" spans="1:27" ht="13.25" customHeight="1">
      <c r="A38" s="522"/>
      <c r="B38" s="464"/>
      <c r="C38" s="464"/>
      <c r="D38" s="464"/>
    </row>
    <row r="39" spans="1:27" ht="13.25" customHeight="1">
      <c r="A39" s="22"/>
    </row>
    <row r="55" spans="1:14" ht="13.25" customHeight="1">
      <c r="A55" s="75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 ht="13.25" customHeight="1">
      <c r="A56" s="75"/>
      <c r="B56" s="101"/>
      <c r="C56" s="101"/>
      <c r="D56" s="101"/>
      <c r="E56" s="101"/>
      <c r="F56" s="101"/>
      <c r="G56" s="104"/>
      <c r="H56" s="103"/>
      <c r="I56" s="101"/>
      <c r="J56" s="101"/>
      <c r="K56" s="101"/>
      <c r="L56" s="101"/>
      <c r="M56" s="101"/>
      <c r="N56" s="101"/>
    </row>
    <row r="57" spans="1:14" ht="13.25" customHeight="1" thickBot="1">
      <c r="A57" s="104"/>
      <c r="B57" s="105"/>
      <c r="C57" s="106"/>
      <c r="D57" s="105"/>
      <c r="E57" s="105"/>
      <c r="F57" s="105"/>
      <c r="G57" s="105"/>
      <c r="H57" s="105"/>
      <c r="I57" s="105"/>
      <c r="J57" s="103"/>
      <c r="K57" s="103"/>
      <c r="L57" s="103"/>
      <c r="M57" s="103"/>
      <c r="N57" s="103"/>
    </row>
    <row r="58" spans="1:14" ht="13.25" customHeight="1">
      <c r="A58" s="107"/>
      <c r="B58" s="69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</row>
    <row r="59" spans="1:14" ht="13.25" customHeight="1">
      <c r="A59" s="109"/>
      <c r="B59" s="110"/>
      <c r="C59" s="110"/>
      <c r="D59" s="110"/>
      <c r="E59" s="110"/>
      <c r="F59" s="110"/>
      <c r="G59" s="110"/>
      <c r="H59" s="110"/>
      <c r="I59" s="110"/>
      <c r="J59" s="116"/>
      <c r="K59" s="116"/>
      <c r="L59" s="110"/>
      <c r="M59" s="110"/>
      <c r="N59" s="110"/>
    </row>
    <row r="60" spans="1:14" ht="13.25" customHeight="1"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</row>
    <row r="61" spans="1:14" ht="13.25" customHeight="1"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</row>
    <row r="62" spans="1:14" ht="13.25" customHeight="1"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</row>
    <row r="63" spans="1:14" ht="13.25" customHeight="1"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</row>
    <row r="64" spans="1:14" ht="13.25" customHeight="1"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</row>
    <row r="65" spans="2:14" ht="13.25" customHeight="1"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</row>
    <row r="66" spans="2:14" ht="13.25" customHeight="1"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</row>
    <row r="67" spans="2:14" ht="13.25" customHeight="1"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</row>
    <row r="68" spans="2:14" ht="13.25" customHeight="1"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</row>
    <row r="69" spans="2:14" ht="13.25" customHeight="1"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</row>
    <row r="70" spans="2:14" ht="13.25" customHeight="1">
      <c r="B70" s="112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</row>
    <row r="71" spans="2:14" ht="13.25" customHeight="1"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</row>
    <row r="72" spans="2:14" ht="13.25" customHeight="1"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</row>
    <row r="73" spans="2:14" ht="13.25" customHeight="1">
      <c r="B73" s="112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</row>
    <row r="74" spans="2:14" ht="13.25" customHeight="1">
      <c r="B74" s="112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</row>
    <row r="75" spans="2:14" ht="13.25" customHeight="1">
      <c r="B75" s="112"/>
      <c r="C75" s="112"/>
      <c r="D75" s="112"/>
      <c r="E75" s="112"/>
      <c r="F75" s="111"/>
      <c r="G75" s="111"/>
      <c r="H75" s="112"/>
      <c r="I75" s="111"/>
      <c r="J75" s="111"/>
      <c r="K75" s="111"/>
      <c r="L75" s="111"/>
      <c r="M75" s="111"/>
      <c r="N75" s="111"/>
    </row>
    <row r="76" spans="2:14" ht="13.25" customHeight="1">
      <c r="B76" s="112"/>
      <c r="C76" s="112"/>
      <c r="D76" s="112"/>
      <c r="E76" s="112"/>
      <c r="F76" s="111"/>
      <c r="G76" s="111"/>
      <c r="H76" s="111"/>
      <c r="I76" s="111"/>
      <c r="J76" s="111"/>
      <c r="K76" s="111"/>
      <c r="L76" s="111"/>
      <c r="M76" s="111"/>
      <c r="N76" s="112"/>
    </row>
    <row r="77" spans="2:14" ht="13.25" customHeight="1">
      <c r="B77" s="112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</row>
    <row r="78" spans="2:14" ht="13.25" customHeight="1"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</row>
    <row r="79" spans="2:14" ht="13.25" customHeight="1">
      <c r="B79" s="112"/>
      <c r="C79" s="112"/>
      <c r="D79" s="112"/>
      <c r="E79" s="112"/>
      <c r="F79" s="111"/>
      <c r="G79" s="112"/>
      <c r="H79" s="112"/>
      <c r="I79" s="111"/>
      <c r="J79" s="111"/>
      <c r="K79" s="111"/>
      <c r="L79" s="111"/>
      <c r="M79" s="111"/>
      <c r="N79" s="112"/>
    </row>
    <row r="80" spans="2:14" ht="13.25" customHeight="1"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</row>
    <row r="81" spans="1:14" ht="13.25" customHeight="1"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</row>
    <row r="82" spans="1:14" ht="13.25" customHeight="1">
      <c r="B82" s="112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</row>
    <row r="83" spans="1:14" ht="13.25" customHeight="1">
      <c r="B83" s="112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</row>
    <row r="84" spans="1:14" ht="13.25" customHeight="1">
      <c r="B84" s="112"/>
      <c r="C84" s="111"/>
      <c r="D84" s="112"/>
      <c r="E84" s="112"/>
      <c r="F84" s="111"/>
      <c r="G84" s="111"/>
      <c r="H84" s="111"/>
      <c r="I84" s="111"/>
      <c r="J84" s="111"/>
      <c r="K84" s="111"/>
      <c r="L84" s="111"/>
      <c r="M84" s="112"/>
      <c r="N84" s="112"/>
    </row>
    <row r="85" spans="1:14" ht="13.25" customHeight="1"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</row>
    <row r="86" spans="1:14" ht="13.25" customHeight="1"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</row>
    <row r="87" spans="1:14" ht="13.25" customHeight="1"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</row>
    <row r="88" spans="1:14" ht="13.25" customHeight="1" thickBot="1">
      <c r="A88" s="113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</row>
    <row r="89" spans="1:14" ht="13.25" customHeight="1">
      <c r="A89" s="9"/>
      <c r="B89" s="115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</row>
    <row r="90" spans="1:14" ht="13.25" customHeight="1">
      <c r="A90" s="9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</row>
    <row r="91" spans="1:14" ht="13.25" customHeight="1">
      <c r="A91" s="11"/>
    </row>
    <row r="92" spans="1:14" ht="13.25" customHeight="1">
      <c r="A92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Hoja113">
    <tabColor theme="9" tint="0.59999389629810485"/>
  </sheetPr>
  <dimension ref="A1:AA39"/>
  <sheetViews>
    <sheetView showGridLines="0" zoomScaleNormal="100" workbookViewId="0">
      <selection activeCell="I21" sqref="I21"/>
    </sheetView>
  </sheetViews>
  <sheetFormatPr baseColWidth="10" defaultColWidth="7" defaultRowHeight="13.25" customHeight="1"/>
  <cols>
    <col min="1" max="1" width="14" style="67" customWidth="1"/>
    <col min="2" max="2" width="9" style="67" customWidth="1"/>
    <col min="3" max="14" width="9.19921875" style="67" customWidth="1"/>
    <col min="15" max="16384" width="7" style="67"/>
  </cols>
  <sheetData>
    <row r="1" spans="1:27" ht="17" customHeight="1">
      <c r="A1" s="381" t="s">
        <v>535</v>
      </c>
      <c r="B1" s="381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</row>
    <row r="2" spans="1:27" ht="13.25" customHeight="1">
      <c r="A2" s="402" t="s">
        <v>329</v>
      </c>
      <c r="B2" s="226"/>
      <c r="C2" s="101"/>
      <c r="D2" s="101"/>
      <c r="E2" s="101"/>
      <c r="F2" s="101"/>
      <c r="G2" s="104"/>
      <c r="H2" s="103"/>
      <c r="I2" s="101"/>
      <c r="J2" s="101"/>
      <c r="K2" s="101"/>
      <c r="L2" s="101"/>
      <c r="M2" s="101"/>
      <c r="N2" s="101"/>
    </row>
    <row r="3" spans="1:27" ht="6" customHeight="1" thickBot="1">
      <c r="A3" s="104"/>
      <c r="B3" s="105"/>
      <c r="C3" s="106"/>
      <c r="D3" s="105"/>
      <c r="E3" s="105"/>
      <c r="F3" s="105"/>
      <c r="G3" s="105"/>
      <c r="H3" s="105"/>
      <c r="I3" s="105"/>
      <c r="J3" s="103"/>
      <c r="K3" s="103"/>
      <c r="L3" s="103"/>
      <c r="M3" s="103"/>
      <c r="N3" s="103"/>
    </row>
    <row r="4" spans="1:27" ht="18" customHeight="1">
      <c r="A4" s="732" t="s">
        <v>16</v>
      </c>
      <c r="B4" s="732" t="s">
        <v>52</v>
      </c>
      <c r="C4" s="732" t="s">
        <v>53</v>
      </c>
      <c r="D4" s="732" t="s">
        <v>54</v>
      </c>
      <c r="E4" s="732" t="s">
        <v>55</v>
      </c>
      <c r="F4" s="732" t="s">
        <v>56</v>
      </c>
      <c r="G4" s="732" t="s">
        <v>57</v>
      </c>
      <c r="H4" s="732" t="s">
        <v>58</v>
      </c>
      <c r="I4" s="732" t="s">
        <v>59</v>
      </c>
      <c r="J4" s="732" t="s">
        <v>60</v>
      </c>
      <c r="K4" s="732" t="s">
        <v>61</v>
      </c>
      <c r="L4" s="732" t="s">
        <v>62</v>
      </c>
      <c r="M4" s="732" t="s">
        <v>63</v>
      </c>
      <c r="N4" s="732" t="s">
        <v>64</v>
      </c>
    </row>
    <row r="5" spans="1:27" ht="18" customHeight="1">
      <c r="A5" s="693" t="s">
        <v>100</v>
      </c>
      <c r="B5" s="912">
        <v>6.885016857383178</v>
      </c>
      <c r="C5" s="695">
        <v>7.0116050769577036</v>
      </c>
      <c r="D5" s="695">
        <v>6.8146677407588623</v>
      </c>
      <c r="E5" s="695">
        <v>6.8667891686877827</v>
      </c>
      <c r="F5" s="695">
        <v>7.0124999848909333</v>
      </c>
      <c r="G5" s="695">
        <v>7.0520426210296598</v>
      </c>
      <c r="H5" s="695">
        <v>7.1226097129436123</v>
      </c>
      <c r="I5" s="695">
        <v>6.860625339181734</v>
      </c>
      <c r="J5" s="695">
        <v>6.797608881509837</v>
      </c>
      <c r="K5" s="695">
        <v>6.7409250370829321</v>
      </c>
      <c r="L5" s="695">
        <v>6.8170589481381301</v>
      </c>
      <c r="M5" s="695">
        <v>6.8178843502226893</v>
      </c>
      <c r="N5" s="695">
        <v>6.9201352021302966</v>
      </c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</row>
    <row r="6" spans="1:27" ht="16" customHeight="1">
      <c r="A6" s="67" t="s">
        <v>19</v>
      </c>
      <c r="B6" s="913">
        <v>0</v>
      </c>
      <c r="C6" s="374">
        <v>0</v>
      </c>
      <c r="D6" s="374">
        <v>0</v>
      </c>
      <c r="E6" s="374">
        <v>0</v>
      </c>
      <c r="F6" s="374">
        <v>0</v>
      </c>
      <c r="G6" s="374">
        <v>0</v>
      </c>
      <c r="H6" s="374">
        <v>0</v>
      </c>
      <c r="I6" s="374">
        <v>0</v>
      </c>
      <c r="J6" s="374">
        <v>0</v>
      </c>
      <c r="K6" s="374">
        <v>0</v>
      </c>
      <c r="L6" s="374">
        <v>0</v>
      </c>
      <c r="M6" s="374">
        <v>0</v>
      </c>
      <c r="N6" s="374">
        <v>0</v>
      </c>
      <c r="O6" s="10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</row>
    <row r="7" spans="1:27" ht="16" customHeight="1">
      <c r="A7" s="67" t="s">
        <v>20</v>
      </c>
      <c r="B7" s="913">
        <v>7.0327603266329302</v>
      </c>
      <c r="C7" s="374">
        <v>0</v>
      </c>
      <c r="D7" s="374">
        <v>0</v>
      </c>
      <c r="E7" s="374">
        <v>0</v>
      </c>
      <c r="F7" s="374">
        <v>7.0286975717439297</v>
      </c>
      <c r="G7" s="374">
        <v>7.0198675496688736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7.0640176600441498</v>
      </c>
      <c r="N7" s="374">
        <v>7.0286975717439297</v>
      </c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</row>
    <row r="8" spans="1:27" ht="16" customHeight="1">
      <c r="A8" s="67" t="s">
        <v>21</v>
      </c>
      <c r="B8" s="913">
        <v>0</v>
      </c>
      <c r="C8" s="374">
        <v>0</v>
      </c>
      <c r="D8" s="374">
        <v>0</v>
      </c>
      <c r="E8" s="374">
        <v>0</v>
      </c>
      <c r="F8" s="374">
        <v>0</v>
      </c>
      <c r="G8" s="374">
        <v>0</v>
      </c>
      <c r="H8" s="374">
        <v>0</v>
      </c>
      <c r="I8" s="374">
        <v>0</v>
      </c>
      <c r="J8" s="374">
        <v>0</v>
      </c>
      <c r="K8" s="374">
        <v>0</v>
      </c>
      <c r="L8" s="374">
        <v>0</v>
      </c>
      <c r="M8" s="374">
        <v>0</v>
      </c>
      <c r="N8" s="374">
        <v>0</v>
      </c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</row>
    <row r="9" spans="1:27" ht="16" customHeight="1">
      <c r="A9" s="67" t="s">
        <v>22</v>
      </c>
      <c r="B9" s="913">
        <v>7.0082647830220699</v>
      </c>
      <c r="C9" s="374">
        <v>6.9602649006622501</v>
      </c>
      <c r="D9" s="374">
        <v>0</v>
      </c>
      <c r="E9" s="374">
        <v>0</v>
      </c>
      <c r="F9" s="374">
        <v>7.0286975717439297</v>
      </c>
      <c r="G9" s="374">
        <v>7.0860927152317892</v>
      </c>
      <c r="H9" s="374">
        <v>7.0728476821192059</v>
      </c>
      <c r="I9" s="374">
        <v>6.8741721854304627</v>
      </c>
      <c r="J9" s="374">
        <v>6.8233995584988962</v>
      </c>
      <c r="K9" s="374">
        <v>6.847682119205297</v>
      </c>
      <c r="L9" s="374">
        <v>6.8653421633554084</v>
      </c>
      <c r="M9" s="374">
        <v>6.6483443708609249</v>
      </c>
      <c r="N9" s="374">
        <v>6.6225165562913908</v>
      </c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</row>
    <row r="10" spans="1:27" ht="16" customHeight="1">
      <c r="A10" s="67" t="s">
        <v>23</v>
      </c>
      <c r="B10" s="913">
        <v>6.8414181324385206</v>
      </c>
      <c r="C10" s="374">
        <v>6.9403973509933774</v>
      </c>
      <c r="D10" s="374">
        <v>6.9602649006622519</v>
      </c>
      <c r="E10" s="374">
        <v>6.9999999999999982</v>
      </c>
      <c r="F10" s="374">
        <v>7.0264900662251639</v>
      </c>
      <c r="G10" s="374">
        <v>7.0286975717439297</v>
      </c>
      <c r="H10" s="374">
        <v>7.0198675496688745</v>
      </c>
      <c r="I10" s="374">
        <v>6.7748056133835606</v>
      </c>
      <c r="J10" s="374">
        <v>6.7149918054487738</v>
      </c>
      <c r="K10" s="374">
        <v>6.7364402915001165</v>
      </c>
      <c r="L10" s="374">
        <v>0</v>
      </c>
      <c r="M10" s="374">
        <v>0</v>
      </c>
      <c r="N10" s="374">
        <v>0</v>
      </c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</row>
    <row r="11" spans="1:27" ht="16" customHeight="1">
      <c r="A11" s="67" t="s">
        <v>94</v>
      </c>
      <c r="B11" s="913">
        <v>6.868588560086744</v>
      </c>
      <c r="C11" s="374">
        <v>6.9403973509933774</v>
      </c>
      <c r="D11" s="374">
        <v>6.9602649006622519</v>
      </c>
      <c r="E11" s="374">
        <v>6.9999999999999982</v>
      </c>
      <c r="F11" s="374">
        <v>7.0264900662251639</v>
      </c>
      <c r="G11" s="374">
        <v>7.0286975717439297</v>
      </c>
      <c r="H11" s="374">
        <v>7.0198675496688745</v>
      </c>
      <c r="I11" s="374">
        <v>6.795805739514349</v>
      </c>
      <c r="J11" s="374">
        <v>6.7196467991169975</v>
      </c>
      <c r="K11" s="374">
        <v>6.7373068432671079</v>
      </c>
      <c r="L11" s="374">
        <v>0</v>
      </c>
      <c r="M11" s="374">
        <v>0</v>
      </c>
      <c r="N11" s="374">
        <v>0</v>
      </c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</row>
    <row r="12" spans="1:27" ht="16" customHeight="1">
      <c r="A12" s="67" t="s">
        <v>95</v>
      </c>
      <c r="B12" s="913">
        <v>6.7154604982272543</v>
      </c>
      <c r="C12" s="374">
        <v>0</v>
      </c>
      <c r="D12" s="374">
        <v>0</v>
      </c>
      <c r="E12" s="374">
        <v>0</v>
      </c>
      <c r="F12" s="374">
        <v>0</v>
      </c>
      <c r="G12" s="374">
        <v>0</v>
      </c>
      <c r="H12" s="374">
        <v>0</v>
      </c>
      <c r="I12" s="374">
        <v>6.7130242825607072</v>
      </c>
      <c r="J12" s="374">
        <v>6.7086092715231791</v>
      </c>
      <c r="K12" s="374">
        <v>6.7328918322295799</v>
      </c>
      <c r="L12" s="374">
        <v>0</v>
      </c>
      <c r="M12" s="374">
        <v>0</v>
      </c>
      <c r="N12" s="374">
        <v>0</v>
      </c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</row>
    <row r="13" spans="1:27" ht="16" customHeight="1">
      <c r="A13" s="67" t="s">
        <v>124</v>
      </c>
      <c r="B13" s="913">
        <v>0</v>
      </c>
      <c r="C13" s="374">
        <v>0</v>
      </c>
      <c r="D13" s="374">
        <v>0</v>
      </c>
      <c r="E13" s="374">
        <v>0</v>
      </c>
      <c r="F13" s="374">
        <v>0</v>
      </c>
      <c r="G13" s="374">
        <v>0</v>
      </c>
      <c r="H13" s="374">
        <v>0</v>
      </c>
      <c r="I13" s="374">
        <v>0</v>
      </c>
      <c r="J13" s="374">
        <v>0</v>
      </c>
      <c r="K13" s="374">
        <v>0</v>
      </c>
      <c r="L13" s="374">
        <v>0</v>
      </c>
      <c r="M13" s="374">
        <v>0</v>
      </c>
      <c r="N13" s="374">
        <v>0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</row>
    <row r="14" spans="1:27" ht="16" customHeight="1">
      <c r="A14" s="67" t="s">
        <v>27</v>
      </c>
      <c r="B14" s="913">
        <v>7.1300231051071483</v>
      </c>
      <c r="C14" s="374">
        <v>0</v>
      </c>
      <c r="D14" s="374">
        <v>0</v>
      </c>
      <c r="E14" s="374">
        <v>0</v>
      </c>
      <c r="F14" s="374">
        <v>7.1611479028697573</v>
      </c>
      <c r="G14" s="374">
        <v>7.1743929359823397</v>
      </c>
      <c r="H14" s="374">
        <v>7.1611479028697573</v>
      </c>
      <c r="I14" s="374">
        <v>6.9403973509933774</v>
      </c>
      <c r="J14" s="374">
        <v>6.9139072847682117</v>
      </c>
      <c r="K14" s="374">
        <v>0</v>
      </c>
      <c r="L14" s="374">
        <v>0</v>
      </c>
      <c r="M14" s="374">
        <v>0</v>
      </c>
      <c r="N14" s="374">
        <v>0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</row>
    <row r="15" spans="1:27" ht="16" customHeight="1">
      <c r="A15" s="67" t="s">
        <v>28</v>
      </c>
      <c r="B15" s="913">
        <v>7.1011101310319056</v>
      </c>
      <c r="C15" s="374">
        <v>7.0640176600441498</v>
      </c>
      <c r="D15" s="374">
        <v>7.0927152317880795</v>
      </c>
      <c r="E15" s="374">
        <v>7.1214128035320092</v>
      </c>
      <c r="F15" s="374">
        <v>0</v>
      </c>
      <c r="G15" s="374">
        <v>0</v>
      </c>
      <c r="H15" s="374">
        <v>0</v>
      </c>
      <c r="I15" s="374">
        <v>0</v>
      </c>
      <c r="J15" s="374">
        <v>0</v>
      </c>
      <c r="K15" s="374">
        <v>0</v>
      </c>
      <c r="L15" s="374">
        <v>0</v>
      </c>
      <c r="M15" s="374">
        <v>0</v>
      </c>
      <c r="N15" s="374">
        <v>0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</row>
    <row r="16" spans="1:27" ht="16" customHeight="1">
      <c r="A16" s="67" t="s">
        <v>29</v>
      </c>
      <c r="B16" s="913">
        <v>7.2467937700111085</v>
      </c>
      <c r="C16" s="374">
        <v>0</v>
      </c>
      <c r="D16" s="374">
        <v>0</v>
      </c>
      <c r="E16" s="374">
        <v>7.3863134657836644</v>
      </c>
      <c r="F16" s="374">
        <v>7.4216335540838854</v>
      </c>
      <c r="G16" s="374">
        <v>7.4326710816777046</v>
      </c>
      <c r="H16" s="374">
        <v>7.4304635761589406</v>
      </c>
      <c r="I16" s="374">
        <v>6.9933774834437079</v>
      </c>
      <c r="J16" s="374">
        <v>7.0044150110375272</v>
      </c>
      <c r="K16" s="374">
        <v>0</v>
      </c>
      <c r="L16" s="374">
        <v>0</v>
      </c>
      <c r="M16" s="374">
        <v>0</v>
      </c>
      <c r="N16" s="374">
        <v>0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</row>
    <row r="17" spans="1:27" ht="16" customHeight="1">
      <c r="A17" s="67" t="s">
        <v>30</v>
      </c>
      <c r="B17" s="913">
        <v>0</v>
      </c>
      <c r="C17" s="374">
        <v>0</v>
      </c>
      <c r="D17" s="374">
        <v>0</v>
      </c>
      <c r="E17" s="374">
        <v>0</v>
      </c>
      <c r="F17" s="374">
        <v>0</v>
      </c>
      <c r="G17" s="374">
        <v>0</v>
      </c>
      <c r="H17" s="374">
        <v>0</v>
      </c>
      <c r="I17" s="374">
        <v>0</v>
      </c>
      <c r="J17" s="374">
        <v>0</v>
      </c>
      <c r="K17" s="374">
        <v>0</v>
      </c>
      <c r="L17" s="374">
        <v>0</v>
      </c>
      <c r="M17" s="374">
        <v>0</v>
      </c>
      <c r="N17" s="374">
        <v>0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</row>
    <row r="18" spans="1:27" ht="16" customHeight="1">
      <c r="A18" s="67" t="s">
        <v>31</v>
      </c>
      <c r="B18" s="913">
        <v>6.8904120208133772</v>
      </c>
      <c r="C18" s="374">
        <v>7.0860927152317865</v>
      </c>
      <c r="D18" s="374">
        <v>7.1169977924944821</v>
      </c>
      <c r="E18" s="374">
        <v>7.1523178807947021</v>
      </c>
      <c r="F18" s="374">
        <v>7.1876379690949213</v>
      </c>
      <c r="G18" s="374">
        <v>7.1677704194260485</v>
      </c>
      <c r="H18" s="374">
        <v>7.1611479028697573</v>
      </c>
      <c r="I18" s="374">
        <v>6.7064017660044151</v>
      </c>
      <c r="J18" s="374">
        <v>6.6666666666666661</v>
      </c>
      <c r="K18" s="374">
        <v>6.6975717439293581</v>
      </c>
      <c r="L18" s="374">
        <v>6.701986754966887</v>
      </c>
      <c r="M18" s="374">
        <v>6.7196467991169975</v>
      </c>
      <c r="N18" s="374">
        <v>6.7108167770419431</v>
      </c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</row>
    <row r="19" spans="1:27" ht="16" customHeight="1">
      <c r="A19" s="67" t="s">
        <v>32</v>
      </c>
      <c r="B19" s="913">
        <v>7.1033414456566337</v>
      </c>
      <c r="C19" s="374">
        <v>7.0860927152317883</v>
      </c>
      <c r="D19" s="374">
        <v>7.114790286975718</v>
      </c>
      <c r="E19" s="374">
        <v>7.1214128035320101</v>
      </c>
      <c r="F19" s="374">
        <v>0</v>
      </c>
      <c r="G19" s="374">
        <v>0</v>
      </c>
      <c r="H19" s="374">
        <v>0</v>
      </c>
      <c r="I19" s="374">
        <v>0</v>
      </c>
      <c r="J19" s="374">
        <v>0</v>
      </c>
      <c r="K19" s="374">
        <v>0</v>
      </c>
      <c r="L19" s="374">
        <v>0</v>
      </c>
      <c r="M19" s="374">
        <v>0</v>
      </c>
      <c r="N19" s="374">
        <v>0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</row>
    <row r="20" spans="1:27" ht="16" customHeight="1">
      <c r="A20" s="97" t="s">
        <v>33</v>
      </c>
      <c r="B20" s="913">
        <v>7.164360645940226</v>
      </c>
      <c r="C20" s="374">
        <v>7.0684326710816778</v>
      </c>
      <c r="D20" s="374">
        <v>7.1346578366445916</v>
      </c>
      <c r="E20" s="374">
        <v>7.1810154525386309</v>
      </c>
      <c r="F20" s="374">
        <v>7.2273730684326711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</row>
    <row r="21" spans="1:27" ht="16" customHeight="1">
      <c r="A21" s="67" t="s">
        <v>34</v>
      </c>
      <c r="B21" s="913">
        <v>7.1227805702325462</v>
      </c>
      <c r="C21" s="374">
        <v>0</v>
      </c>
      <c r="D21" s="374">
        <v>7.1169977924944812</v>
      </c>
      <c r="E21" s="374">
        <v>7.1567328918322302</v>
      </c>
      <c r="F21" s="374">
        <v>7.1655629139072845</v>
      </c>
      <c r="G21" s="374">
        <v>0</v>
      </c>
      <c r="H21" s="374">
        <v>0</v>
      </c>
      <c r="I21" s="374">
        <v>0</v>
      </c>
      <c r="J21" s="374">
        <v>0</v>
      </c>
      <c r="K21" s="374">
        <v>0</v>
      </c>
      <c r="L21" s="374">
        <v>0</v>
      </c>
      <c r="M21" s="374">
        <v>0</v>
      </c>
      <c r="N21" s="374">
        <v>0</v>
      </c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</row>
    <row r="22" spans="1:27" ht="16" customHeight="1">
      <c r="A22" s="67" t="s">
        <v>35</v>
      </c>
      <c r="B22" s="913">
        <v>7.5150234276119878</v>
      </c>
      <c r="C22" s="374">
        <v>7.4613686534216344</v>
      </c>
      <c r="D22" s="374">
        <v>7.5077262693156737</v>
      </c>
      <c r="E22" s="374">
        <v>7.5496688741721849</v>
      </c>
      <c r="F22" s="374">
        <v>0</v>
      </c>
      <c r="G22" s="374">
        <v>0</v>
      </c>
      <c r="H22" s="374">
        <v>0</v>
      </c>
      <c r="I22" s="374">
        <v>0</v>
      </c>
      <c r="J22" s="374">
        <v>0</v>
      </c>
      <c r="K22" s="374">
        <v>0</v>
      </c>
      <c r="L22" s="374">
        <v>0</v>
      </c>
      <c r="M22" s="374">
        <v>0</v>
      </c>
      <c r="N22" s="374">
        <v>7.5496688741721858</v>
      </c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</row>
    <row r="23" spans="1:27" ht="16" customHeight="1">
      <c r="A23" s="97" t="s">
        <v>128</v>
      </c>
      <c r="B23" s="913">
        <v>7.5866539462802907</v>
      </c>
      <c r="C23" s="374">
        <v>0</v>
      </c>
      <c r="D23" s="374">
        <v>0</v>
      </c>
      <c r="E23" s="374">
        <v>0</v>
      </c>
      <c r="F23" s="374">
        <v>0</v>
      </c>
      <c r="G23" s="374">
        <v>0</v>
      </c>
      <c r="H23" s="374">
        <v>0</v>
      </c>
      <c r="I23" s="374">
        <v>0</v>
      </c>
      <c r="J23" s="374">
        <v>0</v>
      </c>
      <c r="K23" s="374">
        <v>7.4017660044150109</v>
      </c>
      <c r="L23" s="374">
        <v>7.3951434878587197</v>
      </c>
      <c r="M23" s="374">
        <v>7.8587196467991181</v>
      </c>
      <c r="N23" s="374">
        <v>7.8233995584988945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</row>
    <row r="24" spans="1:27" ht="16" customHeight="1">
      <c r="A24" s="67" t="s">
        <v>37</v>
      </c>
      <c r="B24" s="913">
        <v>0</v>
      </c>
      <c r="C24" s="374">
        <v>0</v>
      </c>
      <c r="D24" s="374">
        <v>0</v>
      </c>
      <c r="E24" s="374">
        <v>0</v>
      </c>
      <c r="F24" s="374">
        <v>0</v>
      </c>
      <c r="G24" s="374">
        <v>0</v>
      </c>
      <c r="H24" s="374">
        <v>0</v>
      </c>
      <c r="I24" s="374">
        <v>0</v>
      </c>
      <c r="J24" s="374">
        <v>0</v>
      </c>
      <c r="K24" s="374">
        <v>0</v>
      </c>
      <c r="L24" s="374">
        <v>0</v>
      </c>
      <c r="M24" s="374">
        <v>0</v>
      </c>
      <c r="N24" s="374">
        <v>0</v>
      </c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</row>
    <row r="25" spans="1:27" ht="16" customHeight="1">
      <c r="A25" s="67" t="s">
        <v>38</v>
      </c>
      <c r="B25" s="913">
        <v>6.3182657547817778</v>
      </c>
      <c r="C25" s="374">
        <v>6.2693156732891833</v>
      </c>
      <c r="D25" s="374">
        <v>6.2958057395143481</v>
      </c>
      <c r="E25" s="378">
        <v>6.3134657836644577</v>
      </c>
      <c r="F25" s="374">
        <v>6.3245033112582778</v>
      </c>
      <c r="G25" s="374">
        <v>6.3178807947019875</v>
      </c>
      <c r="H25" s="374">
        <v>6.3046357615894033</v>
      </c>
      <c r="I25" s="374">
        <v>6.2947019867549674</v>
      </c>
      <c r="J25" s="374">
        <v>0</v>
      </c>
      <c r="K25" s="374">
        <v>0</v>
      </c>
      <c r="L25" s="374">
        <v>0</v>
      </c>
      <c r="M25" s="374">
        <v>0</v>
      </c>
      <c r="N25" s="374">
        <v>6.2737306843267104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</row>
    <row r="26" spans="1:27" ht="16" customHeight="1">
      <c r="A26" s="67" t="s">
        <v>39</v>
      </c>
      <c r="B26" s="913">
        <v>6.2439735893283723</v>
      </c>
      <c r="C26" s="374">
        <v>6.2082487672907511</v>
      </c>
      <c r="D26" s="374">
        <v>6.2358207321137584</v>
      </c>
      <c r="E26" s="374">
        <v>6.2545522059355196</v>
      </c>
      <c r="F26" s="374">
        <v>6.2671081677704192</v>
      </c>
      <c r="G26" s="374">
        <v>6.2538631346578377</v>
      </c>
      <c r="H26" s="374">
        <v>0</v>
      </c>
      <c r="I26" s="374">
        <v>0</v>
      </c>
      <c r="J26" s="374">
        <v>0</v>
      </c>
      <c r="K26" s="374">
        <v>0</v>
      </c>
      <c r="L26" s="374">
        <v>0</v>
      </c>
      <c r="M26" s="374">
        <v>6.2935982339955849</v>
      </c>
      <c r="N26" s="374">
        <v>6.2913907284768218</v>
      </c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</row>
    <row r="27" spans="1:27" ht="16" customHeight="1">
      <c r="A27" s="67" t="s">
        <v>97</v>
      </c>
      <c r="B27" s="913">
        <v>6.2424951047383548</v>
      </c>
      <c r="C27" s="374">
        <v>6.2030905077262695</v>
      </c>
      <c r="D27" s="374">
        <v>6.2317880794701983</v>
      </c>
      <c r="E27" s="374">
        <v>6.2494481236203079</v>
      </c>
      <c r="F27" s="374">
        <v>6.2671081677704192</v>
      </c>
      <c r="G27" s="374">
        <v>6.2538631346578377</v>
      </c>
      <c r="H27" s="374">
        <v>0</v>
      </c>
      <c r="I27" s="374">
        <v>0</v>
      </c>
      <c r="J27" s="374">
        <v>0</v>
      </c>
      <c r="K27" s="374">
        <v>0</v>
      </c>
      <c r="L27" s="374">
        <v>0</v>
      </c>
      <c r="M27" s="374">
        <v>6.2935982339955849</v>
      </c>
      <c r="N27" s="374">
        <v>6.2913907284768218</v>
      </c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</row>
    <row r="28" spans="1:27" ht="16" customHeight="1">
      <c r="A28" s="67" t="s">
        <v>98</v>
      </c>
      <c r="B28" s="913">
        <v>6.2511369397029499</v>
      </c>
      <c r="C28" s="374">
        <v>6.2251655629139071</v>
      </c>
      <c r="D28" s="374">
        <v>6.2516556291390737</v>
      </c>
      <c r="E28" s="374">
        <v>6.2693156732891833</v>
      </c>
      <c r="F28" s="374">
        <v>0</v>
      </c>
      <c r="G28" s="374">
        <v>0</v>
      </c>
      <c r="H28" s="374">
        <v>0</v>
      </c>
      <c r="I28" s="374">
        <v>0</v>
      </c>
      <c r="J28" s="374">
        <v>0</v>
      </c>
      <c r="K28" s="374">
        <v>0</v>
      </c>
      <c r="L28" s="374">
        <v>0</v>
      </c>
      <c r="M28" s="374">
        <v>0</v>
      </c>
      <c r="N28" s="374">
        <v>0</v>
      </c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</row>
    <row r="29" spans="1:27" ht="16" customHeight="1">
      <c r="A29" s="67" t="s">
        <v>42</v>
      </c>
      <c r="B29" s="913">
        <v>7.0214606028439857</v>
      </c>
      <c r="C29" s="374">
        <v>6.9337748344370862</v>
      </c>
      <c r="D29" s="374">
        <v>6.9779249448123615</v>
      </c>
      <c r="E29" s="374">
        <v>7.0198675496688736</v>
      </c>
      <c r="F29" s="374">
        <v>0</v>
      </c>
      <c r="G29" s="374">
        <v>0</v>
      </c>
      <c r="H29" s="374">
        <v>0</v>
      </c>
      <c r="I29" s="374">
        <v>0</v>
      </c>
      <c r="J29" s="374">
        <v>0</v>
      </c>
      <c r="K29" s="374">
        <v>0</v>
      </c>
      <c r="L29" s="374">
        <v>0</v>
      </c>
      <c r="M29" s="374">
        <v>7.1147902869757171</v>
      </c>
      <c r="N29" s="374">
        <v>7.1081677704194268</v>
      </c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</row>
    <row r="30" spans="1:27" ht="16" customHeight="1">
      <c r="A30" s="67" t="s">
        <v>43</v>
      </c>
      <c r="B30" s="913">
        <v>6.6356113212929237</v>
      </c>
      <c r="C30" s="374">
        <v>0</v>
      </c>
      <c r="D30" s="374">
        <v>6.5805739514348787</v>
      </c>
      <c r="E30" s="374">
        <v>6.6445916114790293</v>
      </c>
      <c r="F30" s="374">
        <v>0</v>
      </c>
      <c r="G30" s="374">
        <v>0</v>
      </c>
      <c r="H30" s="374">
        <v>0</v>
      </c>
      <c r="I30" s="374">
        <v>0</v>
      </c>
      <c r="J30" s="374">
        <v>0</v>
      </c>
      <c r="K30" s="374">
        <v>0</v>
      </c>
      <c r="L30" s="374">
        <v>0</v>
      </c>
      <c r="M30" s="374">
        <v>6.7417218543046351</v>
      </c>
      <c r="N30" s="374">
        <v>6.7461368653421632</v>
      </c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</row>
    <row r="31" spans="1:27" ht="16" customHeight="1">
      <c r="A31" s="67" t="s">
        <v>44</v>
      </c>
      <c r="B31" s="913">
        <v>0</v>
      </c>
      <c r="C31" s="374">
        <v>0</v>
      </c>
      <c r="D31" s="374">
        <v>0</v>
      </c>
      <c r="E31" s="374">
        <v>0</v>
      </c>
      <c r="F31" s="374">
        <v>0</v>
      </c>
      <c r="G31" s="374">
        <v>0</v>
      </c>
      <c r="H31" s="374">
        <v>0</v>
      </c>
      <c r="I31" s="374">
        <v>0</v>
      </c>
      <c r="J31" s="374">
        <v>0</v>
      </c>
      <c r="K31" s="374">
        <v>0</v>
      </c>
      <c r="L31" s="374">
        <v>0</v>
      </c>
      <c r="M31" s="374">
        <v>0</v>
      </c>
      <c r="N31" s="374">
        <v>0</v>
      </c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</row>
    <row r="32" spans="1:27" ht="16" customHeight="1">
      <c r="A32" s="67" t="s">
        <v>45</v>
      </c>
      <c r="B32" s="913">
        <v>0</v>
      </c>
      <c r="C32" s="374">
        <v>0</v>
      </c>
      <c r="D32" s="374">
        <v>0</v>
      </c>
      <c r="E32" s="374">
        <v>0</v>
      </c>
      <c r="F32" s="374">
        <v>0</v>
      </c>
      <c r="G32" s="374">
        <v>0</v>
      </c>
      <c r="H32" s="374">
        <v>0</v>
      </c>
      <c r="I32" s="374">
        <v>0</v>
      </c>
      <c r="J32" s="374">
        <v>0</v>
      </c>
      <c r="K32" s="374">
        <v>0</v>
      </c>
      <c r="L32" s="374">
        <v>0</v>
      </c>
      <c r="M32" s="374">
        <v>0</v>
      </c>
      <c r="N32" s="374">
        <v>0</v>
      </c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</row>
    <row r="33" spans="1:27" ht="16" customHeight="1">
      <c r="A33" s="67" t="s">
        <v>46</v>
      </c>
      <c r="B33" s="913">
        <v>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</row>
    <row r="34" spans="1:27" ht="16" customHeight="1" thickBot="1">
      <c r="A34" s="113" t="s">
        <v>47</v>
      </c>
      <c r="B34" s="914">
        <v>0</v>
      </c>
      <c r="C34" s="375">
        <v>0</v>
      </c>
      <c r="D34" s="375">
        <v>0</v>
      </c>
      <c r="E34" s="375">
        <v>0</v>
      </c>
      <c r="F34" s="375">
        <v>0</v>
      </c>
      <c r="G34" s="375">
        <v>0</v>
      </c>
      <c r="H34" s="375">
        <v>0</v>
      </c>
      <c r="I34" s="375">
        <v>0</v>
      </c>
      <c r="J34" s="375">
        <v>0</v>
      </c>
      <c r="K34" s="375">
        <v>0</v>
      </c>
      <c r="L34" s="375">
        <v>0</v>
      </c>
      <c r="M34" s="375">
        <v>0</v>
      </c>
      <c r="N34" s="375">
        <v>0</v>
      </c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</row>
    <row r="35" spans="1:27" ht="9" customHeight="1">
      <c r="A35" s="449" t="s">
        <v>330</v>
      </c>
      <c r="B35" s="520"/>
      <c r="C35" s="521"/>
      <c r="D35" s="521"/>
      <c r="E35" s="379"/>
      <c r="F35" s="379"/>
      <c r="G35" s="379"/>
      <c r="H35" s="379"/>
      <c r="I35" s="379"/>
      <c r="J35" s="379"/>
      <c r="K35" s="379"/>
      <c r="L35" s="379"/>
      <c r="M35" s="379"/>
      <c r="N35" s="379"/>
    </row>
    <row r="36" spans="1:27" ht="9" customHeight="1">
      <c r="A36" s="449" t="s">
        <v>304</v>
      </c>
      <c r="B36" s="521"/>
      <c r="C36" s="521"/>
      <c r="D36" s="521"/>
      <c r="E36" s="379"/>
      <c r="F36" s="379"/>
      <c r="G36" s="379"/>
      <c r="H36" s="379"/>
      <c r="I36" s="379"/>
      <c r="J36" s="379"/>
      <c r="K36" s="379"/>
      <c r="L36" s="379"/>
      <c r="M36" s="379"/>
      <c r="N36" s="379"/>
    </row>
    <row r="37" spans="1:27" ht="9" customHeight="1">
      <c r="A37" s="451" t="s">
        <v>303</v>
      </c>
      <c r="B37" s="464"/>
      <c r="C37" s="464"/>
      <c r="D37" s="464"/>
      <c r="E37" s="173"/>
      <c r="F37" s="173"/>
      <c r="G37" s="173"/>
      <c r="H37" s="173"/>
      <c r="I37" s="173"/>
      <c r="J37" s="173"/>
      <c r="K37" s="173"/>
      <c r="L37" s="173"/>
      <c r="M37" s="173"/>
      <c r="N37" s="173"/>
    </row>
    <row r="38" spans="1:27" ht="13.25" customHeight="1">
      <c r="A38" s="522"/>
      <c r="B38" s="464"/>
      <c r="C38" s="464"/>
      <c r="D38" s="464"/>
    </row>
    <row r="39" spans="1:27" ht="13.25" customHeight="1">
      <c r="A39" s="22"/>
    </row>
  </sheetData>
  <printOptions horizontalCentered="1" verticalCentered="1" gridLinesSet="0"/>
  <pageMargins left="0" right="0" top="0" bottom="0" header="0" footer="0"/>
  <pageSetup paperSize="8" scale="110" orientation="portrait" r:id="rId1"/>
  <headerFooter scaleWithDoc="0"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Hoja114">
    <tabColor theme="9" tint="0.59999389629810485"/>
  </sheetPr>
  <dimension ref="A1"/>
  <sheetViews>
    <sheetView showGridLines="0" topLeftCell="G1" zoomScaleNormal="100" workbookViewId="0">
      <selection activeCell="B28" sqref="B28:G28"/>
    </sheetView>
  </sheetViews>
  <sheetFormatPr baseColWidth="10" defaultColWidth="7" defaultRowHeight="13.25" customHeight="1"/>
  <cols>
    <col min="1" max="1" width="11.19921875" style="17" customWidth="1"/>
    <col min="2" max="9" width="8" style="17" customWidth="1"/>
    <col min="10" max="16384" width="7" style="17"/>
  </cols>
  <sheetData/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Hoja115">
    <tabColor theme="9" tint="0.59999389629810485"/>
  </sheetPr>
  <dimension ref="A2:AD61"/>
  <sheetViews>
    <sheetView showGridLines="0" zoomScaleNormal="100" workbookViewId="0">
      <selection activeCell="T15" sqref="T15"/>
    </sheetView>
  </sheetViews>
  <sheetFormatPr baseColWidth="10" defaultColWidth="7" defaultRowHeight="13.25" customHeight="1"/>
  <cols>
    <col min="1" max="1" width="1" style="67" customWidth="1"/>
    <col min="2" max="2" width="17.19921875" style="67" customWidth="1"/>
    <col min="3" max="3" width="10.3984375" style="67" customWidth="1"/>
    <col min="4" max="4" width="8.3984375" style="67" hidden="1" customWidth="1"/>
    <col min="5" max="18" width="7.796875" style="67" customWidth="1"/>
    <col min="19" max="16384" width="7" style="67"/>
  </cols>
  <sheetData>
    <row r="2" spans="1:20" ht="13.25" customHeight="1">
      <c r="A2" s="189" t="s">
        <v>569</v>
      </c>
      <c r="B2" s="384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20" ht="6" customHeight="1" thickBot="1">
      <c r="A3" s="1053"/>
      <c r="B3" s="1053"/>
      <c r="C3" s="1053"/>
      <c r="D3" s="1053"/>
      <c r="E3" s="1053"/>
      <c r="F3" s="1053"/>
      <c r="G3" s="1053"/>
      <c r="H3" s="1053"/>
      <c r="I3" s="1053"/>
      <c r="J3" s="1053"/>
      <c r="K3" s="1053"/>
      <c r="L3" s="1053"/>
      <c r="M3" s="1053"/>
      <c r="N3" s="1053"/>
      <c r="O3" s="1053"/>
      <c r="P3" s="1053"/>
      <c r="Q3" s="1053"/>
      <c r="R3" s="1053"/>
    </row>
    <row r="4" spans="1:20" ht="24" customHeight="1">
      <c r="A4" s="1054" t="s">
        <v>51</v>
      </c>
      <c r="B4" s="1054"/>
      <c r="C4" s="773" t="s">
        <v>271</v>
      </c>
      <c r="D4" s="731">
        <v>2010</v>
      </c>
      <c r="E4" s="731">
        <v>2011</v>
      </c>
      <c r="F4" s="731">
        <v>2012</v>
      </c>
      <c r="G4" s="731">
        <v>2013</v>
      </c>
      <c r="H4" s="731">
        <v>2014</v>
      </c>
      <c r="I4" s="731">
        <v>2015</v>
      </c>
      <c r="J4" s="731">
        <v>2016</v>
      </c>
      <c r="K4" s="731">
        <v>2017</v>
      </c>
      <c r="L4" s="731">
        <v>2018</v>
      </c>
      <c r="M4" s="731">
        <v>2019</v>
      </c>
      <c r="N4" s="731">
        <v>2020</v>
      </c>
      <c r="O4" s="731">
        <v>2021</v>
      </c>
      <c r="P4" s="731">
        <v>2022</v>
      </c>
      <c r="Q4" s="731">
        <v>2023</v>
      </c>
      <c r="R4" s="731" t="s">
        <v>471</v>
      </c>
      <c r="S4" s="383"/>
    </row>
    <row r="5" spans="1:20" ht="6" customHeight="1">
      <c r="C5" s="70"/>
      <c r="J5" s="70"/>
      <c r="K5" s="70"/>
      <c r="L5" s="70"/>
      <c r="M5" s="70"/>
      <c r="N5" s="70"/>
      <c r="O5" s="70"/>
      <c r="P5" s="70"/>
      <c r="Q5" s="70"/>
      <c r="R5" s="70"/>
    </row>
    <row r="6" spans="1:20" ht="13" customHeight="1">
      <c r="A6" s="541" t="s">
        <v>324</v>
      </c>
      <c r="B6" s="542"/>
      <c r="C6" s="371"/>
      <c r="D6" s="542"/>
      <c r="E6" s="542"/>
      <c r="F6" s="542"/>
      <c r="G6" s="542"/>
      <c r="H6" s="542"/>
      <c r="I6" s="542"/>
      <c r="J6" s="542"/>
      <c r="K6" s="542"/>
      <c r="L6" s="542"/>
      <c r="M6" s="542"/>
      <c r="N6" s="542"/>
      <c r="O6" s="542"/>
      <c r="P6" s="542"/>
      <c r="Q6" s="542"/>
      <c r="R6" s="542"/>
    </row>
    <row r="7" spans="1:20" ht="13" customHeight="1">
      <c r="A7" s="543"/>
      <c r="B7" s="542" t="s">
        <v>129</v>
      </c>
      <c r="C7" s="371" t="s">
        <v>130</v>
      </c>
      <c r="D7" s="544">
        <v>509638.7</v>
      </c>
      <c r="E7" s="544">
        <v>535763.30000000005</v>
      </c>
      <c r="F7" s="544">
        <v>573449.5</v>
      </c>
      <c r="G7" s="544">
        <v>591941.6</v>
      </c>
      <c r="H7" s="544">
        <v>622701.30000000005</v>
      </c>
      <c r="I7" s="544">
        <v>671495.6</v>
      </c>
      <c r="J7" s="544">
        <v>686384.7</v>
      </c>
      <c r="K7" s="544">
        <v>705259.7</v>
      </c>
      <c r="L7" s="544">
        <v>765689.3</v>
      </c>
      <c r="M7" s="544">
        <v>794391.6</v>
      </c>
      <c r="N7" s="544">
        <v>728096.32499999995</v>
      </c>
      <c r="O7" s="544">
        <v>772876.34400000004</v>
      </c>
      <c r="P7" s="544">
        <v>793502.70499999996</v>
      </c>
      <c r="Q7" s="544">
        <v>781439.07799999998</v>
      </c>
      <c r="R7" s="544">
        <v>817463.147</v>
      </c>
      <c r="S7" s="98"/>
      <c r="T7" s="98"/>
    </row>
    <row r="8" spans="1:20" ht="13" customHeight="1">
      <c r="A8" s="543"/>
      <c r="B8" s="545" t="s">
        <v>131</v>
      </c>
      <c r="C8" s="371" t="s">
        <v>130</v>
      </c>
      <c r="D8" s="544">
        <v>17802.2</v>
      </c>
      <c r="E8" s="544">
        <v>16970.5</v>
      </c>
      <c r="F8" s="544">
        <v>19624.7</v>
      </c>
      <c r="G8" s="544">
        <v>19794</v>
      </c>
      <c r="H8" s="544">
        <v>21107.9</v>
      </c>
      <c r="I8" s="544">
        <v>22094.5</v>
      </c>
      <c r="J8" s="544">
        <v>22977.200000000001</v>
      </c>
      <c r="K8" s="544">
        <v>24632.7</v>
      </c>
      <c r="L8" s="544">
        <v>28089.3</v>
      </c>
      <c r="M8" s="544">
        <v>26179.3</v>
      </c>
      <c r="N8" s="544">
        <v>28790.07</v>
      </c>
      <c r="O8" s="544">
        <v>29636.13</v>
      </c>
      <c r="P8" s="544">
        <v>25469.4</v>
      </c>
      <c r="Q8" s="544">
        <v>24806.679</v>
      </c>
      <c r="R8" s="544">
        <v>25785.114000000001</v>
      </c>
    </row>
    <row r="9" spans="1:20" ht="13" customHeight="1">
      <c r="A9" s="543"/>
      <c r="B9" s="545"/>
      <c r="C9" s="371"/>
      <c r="D9" s="546"/>
      <c r="E9" s="544"/>
      <c r="F9" s="544"/>
      <c r="G9" s="544"/>
      <c r="H9" s="544"/>
      <c r="I9" s="544"/>
      <c r="J9" s="544"/>
      <c r="K9" s="544"/>
      <c r="L9" s="544"/>
      <c r="M9" s="544"/>
      <c r="N9" s="544"/>
      <c r="O9" s="544"/>
      <c r="P9" s="544"/>
      <c r="Q9" s="544"/>
      <c r="R9" s="544"/>
    </row>
    <row r="10" spans="1:20" ht="13" customHeight="1">
      <c r="A10" s="541" t="s">
        <v>284</v>
      </c>
      <c r="B10" s="542"/>
      <c r="C10" s="371"/>
      <c r="D10" s="547"/>
      <c r="E10" s="548"/>
      <c r="F10" s="548"/>
      <c r="G10" s="548"/>
      <c r="H10" s="547"/>
      <c r="I10" s="547"/>
      <c r="J10" s="547"/>
      <c r="K10" s="547"/>
      <c r="L10" s="547"/>
      <c r="M10" s="547"/>
      <c r="N10" s="547"/>
      <c r="O10" s="547"/>
      <c r="P10" s="547"/>
      <c r="Q10" s="547"/>
      <c r="R10" s="547"/>
    </row>
    <row r="11" spans="1:20" ht="13" customHeight="1">
      <c r="A11" s="543"/>
      <c r="B11" s="545" t="s">
        <v>190</v>
      </c>
      <c r="C11" s="371" t="s">
        <v>200</v>
      </c>
      <c r="D11" s="403">
        <v>1019935</v>
      </c>
      <c r="E11" s="403">
        <v>1108345</v>
      </c>
      <c r="F11" s="403">
        <v>1211140</v>
      </c>
      <c r="G11" s="403">
        <v>1254348</v>
      </c>
      <c r="H11" s="403">
        <v>1317426</v>
      </c>
      <c r="I11" s="403">
        <v>1423586</v>
      </c>
      <c r="J11" s="403">
        <v>1513950</v>
      </c>
      <c r="K11" s="403">
        <v>1569280</v>
      </c>
      <c r="L11" s="403">
        <v>1687636</v>
      </c>
      <c r="M11" s="403">
        <v>1762856</v>
      </c>
      <c r="N11" s="403">
        <v>1723497.46</v>
      </c>
      <c r="O11" s="403">
        <v>1751607.81</v>
      </c>
      <c r="P11" s="403">
        <v>1801776.29</v>
      </c>
      <c r="Q11" s="403">
        <v>1781472.7335225623</v>
      </c>
      <c r="R11" s="403">
        <v>1859237.5675774855</v>
      </c>
      <c r="T11" s="184"/>
    </row>
    <row r="12" spans="1:20" ht="13" customHeight="1">
      <c r="A12" s="543"/>
      <c r="B12" s="545" t="s">
        <v>132</v>
      </c>
      <c r="C12" s="371" t="s">
        <v>200</v>
      </c>
      <c r="D12" s="549">
        <v>950902</v>
      </c>
      <c r="E12" s="549">
        <v>1035362</v>
      </c>
      <c r="F12" s="549">
        <v>1132510</v>
      </c>
      <c r="G12" s="549">
        <v>1175749</v>
      </c>
      <c r="H12" s="549">
        <v>1233202</v>
      </c>
      <c r="I12" s="549">
        <v>1329855</v>
      </c>
      <c r="J12" s="549">
        <v>1405474</v>
      </c>
      <c r="K12" s="549">
        <v>1464548</v>
      </c>
      <c r="L12" s="549">
        <v>1581767</v>
      </c>
      <c r="M12" s="549">
        <v>1651949</v>
      </c>
      <c r="N12" s="549">
        <v>1616385.6</v>
      </c>
      <c r="O12" s="549">
        <v>1639181.6</v>
      </c>
      <c r="P12" s="549">
        <v>1686820.1</v>
      </c>
      <c r="Q12" s="549">
        <v>1668964.9083320508</v>
      </c>
      <c r="R12" s="549">
        <v>1736580.4752991609</v>
      </c>
      <c r="T12" s="184"/>
    </row>
    <row r="13" spans="1:20" ht="13" customHeight="1">
      <c r="A13" s="543"/>
      <c r="B13" s="550" t="s">
        <v>14</v>
      </c>
      <c r="C13" s="371" t="s">
        <v>200</v>
      </c>
      <c r="D13" s="549">
        <v>285102</v>
      </c>
      <c r="E13" s="549">
        <v>317654</v>
      </c>
      <c r="F13" s="549">
        <v>314024</v>
      </c>
      <c r="G13" s="403">
        <v>349791</v>
      </c>
      <c r="H13" s="403">
        <v>358630</v>
      </c>
      <c r="I13" s="403">
        <v>386255</v>
      </c>
      <c r="J13" s="403">
        <v>400980</v>
      </c>
      <c r="K13" s="403">
        <v>415336</v>
      </c>
      <c r="L13" s="403">
        <v>452234</v>
      </c>
      <c r="M13" s="403">
        <v>488484</v>
      </c>
      <c r="N13" s="403">
        <v>497525.4</v>
      </c>
      <c r="O13" s="403">
        <v>504112</v>
      </c>
      <c r="P13" s="403">
        <v>510961.6</v>
      </c>
      <c r="Q13" s="403">
        <v>510630.00285438937</v>
      </c>
      <c r="R13" s="403">
        <v>508591.81465513736</v>
      </c>
      <c r="T13" s="184"/>
    </row>
    <row r="14" spans="1:20" ht="13" customHeight="1">
      <c r="A14" s="543"/>
      <c r="B14" s="542"/>
      <c r="C14" s="371"/>
      <c r="D14" s="542"/>
      <c r="E14" s="542"/>
      <c r="F14" s="547"/>
      <c r="G14" s="547"/>
      <c r="H14" s="547"/>
      <c r="I14" s="547"/>
      <c r="J14" s="547"/>
      <c r="K14" s="547"/>
      <c r="L14" s="547"/>
      <c r="M14" s="547"/>
      <c r="N14" s="547"/>
      <c r="O14" s="547"/>
      <c r="P14" s="547"/>
      <c r="Q14" s="547"/>
      <c r="R14" s="547"/>
    </row>
    <row r="15" spans="1:20" ht="13" customHeight="1">
      <c r="A15" s="541" t="s">
        <v>285</v>
      </c>
      <c r="B15" s="542"/>
      <c r="C15" s="371" t="s">
        <v>130</v>
      </c>
      <c r="D15" s="544">
        <v>196808.8</v>
      </c>
      <c r="E15" s="544">
        <v>192834</v>
      </c>
      <c r="F15" s="544">
        <v>211177.5</v>
      </c>
      <c r="G15" s="544">
        <v>222099.5</v>
      </c>
      <c r="H15" s="544">
        <v>246732.9</v>
      </c>
      <c r="I15" s="544">
        <v>260297</v>
      </c>
      <c r="J15" s="544">
        <v>256532.1</v>
      </c>
      <c r="K15" s="544">
        <v>250137.9</v>
      </c>
      <c r="L15" s="544">
        <v>281178</v>
      </c>
      <c r="M15" s="544">
        <v>311304.2</v>
      </c>
      <c r="N15" s="544">
        <v>267264.34999999998</v>
      </c>
      <c r="O15" s="544">
        <v>275978.8</v>
      </c>
      <c r="P15" s="544">
        <v>273732.3</v>
      </c>
      <c r="Q15" s="544">
        <v>255716.90900000001</v>
      </c>
      <c r="R15" s="544">
        <v>273745.89500000002</v>
      </c>
      <c r="S15" s="98"/>
      <c r="T15" s="98"/>
    </row>
    <row r="16" spans="1:20" ht="13" customHeight="1">
      <c r="A16" s="543"/>
      <c r="B16" s="542" t="s">
        <v>133</v>
      </c>
      <c r="C16" s="371" t="s">
        <v>200</v>
      </c>
      <c r="D16" s="544">
        <v>518878</v>
      </c>
      <c r="E16" s="544">
        <v>515501.8</v>
      </c>
      <c r="F16" s="544">
        <v>572760.1</v>
      </c>
      <c r="G16" s="544">
        <v>609490</v>
      </c>
      <c r="H16" s="544">
        <v>680859.7</v>
      </c>
      <c r="I16" s="544">
        <v>710283.3</v>
      </c>
      <c r="J16" s="544">
        <v>698269.4</v>
      </c>
      <c r="K16" s="544">
        <v>700353.7</v>
      </c>
      <c r="L16" s="544">
        <v>764638.6</v>
      </c>
      <c r="M16" s="544">
        <v>862757.2</v>
      </c>
      <c r="N16" s="544">
        <v>733525.8</v>
      </c>
      <c r="O16" s="544">
        <v>739055.1</v>
      </c>
      <c r="P16" s="544">
        <v>742698</v>
      </c>
      <c r="Q16" s="544">
        <v>690038.83299999998</v>
      </c>
      <c r="R16" s="544">
        <v>735253.54369999992</v>
      </c>
      <c r="T16" s="184"/>
    </row>
    <row r="17" spans="1:20" ht="13" customHeight="1">
      <c r="A17" s="543"/>
      <c r="B17" s="542" t="s">
        <v>134</v>
      </c>
      <c r="C17" s="371" t="s">
        <v>355</v>
      </c>
      <c r="D17" s="551">
        <v>2.6360000000000001</v>
      </c>
      <c r="E17" s="551">
        <v>2.673</v>
      </c>
      <c r="F17" s="551">
        <v>2.7120000000000002</v>
      </c>
      <c r="G17" s="551">
        <f t="shared" ref="G17:P17" si="0">G16/G15</f>
        <v>2.7442204957687881</v>
      </c>
      <c r="H17" s="551">
        <f t="shared" si="0"/>
        <v>2.7595010637008683</v>
      </c>
      <c r="I17" s="551">
        <f t="shared" si="0"/>
        <v>2.7287417834243195</v>
      </c>
      <c r="J17" s="551">
        <f t="shared" si="0"/>
        <v>2.7219572131518825</v>
      </c>
      <c r="K17" s="551">
        <f t="shared" si="0"/>
        <v>2.7998703914920529</v>
      </c>
      <c r="L17" s="551">
        <f t="shared" si="0"/>
        <v>2.719411191487243</v>
      </c>
      <c r="M17" s="551">
        <f t="shared" si="0"/>
        <v>2.7714280758178012</v>
      </c>
      <c r="N17" s="551">
        <f t="shared" si="0"/>
        <v>2.7445703102564938</v>
      </c>
      <c r="O17" s="551">
        <f t="shared" si="0"/>
        <v>2.6779415665261244</v>
      </c>
      <c r="P17" s="551">
        <f t="shared" si="0"/>
        <v>2.7132274853935763</v>
      </c>
      <c r="Q17" s="551">
        <f t="shared" ref="Q17:R17" si="1">Q16/Q15</f>
        <v>2.6984482007797141</v>
      </c>
      <c r="R17" s="551">
        <f t="shared" si="1"/>
        <v>2.6858979700864549</v>
      </c>
    </row>
    <row r="18" spans="1:20" ht="13" customHeight="1">
      <c r="A18" s="543"/>
      <c r="B18" s="542"/>
      <c r="C18" s="371"/>
      <c r="D18" s="552"/>
      <c r="E18" s="552"/>
      <c r="F18" s="552"/>
      <c r="G18" s="552"/>
      <c r="H18" s="552"/>
      <c r="I18" s="552"/>
      <c r="J18" s="552"/>
      <c r="K18" s="552"/>
      <c r="L18" s="552"/>
      <c r="M18" s="552"/>
      <c r="N18" s="552"/>
      <c r="O18" s="552"/>
      <c r="P18" s="552"/>
      <c r="Q18" s="552"/>
      <c r="R18" s="552"/>
    </row>
    <row r="19" spans="1:20" ht="13" customHeight="1">
      <c r="A19" s="541" t="s">
        <v>286</v>
      </c>
      <c r="B19" s="542"/>
      <c r="C19" s="371"/>
      <c r="D19" s="552"/>
      <c r="E19" s="552"/>
      <c r="F19" s="552"/>
      <c r="G19" s="552"/>
      <c r="H19" s="552"/>
      <c r="I19" s="552"/>
      <c r="J19" s="552"/>
      <c r="K19" s="552"/>
      <c r="L19" s="552"/>
      <c r="M19" s="552"/>
      <c r="N19" s="555"/>
      <c r="O19" s="555"/>
      <c r="P19" s="555"/>
      <c r="Q19" s="555"/>
      <c r="R19" s="555"/>
    </row>
    <row r="20" spans="1:20" ht="13" customHeight="1">
      <c r="A20" s="541"/>
      <c r="B20" s="542" t="s">
        <v>191</v>
      </c>
      <c r="C20" s="371" t="s">
        <v>356</v>
      </c>
      <c r="D20" s="553">
        <v>3.88</v>
      </c>
      <c r="E20" s="553">
        <v>4.1900000000000004</v>
      </c>
      <c r="F20" s="553">
        <v>4.16</v>
      </c>
      <c r="G20" s="553">
        <v>4.45</v>
      </c>
      <c r="H20" s="553">
        <v>4.37</v>
      </c>
      <c r="I20" s="553">
        <v>4.41</v>
      </c>
      <c r="J20" s="553">
        <v>4.71</v>
      </c>
      <c r="K20" s="553">
        <v>4.4000000000000004</v>
      </c>
      <c r="L20" s="553">
        <v>4.5999999999999996</v>
      </c>
      <c r="M20" s="553">
        <v>3.85</v>
      </c>
      <c r="N20" s="554">
        <v>4.5229486984300697</v>
      </c>
      <c r="O20" s="554">
        <v>5.89</v>
      </c>
      <c r="P20" s="554">
        <v>5.98</v>
      </c>
      <c r="Q20" s="554">
        <v>6.94</v>
      </c>
      <c r="R20" s="554">
        <v>6.5224390617984502</v>
      </c>
      <c r="S20" s="71"/>
      <c r="T20" s="71"/>
    </row>
    <row r="21" spans="1:20" ht="13" customHeight="1">
      <c r="A21" s="543"/>
      <c r="B21" s="542" t="s">
        <v>192</v>
      </c>
      <c r="C21" s="371" t="s">
        <v>356</v>
      </c>
      <c r="D21" s="553">
        <v>4.16</v>
      </c>
      <c r="E21" s="553">
        <v>4.43</v>
      </c>
      <c r="F21" s="553">
        <v>4.4000000000000004</v>
      </c>
      <c r="G21" s="553">
        <v>4.8099999999999996</v>
      </c>
      <c r="H21" s="553">
        <v>4.8</v>
      </c>
      <c r="I21" s="553">
        <v>4.9000000000000004</v>
      </c>
      <c r="J21" s="553">
        <v>5.04</v>
      </c>
      <c r="K21" s="553">
        <v>4.6399999999999997</v>
      </c>
      <c r="L21" s="553">
        <v>4.8600000000000003</v>
      </c>
      <c r="M21" s="553">
        <v>4.04</v>
      </c>
      <c r="N21" s="554">
        <v>4.8499999999999996</v>
      </c>
      <c r="O21" s="554">
        <v>6.22</v>
      </c>
      <c r="P21" s="554">
        <v>6.3</v>
      </c>
      <c r="Q21" s="554">
        <v>7.09</v>
      </c>
      <c r="R21" s="554">
        <v>6.7739882772767368</v>
      </c>
      <c r="T21" s="71"/>
    </row>
    <row r="22" spans="1:20" ht="13" customHeight="1">
      <c r="A22" s="543"/>
      <c r="B22" s="542" t="s">
        <v>193</v>
      </c>
      <c r="C22" s="371" t="s">
        <v>356</v>
      </c>
      <c r="D22" s="553">
        <v>5.53</v>
      </c>
      <c r="E22" s="553">
        <v>5.92</v>
      </c>
      <c r="F22" s="553">
        <v>6.39</v>
      </c>
      <c r="G22" s="553">
        <v>6.72</v>
      </c>
      <c r="H22" s="553">
        <v>6.75</v>
      </c>
      <c r="I22" s="553">
        <v>6.85</v>
      </c>
      <c r="J22" s="553">
        <v>7</v>
      </c>
      <c r="K22" s="553">
        <v>6.61</v>
      </c>
      <c r="L22" s="553">
        <v>6.59</v>
      </c>
      <c r="M22" s="553">
        <v>6.12</v>
      </c>
      <c r="N22" s="554">
        <v>6.19</v>
      </c>
      <c r="O22" s="554">
        <v>7.5049999999999999</v>
      </c>
      <c r="P22" s="554">
        <v>7.58</v>
      </c>
      <c r="Q22" s="554">
        <v>8.0399999999999991</v>
      </c>
      <c r="R22" s="554">
        <v>7.763988277276737</v>
      </c>
      <c r="S22" s="101"/>
    </row>
    <row r="23" spans="1:20" ht="13" customHeight="1">
      <c r="A23" s="543"/>
      <c r="B23" s="542" t="s">
        <v>194</v>
      </c>
      <c r="C23" s="371" t="s">
        <v>356</v>
      </c>
      <c r="D23" s="553">
        <v>6.75</v>
      </c>
      <c r="E23" s="553">
        <v>7</v>
      </c>
      <c r="F23" s="553">
        <v>7.24</v>
      </c>
      <c r="G23" s="553">
        <v>7.71</v>
      </c>
      <c r="H23" s="553">
        <v>7.88</v>
      </c>
      <c r="I23" s="553">
        <v>8.2799999999999994</v>
      </c>
      <c r="J23" s="553">
        <v>8.51</v>
      </c>
      <c r="K23" s="553">
        <v>8.14</v>
      </c>
      <c r="L23" s="553">
        <v>8.0500000000000007</v>
      </c>
      <c r="M23" s="553">
        <v>7.62</v>
      </c>
      <c r="N23" s="553">
        <v>7.6858333333333322</v>
      </c>
      <c r="O23" s="553">
        <v>9.0050000000000008</v>
      </c>
      <c r="P23" s="553">
        <v>9.67</v>
      </c>
      <c r="Q23" s="553">
        <v>10.72</v>
      </c>
      <c r="R23" s="554">
        <v>10.780000000000001</v>
      </c>
      <c r="S23" s="100"/>
    </row>
    <row r="24" spans="1:20" ht="13" customHeight="1">
      <c r="A24" s="543"/>
      <c r="B24" s="542"/>
      <c r="C24" s="371"/>
      <c r="D24" s="552"/>
      <c r="E24" s="552"/>
      <c r="F24" s="552"/>
      <c r="G24" s="552"/>
      <c r="H24" s="552"/>
      <c r="I24" s="552"/>
      <c r="J24" s="552"/>
      <c r="K24" s="552"/>
      <c r="L24" s="552"/>
      <c r="M24" s="552"/>
      <c r="N24" s="552"/>
      <c r="O24" s="552"/>
      <c r="P24" s="552"/>
      <c r="Q24" s="552"/>
      <c r="R24" s="552"/>
    </row>
    <row r="25" spans="1:20" ht="13" customHeight="1">
      <c r="A25" s="541" t="s">
        <v>287</v>
      </c>
      <c r="B25" s="542"/>
      <c r="C25" s="371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</row>
    <row r="26" spans="1:20" ht="13" customHeight="1">
      <c r="A26" s="543"/>
      <c r="B26" s="542" t="s">
        <v>135</v>
      </c>
      <c r="C26" s="371" t="s">
        <v>130</v>
      </c>
      <c r="D26" s="544">
        <v>9039.6</v>
      </c>
      <c r="E26" s="544">
        <v>9845.2999999999993</v>
      </c>
      <c r="F26" s="544">
        <v>8769.9</v>
      </c>
      <c r="G26" s="544">
        <v>5597.6</v>
      </c>
      <c r="H26" s="544">
        <v>4478</v>
      </c>
      <c r="I26" s="544">
        <v>4256.8</v>
      </c>
      <c r="J26" s="544">
        <v>4834.5</v>
      </c>
      <c r="K26" s="544">
        <v>4942.8999999999996</v>
      </c>
      <c r="L26" s="544">
        <v>5323.9</v>
      </c>
      <c r="M26" s="544">
        <v>6543.11</v>
      </c>
      <c r="N26" s="544">
        <v>5024.5349999999999</v>
      </c>
      <c r="O26" s="544">
        <v>4187.982</v>
      </c>
      <c r="P26" s="544">
        <v>4039.1950000000002</v>
      </c>
      <c r="Q26" s="544">
        <v>3550.5050000000001</v>
      </c>
      <c r="R26" s="544">
        <v>3708.2939999999999</v>
      </c>
      <c r="S26" s="98"/>
      <c r="T26" s="428"/>
    </row>
    <row r="27" spans="1:20" ht="13" customHeight="1">
      <c r="A27" s="543"/>
      <c r="B27" s="542" t="s">
        <v>136</v>
      </c>
      <c r="C27" s="371" t="s">
        <v>130</v>
      </c>
      <c r="D27" s="544">
        <v>4180.3999999999996</v>
      </c>
      <c r="E27" s="544">
        <v>4529.2</v>
      </c>
      <c r="F27" s="544">
        <v>4569.8</v>
      </c>
      <c r="G27" s="544">
        <v>4135.3999999999996</v>
      </c>
      <c r="H27" s="544">
        <v>3760.4</v>
      </c>
      <c r="I27" s="544">
        <v>3759.6</v>
      </c>
      <c r="J27" s="544">
        <v>3592.6</v>
      </c>
      <c r="K27" s="544">
        <v>4277</v>
      </c>
      <c r="L27" s="544">
        <v>4063.3</v>
      </c>
      <c r="M27" s="544">
        <v>5011.9380000000001</v>
      </c>
      <c r="N27" s="544">
        <v>4473.3720000000003</v>
      </c>
      <c r="O27" s="544">
        <v>4060.86</v>
      </c>
      <c r="P27" s="544">
        <v>4069.59</v>
      </c>
      <c r="Q27" s="544">
        <v>3276.34</v>
      </c>
      <c r="R27" s="544">
        <v>3085.59</v>
      </c>
      <c r="S27" s="98"/>
      <c r="T27" s="98"/>
    </row>
    <row r="28" spans="1:20" ht="13" customHeight="1">
      <c r="A28" s="543"/>
      <c r="B28" s="542"/>
      <c r="C28" s="371"/>
      <c r="D28" s="542"/>
      <c r="E28" s="542"/>
      <c r="F28" s="542"/>
      <c r="G28" s="542"/>
      <c r="H28" s="542"/>
      <c r="I28" s="542"/>
      <c r="J28" s="542"/>
      <c r="K28" s="542"/>
      <c r="L28" s="542"/>
      <c r="M28" s="542"/>
      <c r="N28" s="542"/>
      <c r="O28" s="542"/>
      <c r="P28" s="542"/>
      <c r="Q28" s="542"/>
      <c r="R28" s="542"/>
    </row>
    <row r="29" spans="1:20" ht="13" customHeight="1">
      <c r="A29" s="541" t="s">
        <v>288</v>
      </c>
      <c r="B29" s="542"/>
      <c r="C29" s="371"/>
      <c r="D29" s="556"/>
      <c r="E29" s="556"/>
      <c r="F29" s="556"/>
      <c r="G29" s="556"/>
      <c r="H29" s="556"/>
      <c r="I29" s="556"/>
      <c r="J29" s="556"/>
      <c r="K29" s="556"/>
      <c r="L29" s="556"/>
      <c r="M29" s="556"/>
      <c r="N29" s="556"/>
      <c r="O29" s="552"/>
      <c r="P29" s="552"/>
      <c r="Q29" s="552"/>
      <c r="R29" s="552"/>
      <c r="S29" s="98"/>
    </row>
    <row r="30" spans="1:20" ht="13" customHeight="1">
      <c r="A30" s="543"/>
      <c r="B30" s="545" t="s">
        <v>190</v>
      </c>
      <c r="C30" s="371" t="s">
        <v>200</v>
      </c>
      <c r="D30" s="403">
        <v>1031493</v>
      </c>
      <c r="E30" s="403">
        <v>1123093</v>
      </c>
      <c r="F30" s="403">
        <v>1226207</v>
      </c>
      <c r="G30" s="403">
        <v>1268686</v>
      </c>
      <c r="H30" s="403">
        <v>1333429</v>
      </c>
      <c r="I30" s="403">
        <v>1441252</v>
      </c>
      <c r="J30" s="403">
        <v>1540472</v>
      </c>
      <c r="K30" s="403">
        <v>1608072</v>
      </c>
      <c r="L30" s="403">
        <v>1745540</v>
      </c>
      <c r="M30" s="403">
        <v>1792476</v>
      </c>
      <c r="N30" s="403">
        <v>1786771</v>
      </c>
      <c r="O30" s="403">
        <v>1842269.2</v>
      </c>
      <c r="P30" s="403">
        <v>1882830.3381394488</v>
      </c>
      <c r="Q30" s="403">
        <v>1909853.7644416189</v>
      </c>
      <c r="R30" s="403">
        <v>1958864.622967486</v>
      </c>
      <c r="T30" s="71"/>
    </row>
    <row r="31" spans="1:20" ht="13" customHeight="1">
      <c r="A31" s="543"/>
      <c r="B31" s="545" t="s">
        <v>132</v>
      </c>
      <c r="C31" s="371" t="s">
        <v>200</v>
      </c>
      <c r="D31" s="403">
        <v>951245</v>
      </c>
      <c r="E31" s="403">
        <v>1009651</v>
      </c>
      <c r="F31" s="403">
        <v>1093406</v>
      </c>
      <c r="G31" s="403">
        <v>1175740</v>
      </c>
      <c r="H31" s="403">
        <v>1233132</v>
      </c>
      <c r="I31" s="403">
        <v>1329926</v>
      </c>
      <c r="J31" s="403">
        <v>1405514</v>
      </c>
      <c r="K31" s="403">
        <v>1480708</v>
      </c>
      <c r="L31" s="403">
        <v>1616317</v>
      </c>
      <c r="M31" s="403">
        <v>1658504</v>
      </c>
      <c r="N31" s="403">
        <v>1660444</v>
      </c>
      <c r="O31" s="403">
        <v>1705918.9</v>
      </c>
      <c r="P31" s="403">
        <v>1746956</v>
      </c>
      <c r="Q31" s="403">
        <v>1744113.4330720508</v>
      </c>
      <c r="R31" s="403">
        <v>1813165.389879161</v>
      </c>
      <c r="T31" s="403"/>
    </row>
    <row r="32" spans="1:20" ht="13" customHeight="1">
      <c r="A32" s="543"/>
      <c r="B32" s="542" t="s">
        <v>14</v>
      </c>
      <c r="C32" s="371" t="s">
        <v>200</v>
      </c>
      <c r="D32" s="403">
        <v>285102</v>
      </c>
      <c r="E32" s="403">
        <v>317654</v>
      </c>
      <c r="F32" s="403">
        <v>314024</v>
      </c>
      <c r="G32" s="403">
        <v>349791</v>
      </c>
      <c r="H32" s="403">
        <v>358630</v>
      </c>
      <c r="I32" s="403">
        <v>386255</v>
      </c>
      <c r="J32" s="403">
        <v>400980</v>
      </c>
      <c r="K32" s="403">
        <v>415335</v>
      </c>
      <c r="L32" s="403">
        <v>452234</v>
      </c>
      <c r="M32" s="403">
        <v>488484</v>
      </c>
      <c r="N32" s="403">
        <v>497525</v>
      </c>
      <c r="O32" s="403">
        <v>504112</v>
      </c>
      <c r="P32" s="403">
        <v>510962</v>
      </c>
      <c r="Q32" s="403">
        <v>510830</v>
      </c>
      <c r="R32" s="403">
        <v>508592</v>
      </c>
      <c r="S32" s="71"/>
      <c r="T32" s="403"/>
    </row>
    <row r="33" spans="1:30" ht="13" customHeight="1">
      <c r="A33" s="543"/>
      <c r="B33" s="550"/>
      <c r="C33" s="371"/>
      <c r="D33" s="546"/>
      <c r="E33" s="557"/>
      <c r="F33" s="557"/>
      <c r="G33" s="557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</row>
    <row r="34" spans="1:30" ht="13" customHeight="1">
      <c r="A34" s="382" t="s">
        <v>289</v>
      </c>
      <c r="B34" s="550"/>
      <c r="C34" s="371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</row>
    <row r="35" spans="1:30" ht="13" customHeight="1">
      <c r="A35" s="543"/>
      <c r="B35" s="545" t="s">
        <v>190</v>
      </c>
      <c r="C35" s="371" t="s">
        <v>357</v>
      </c>
      <c r="D35" s="544">
        <v>35</v>
      </c>
      <c r="E35" s="544">
        <v>37.700000000000003</v>
      </c>
      <c r="F35" s="544">
        <v>40.689</v>
      </c>
      <c r="G35" s="544">
        <v>41.63</v>
      </c>
      <c r="H35" s="544">
        <v>43.273000000000003</v>
      </c>
      <c r="I35" s="544">
        <v>46.265999999999998</v>
      </c>
      <c r="J35" s="544">
        <v>48.921999999999997</v>
      </c>
      <c r="K35" s="544">
        <v>50.896000000000001</v>
      </c>
      <c r="L35" s="544">
        <v>54.311</v>
      </c>
      <c r="M35" s="544">
        <v>56.02</v>
      </c>
      <c r="N35" s="544">
        <v>54.433999999999997</v>
      </c>
      <c r="O35" s="544">
        <v>55.575000000000003</v>
      </c>
      <c r="P35" s="544">
        <v>56.253311379319541</v>
      </c>
      <c r="Q35" s="544">
        <v>56.628790800361266</v>
      </c>
      <c r="R35" s="544">
        <v>57.548572867668057</v>
      </c>
      <c r="S35" s="565"/>
      <c r="T35" s="565"/>
      <c r="U35" s="565"/>
      <c r="V35" s="565"/>
      <c r="W35" s="565"/>
      <c r="X35" s="565"/>
      <c r="Y35" s="565"/>
      <c r="Z35" s="565"/>
      <c r="AA35" s="565"/>
      <c r="AB35" s="565"/>
      <c r="AC35" s="565"/>
      <c r="AD35" s="565"/>
    </row>
    <row r="36" spans="1:30" ht="13" customHeight="1">
      <c r="A36" s="543"/>
      <c r="B36" s="545" t="s">
        <v>132</v>
      </c>
      <c r="C36" s="371" t="s">
        <v>357</v>
      </c>
      <c r="D36" s="544">
        <v>32.299999999999997</v>
      </c>
      <c r="E36" s="544">
        <v>33.9</v>
      </c>
      <c r="F36" s="544">
        <v>36.283000000000001</v>
      </c>
      <c r="G36" s="544">
        <v>38.58</v>
      </c>
      <c r="H36" s="544">
        <v>40.018000000000001</v>
      </c>
      <c r="I36" s="544">
        <v>42.692</v>
      </c>
      <c r="J36" s="544">
        <v>44.636000000000003</v>
      </c>
      <c r="K36" s="544">
        <v>46.860999999999997</v>
      </c>
      <c r="L36" s="544">
        <v>50.286999999999999</v>
      </c>
      <c r="M36" s="544">
        <v>51.901000000000003</v>
      </c>
      <c r="N36" s="544">
        <v>50.585999999999999</v>
      </c>
      <c r="O36" s="544">
        <v>51.462000000000003</v>
      </c>
      <c r="P36" s="544">
        <v>52.193805548988422</v>
      </c>
      <c r="Q36" s="544">
        <v>52.587601689704414</v>
      </c>
      <c r="R36" s="544">
        <v>53.2681428502814</v>
      </c>
      <c r="S36" s="565"/>
      <c r="T36" s="565"/>
      <c r="U36" s="565"/>
      <c r="V36" s="565"/>
      <c r="W36" s="565"/>
      <c r="X36" s="565"/>
      <c r="Y36" s="565"/>
      <c r="Z36" s="565"/>
      <c r="AA36" s="565"/>
      <c r="AB36" s="565"/>
      <c r="AC36" s="565"/>
      <c r="AD36" s="565"/>
    </row>
    <row r="37" spans="1:30" ht="13" customHeight="1">
      <c r="A37" s="543"/>
      <c r="B37" s="542" t="s">
        <v>14</v>
      </c>
      <c r="C37" s="371" t="s">
        <v>357</v>
      </c>
      <c r="D37" s="544">
        <v>9.6999999999999993</v>
      </c>
      <c r="E37" s="544">
        <v>10.7</v>
      </c>
      <c r="F37" s="544">
        <v>10.42</v>
      </c>
      <c r="G37" s="544">
        <v>11.478</v>
      </c>
      <c r="H37" s="544">
        <v>11.638</v>
      </c>
      <c r="I37" s="544">
        <v>12.398999999999999</v>
      </c>
      <c r="J37" s="544">
        <v>12.734</v>
      </c>
      <c r="K37" s="544">
        <v>13.05</v>
      </c>
      <c r="L37" s="544">
        <v>14.061</v>
      </c>
      <c r="M37" s="544">
        <v>15.025</v>
      </c>
      <c r="N37" s="544">
        <v>15.157</v>
      </c>
      <c r="O37" s="544">
        <v>15.207000000000001</v>
      </c>
      <c r="P37" s="544">
        <v>15.266</v>
      </c>
      <c r="Q37" s="544">
        <v>14.916750489624516</v>
      </c>
      <c r="R37" s="544">
        <v>15.37601468407153</v>
      </c>
      <c r="S37" s="565"/>
      <c r="T37" s="565"/>
      <c r="U37" s="565"/>
      <c r="V37" s="565"/>
      <c r="W37" s="565"/>
      <c r="X37" s="565"/>
      <c r="Y37" s="565"/>
      <c r="Z37" s="565"/>
      <c r="AA37" s="565"/>
      <c r="AB37" s="565"/>
      <c r="AC37" s="565"/>
      <c r="AD37" s="565"/>
    </row>
    <row r="38" spans="1:30" ht="13" customHeight="1">
      <c r="A38" s="543"/>
      <c r="B38" s="545"/>
      <c r="C38" s="371" t="s">
        <v>270</v>
      </c>
      <c r="D38" s="403">
        <v>154</v>
      </c>
      <c r="E38" s="403">
        <v>170</v>
      </c>
      <c r="F38" s="403">
        <v>166</v>
      </c>
      <c r="G38" s="403">
        <v>183</v>
      </c>
      <c r="H38" s="403">
        <v>186</v>
      </c>
      <c r="I38" s="403">
        <v>198</v>
      </c>
      <c r="J38" s="403">
        <v>203</v>
      </c>
      <c r="K38" s="403">
        <v>208</v>
      </c>
      <c r="L38" s="403">
        <v>224</v>
      </c>
      <c r="M38" s="403">
        <v>240</v>
      </c>
      <c r="N38" s="403">
        <v>242</v>
      </c>
      <c r="O38" s="403">
        <v>243</v>
      </c>
      <c r="P38" s="403">
        <v>244</v>
      </c>
      <c r="Q38" s="403">
        <v>236.77381729562723</v>
      </c>
      <c r="R38" s="403">
        <v>244.06372514399254</v>
      </c>
      <c r="U38" s="100"/>
      <c r="V38" s="100"/>
      <c r="W38" s="100"/>
      <c r="X38" s="100"/>
      <c r="Y38" s="100"/>
    </row>
    <row r="39" spans="1:30" ht="13" customHeight="1">
      <c r="A39" s="543"/>
      <c r="B39" s="545"/>
      <c r="C39" s="371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U39" s="100"/>
      <c r="V39" s="100"/>
      <c r="W39" s="100"/>
      <c r="X39" s="100"/>
      <c r="Y39" s="100"/>
    </row>
    <row r="40" spans="1:30" ht="13" customHeight="1">
      <c r="A40" s="541" t="s">
        <v>197</v>
      </c>
      <c r="B40" s="542"/>
      <c r="C40" s="371"/>
      <c r="D40" s="547"/>
      <c r="E40" s="547"/>
      <c r="F40" s="547"/>
      <c r="G40" s="547"/>
      <c r="H40" s="547"/>
      <c r="I40" s="547"/>
      <c r="J40" s="547"/>
      <c r="K40" s="548"/>
      <c r="L40" s="548"/>
      <c r="M40" s="548"/>
      <c r="N40" s="548"/>
      <c r="O40" s="548"/>
      <c r="P40" s="548"/>
      <c r="Q40" s="548"/>
      <c r="R40" s="548"/>
      <c r="U40" s="100"/>
      <c r="V40" s="100"/>
      <c r="W40" s="100"/>
      <c r="X40" s="100"/>
      <c r="Y40" s="100"/>
    </row>
    <row r="41" spans="1:30" ht="13" customHeight="1">
      <c r="A41" s="543"/>
      <c r="B41" s="545" t="s">
        <v>190</v>
      </c>
      <c r="C41" s="371" t="s">
        <v>200</v>
      </c>
      <c r="D41" s="403">
        <v>663307</v>
      </c>
      <c r="E41" s="403">
        <v>667741</v>
      </c>
      <c r="F41" s="403">
        <v>700274</v>
      </c>
      <c r="G41" s="403">
        <v>714462</v>
      </c>
      <c r="H41" s="403">
        <v>731096</v>
      </c>
      <c r="I41" s="403">
        <v>775685</v>
      </c>
      <c r="J41" s="403">
        <v>782264</v>
      </c>
      <c r="K41" s="403">
        <v>809020</v>
      </c>
      <c r="L41" s="403">
        <v>833996</v>
      </c>
      <c r="M41" s="403">
        <v>856947</v>
      </c>
      <c r="N41" s="403">
        <v>850798</v>
      </c>
      <c r="O41" s="403">
        <v>856508</v>
      </c>
      <c r="P41" s="403">
        <v>830462</v>
      </c>
      <c r="Q41" s="403">
        <v>811363.89963000012</v>
      </c>
      <c r="R41" s="403">
        <v>857287.97531999997</v>
      </c>
      <c r="U41" s="100"/>
      <c r="V41" s="100"/>
      <c r="W41" s="100"/>
      <c r="X41" s="100"/>
      <c r="Y41" s="100"/>
    </row>
    <row r="42" spans="1:30" ht="13" customHeight="1">
      <c r="A42" s="543"/>
      <c r="B42" s="545" t="s">
        <v>132</v>
      </c>
      <c r="C42" s="371" t="s">
        <v>200</v>
      </c>
      <c r="D42" s="549">
        <v>610168</v>
      </c>
      <c r="E42" s="549">
        <v>612926</v>
      </c>
      <c r="F42" s="549">
        <v>637376</v>
      </c>
      <c r="G42" s="549">
        <v>652364</v>
      </c>
      <c r="H42" s="549">
        <v>682187</v>
      </c>
      <c r="I42" s="549">
        <v>700034</v>
      </c>
      <c r="J42" s="549">
        <v>726536</v>
      </c>
      <c r="K42" s="549">
        <v>755693</v>
      </c>
      <c r="L42" s="549">
        <v>759191</v>
      </c>
      <c r="M42" s="549">
        <v>772967</v>
      </c>
      <c r="N42" s="549">
        <v>777584</v>
      </c>
      <c r="O42" s="549">
        <v>805788</v>
      </c>
      <c r="P42" s="549">
        <v>802830</v>
      </c>
      <c r="Q42" s="549">
        <v>765182.64959999989</v>
      </c>
      <c r="R42" s="549">
        <v>811833.75053999992</v>
      </c>
      <c r="U42" s="100"/>
      <c r="V42" s="100"/>
      <c r="W42" s="100"/>
      <c r="X42" s="100"/>
      <c r="Y42" s="100"/>
    </row>
    <row r="43" spans="1:30" ht="13" customHeight="1">
      <c r="A43" s="543"/>
      <c r="B43" s="542" t="s">
        <v>14</v>
      </c>
      <c r="C43" s="371" t="s">
        <v>200</v>
      </c>
      <c r="D43" s="403">
        <v>136849</v>
      </c>
      <c r="E43" s="403">
        <v>139128</v>
      </c>
      <c r="F43" s="403">
        <v>138171</v>
      </c>
      <c r="G43" s="403">
        <v>145163</v>
      </c>
      <c r="H43" s="403">
        <v>154211</v>
      </c>
      <c r="I43" s="403">
        <v>162227</v>
      </c>
      <c r="J43" s="403">
        <v>168412</v>
      </c>
      <c r="K43" s="403">
        <v>174441</v>
      </c>
      <c r="L43" s="403">
        <v>185416</v>
      </c>
      <c r="M43" s="403">
        <v>195394</v>
      </c>
      <c r="N43" s="403">
        <v>199110</v>
      </c>
      <c r="O43" s="403">
        <v>208961</v>
      </c>
      <c r="P43" s="403">
        <v>219713</v>
      </c>
      <c r="Q43" s="403">
        <v>208778.2011845716</v>
      </c>
      <c r="R43" s="403">
        <v>226323.35699999999</v>
      </c>
      <c r="S43" s="184"/>
      <c r="T43" s="184"/>
      <c r="U43" s="100"/>
      <c r="V43" s="100"/>
      <c r="W43" s="100"/>
      <c r="X43" s="100"/>
      <c r="Y43" s="100"/>
      <c r="Z43" s="184"/>
      <c r="AA43" s="184"/>
    </row>
    <row r="44" spans="1:30" ht="13" customHeight="1">
      <c r="A44" s="543"/>
      <c r="B44" s="550"/>
      <c r="C44" s="371"/>
      <c r="D44" s="552"/>
      <c r="E44" s="552"/>
      <c r="F44" s="552"/>
      <c r="G44" s="552"/>
      <c r="H44" s="552"/>
      <c r="I44" s="552"/>
      <c r="J44" s="552"/>
      <c r="K44" s="552"/>
      <c r="L44" s="552"/>
      <c r="M44" s="552"/>
      <c r="N44" s="552"/>
      <c r="O44" s="552"/>
      <c r="P44" s="552"/>
      <c r="Q44" s="552"/>
      <c r="R44" s="552"/>
    </row>
    <row r="45" spans="1:30" ht="13" customHeight="1">
      <c r="A45" s="382" t="s">
        <v>290</v>
      </c>
      <c r="B45" s="550"/>
      <c r="C45" s="371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58"/>
      <c r="P45" s="558"/>
      <c r="Q45" s="558"/>
      <c r="R45" s="558"/>
    </row>
    <row r="46" spans="1:30" ht="13" customHeight="1">
      <c r="A46" s="543"/>
      <c r="B46" s="545" t="s">
        <v>190</v>
      </c>
      <c r="C46" s="371" t="s">
        <v>357</v>
      </c>
      <c r="D46" s="544">
        <v>64.3</v>
      </c>
      <c r="E46" s="544">
        <v>71.8</v>
      </c>
      <c r="F46" s="544">
        <v>74.097999999999999</v>
      </c>
      <c r="G46" s="544">
        <v>74.421999999999997</v>
      </c>
      <c r="H46" s="544">
        <v>74.697000000000003</v>
      </c>
      <c r="I46" s="544">
        <v>75.286000000000001</v>
      </c>
      <c r="J46" s="544">
        <v>77.766000000000005</v>
      </c>
      <c r="K46" s="544">
        <v>79.176000000000002</v>
      </c>
      <c r="L46" s="544">
        <v>80.358999999999995</v>
      </c>
      <c r="M46" s="544">
        <v>81.295000000000002</v>
      </c>
      <c r="N46" s="544">
        <v>77.278000000000006</v>
      </c>
      <c r="O46" s="544">
        <v>78.763000000000005</v>
      </c>
      <c r="P46" s="544">
        <v>75.188000000000002</v>
      </c>
      <c r="Q46" s="544">
        <v>72.323894790418208</v>
      </c>
      <c r="R46" s="544">
        <v>75.236994839747467</v>
      </c>
      <c r="S46" s="565"/>
      <c r="T46" s="565"/>
      <c r="U46" s="565"/>
      <c r="V46" s="565"/>
      <c r="W46" s="565"/>
      <c r="X46" s="565"/>
      <c r="Y46" s="565"/>
      <c r="Z46" s="565"/>
      <c r="AA46" s="565"/>
      <c r="AB46" s="565"/>
      <c r="AC46" s="565"/>
    </row>
    <row r="47" spans="1:30" ht="13" customHeight="1">
      <c r="A47" s="543"/>
      <c r="B47" s="545" t="s">
        <v>132</v>
      </c>
      <c r="C47" s="371" t="s">
        <v>357</v>
      </c>
      <c r="D47" s="544">
        <v>59.1</v>
      </c>
      <c r="E47" s="544">
        <v>65.900000000000006</v>
      </c>
      <c r="F47" s="544">
        <v>67.442999999999998</v>
      </c>
      <c r="G47" s="544">
        <v>67.953999999999994</v>
      </c>
      <c r="H47" s="544">
        <v>69.956000000000003</v>
      </c>
      <c r="I47" s="544">
        <v>70.677000000000007</v>
      </c>
      <c r="J47" s="544">
        <v>72.225999999999999</v>
      </c>
      <c r="K47" s="544">
        <v>73.956999999999994</v>
      </c>
      <c r="L47" s="544">
        <v>73.152000000000001</v>
      </c>
      <c r="M47" s="544">
        <v>73.328999999999994</v>
      </c>
      <c r="N47" s="544">
        <v>72.626999999999995</v>
      </c>
      <c r="O47" s="544">
        <v>74.099000000000004</v>
      </c>
      <c r="P47" s="544">
        <v>72.686000000000007</v>
      </c>
      <c r="Q47" s="544">
        <v>68.207359817660787</v>
      </c>
      <c r="R47" s="544">
        <v>71.247857731016808</v>
      </c>
      <c r="S47" s="565"/>
      <c r="T47" s="565"/>
      <c r="U47" s="565"/>
      <c r="V47" s="565"/>
      <c r="W47" s="565"/>
      <c r="X47" s="565"/>
      <c r="Y47" s="565"/>
      <c r="Z47" s="565"/>
      <c r="AA47" s="565"/>
      <c r="AB47" s="565"/>
      <c r="AC47" s="565"/>
    </row>
    <row r="48" spans="1:30" ht="13" customHeight="1">
      <c r="A48" s="543"/>
      <c r="B48" s="542" t="s">
        <v>14</v>
      </c>
      <c r="C48" s="371" t="s">
        <v>357</v>
      </c>
      <c r="D48" s="544">
        <v>13.3</v>
      </c>
      <c r="E48" s="544">
        <v>15</v>
      </c>
      <c r="F48" s="544">
        <v>14.62</v>
      </c>
      <c r="G48" s="544">
        <v>15.121</v>
      </c>
      <c r="H48" s="544">
        <v>15.814</v>
      </c>
      <c r="I48" s="544">
        <v>16.379000000000001</v>
      </c>
      <c r="J48" s="544">
        <v>16.742000000000001</v>
      </c>
      <c r="K48" s="544">
        <v>17.071999999999999</v>
      </c>
      <c r="L48" s="544">
        <v>17.866</v>
      </c>
      <c r="M48" s="544">
        <v>18.536000000000001</v>
      </c>
      <c r="N48" s="544">
        <v>18.597000000000001</v>
      </c>
      <c r="O48" s="544">
        <v>19.216000000000001</v>
      </c>
      <c r="P48" s="544">
        <v>19.891999999999999</v>
      </c>
      <c r="Q48" s="544">
        <v>19.394630372804908</v>
      </c>
      <c r="R48" s="544">
        <v>19.8625080161729</v>
      </c>
      <c r="S48" s="565"/>
      <c r="T48" s="565"/>
      <c r="U48" s="565"/>
      <c r="V48" s="565"/>
      <c r="W48" s="565"/>
      <c r="X48" s="565"/>
      <c r="Y48" s="565"/>
      <c r="Z48" s="565"/>
      <c r="AA48" s="565"/>
      <c r="AB48" s="565"/>
      <c r="AC48" s="565"/>
    </row>
    <row r="49" spans="1:30" ht="13" customHeight="1">
      <c r="A49" s="543"/>
      <c r="B49" s="550"/>
      <c r="C49" s="371" t="s">
        <v>270</v>
      </c>
      <c r="D49" s="403">
        <v>212</v>
      </c>
      <c r="E49" s="403">
        <v>239</v>
      </c>
      <c r="F49" s="403">
        <v>234</v>
      </c>
      <c r="G49" s="403">
        <v>242</v>
      </c>
      <c r="H49" s="403">
        <v>253.1</v>
      </c>
      <c r="I49" s="403">
        <v>262.10000000000002</v>
      </c>
      <c r="J49" s="403">
        <v>267.89999999999998</v>
      </c>
      <c r="K49" s="403">
        <v>273.2</v>
      </c>
      <c r="L49" s="403">
        <v>285.89999999999998</v>
      </c>
      <c r="M49" s="403">
        <v>296.7</v>
      </c>
      <c r="N49" s="403">
        <v>297.60000000000002</v>
      </c>
      <c r="O49" s="403">
        <v>304.2</v>
      </c>
      <c r="P49" s="403">
        <v>315.74603174603175</v>
      </c>
      <c r="Q49" s="403">
        <v>307.85127575880807</v>
      </c>
      <c r="R49" s="403">
        <v>315.27790501861745</v>
      </c>
      <c r="S49" s="988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</row>
    <row r="50" spans="1:30" ht="13" customHeight="1">
      <c r="A50" s="543"/>
      <c r="B50" s="550"/>
      <c r="C50" s="371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46"/>
      <c r="Q50" s="546"/>
      <c r="R50" s="546"/>
      <c r="S50" s="989"/>
    </row>
    <row r="51" spans="1:30" ht="13" customHeight="1">
      <c r="A51" s="543" t="s">
        <v>291</v>
      </c>
      <c r="B51" s="542"/>
      <c r="C51" s="957" t="s">
        <v>269</v>
      </c>
      <c r="D51" s="551">
        <v>2.8239999999999998</v>
      </c>
      <c r="E51" s="551">
        <v>2.754</v>
      </c>
      <c r="F51" s="551">
        <v>2.6379999999999999</v>
      </c>
      <c r="G51" s="551">
        <v>2.702</v>
      </c>
      <c r="H51" s="551">
        <v>2.8380000000000001</v>
      </c>
      <c r="I51" s="551">
        <v>3.1850000000000001</v>
      </c>
      <c r="J51" s="551">
        <v>3.375</v>
      </c>
      <c r="K51" s="551">
        <v>3.26</v>
      </c>
      <c r="L51" s="551">
        <v>3.2869999999999999</v>
      </c>
      <c r="M51" s="551">
        <v>3.335</v>
      </c>
      <c r="N51" s="551">
        <v>3.4950000000000001</v>
      </c>
      <c r="O51" s="551">
        <v>3.8809999999999998</v>
      </c>
      <c r="P51" s="551">
        <v>3.835</v>
      </c>
      <c r="Q51" s="551">
        <v>3.7440000000000002</v>
      </c>
      <c r="R51" s="551">
        <v>3.7538928794524198</v>
      </c>
    </row>
    <row r="52" spans="1:30" ht="2" customHeight="1" thickBot="1">
      <c r="A52" s="68"/>
      <c r="B52" s="68"/>
      <c r="C52" s="102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</row>
    <row r="53" spans="1:30" ht="9" customHeight="1">
      <c r="A53" s="464"/>
      <c r="B53" s="936" t="s">
        <v>330</v>
      </c>
      <c r="C53" s="936"/>
      <c r="D53" s="462"/>
      <c r="E53" s="462"/>
      <c r="F53" s="936" t="s">
        <v>343</v>
      </c>
      <c r="G53" s="523"/>
      <c r="H53" s="462"/>
      <c r="I53" s="523"/>
      <c r="J53" s="523" t="s">
        <v>344</v>
      </c>
      <c r="K53" s="462"/>
      <c r="L53" s="523"/>
      <c r="M53" s="523" t="s">
        <v>345</v>
      </c>
      <c r="N53" s="171"/>
      <c r="O53" s="171"/>
      <c r="P53" s="171"/>
      <c r="Q53" s="171"/>
      <c r="R53" s="171"/>
      <c r="S53" s="173"/>
      <c r="T53" s="173"/>
    </row>
    <row r="54" spans="1:30" ht="9" customHeight="1">
      <c r="A54" s="464"/>
      <c r="B54" s="522" t="s">
        <v>320</v>
      </c>
      <c r="C54" s="522"/>
      <c r="D54" s="464"/>
      <c r="E54" s="464"/>
      <c r="F54" s="464"/>
      <c r="G54" s="464"/>
      <c r="H54" s="464"/>
      <c r="I54" s="464"/>
      <c r="J54" s="464"/>
      <c r="K54" s="464"/>
      <c r="L54" s="173"/>
      <c r="M54" s="173"/>
      <c r="N54" s="173"/>
      <c r="O54" s="173"/>
      <c r="P54" s="173"/>
      <c r="Q54" s="173"/>
      <c r="R54" s="173"/>
      <c r="S54" s="173"/>
      <c r="T54" s="173"/>
    </row>
    <row r="55" spans="1:30" ht="9" customHeight="1">
      <c r="A55" s="464"/>
      <c r="B55" s="937" t="s">
        <v>303</v>
      </c>
      <c r="C55" s="937"/>
      <c r="D55" s="464"/>
      <c r="E55" s="464"/>
      <c r="F55" s="464"/>
      <c r="G55" s="464"/>
      <c r="H55" s="464"/>
      <c r="I55" s="464"/>
      <c r="J55" s="464"/>
      <c r="K55" s="464"/>
      <c r="L55" s="173"/>
      <c r="M55" s="173"/>
      <c r="N55" s="173"/>
      <c r="O55" s="173"/>
      <c r="P55" s="987"/>
      <c r="Q55" s="987"/>
      <c r="R55" s="987"/>
      <c r="S55" s="173"/>
      <c r="T55" s="173"/>
    </row>
    <row r="56" spans="1:30" ht="10.25" customHeight="1">
      <c r="A56" s="464"/>
      <c r="B56" s="464"/>
      <c r="C56" s="464"/>
      <c r="D56" s="464"/>
      <c r="E56" s="464"/>
      <c r="F56" s="462"/>
      <c r="G56" s="462"/>
      <c r="H56" s="462"/>
      <c r="I56" s="462"/>
      <c r="J56" s="462"/>
      <c r="K56" s="462"/>
      <c r="L56" s="171"/>
      <c r="M56" s="171"/>
      <c r="N56" s="592"/>
      <c r="O56" s="592"/>
      <c r="P56" s="592"/>
      <c r="Q56" s="592"/>
      <c r="R56" s="592"/>
      <c r="S56" s="173"/>
      <c r="T56" s="173"/>
    </row>
    <row r="57" spans="1:30" ht="13.25" customHeight="1">
      <c r="J57" s="72"/>
      <c r="M57" s="593"/>
      <c r="N57" s="593"/>
      <c r="O57" s="593"/>
      <c r="P57" s="593"/>
      <c r="Q57" s="593"/>
      <c r="R57" s="593"/>
    </row>
    <row r="59" spans="1:30" ht="13.25" customHeight="1"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</row>
    <row r="61" spans="1:30" ht="13.25" customHeight="1">
      <c r="O61" s="591"/>
      <c r="P61" s="591"/>
      <c r="Q61" s="591"/>
      <c r="R61" s="591"/>
    </row>
  </sheetData>
  <mergeCells count="2">
    <mergeCell ref="A3:R3"/>
    <mergeCell ref="A4:B4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Hoja127">
    <tabColor theme="9" tint="0.59999389629810485"/>
  </sheetPr>
  <dimension ref="A1:O43"/>
  <sheetViews>
    <sheetView showGridLines="0" topLeftCell="A4" zoomScaleNormal="100" workbookViewId="0">
      <selection activeCell="B6" sqref="B6"/>
    </sheetView>
  </sheetViews>
  <sheetFormatPr baseColWidth="10" defaultColWidth="7" defaultRowHeight="13.25" customHeight="1"/>
  <cols>
    <col min="1" max="1" width="11.796875" style="91" customWidth="1"/>
    <col min="2" max="2" width="10.3984375" style="91" customWidth="1"/>
    <col min="3" max="14" width="9.19921875" style="91" customWidth="1"/>
    <col min="15" max="16384" width="7" style="91"/>
  </cols>
  <sheetData>
    <row r="1" spans="1:14" ht="13.25" customHeight="1"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</row>
    <row r="2" spans="1:14" ht="19.25" customHeight="1">
      <c r="A2" s="395" t="s">
        <v>558</v>
      </c>
      <c r="B2" s="395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</row>
    <row r="3" spans="1:14" ht="13.25" customHeight="1">
      <c r="A3" s="391" t="s">
        <v>272</v>
      </c>
      <c r="B3" s="396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</row>
    <row r="4" spans="1:14" ht="6" customHeight="1" thickBo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</row>
    <row r="5" spans="1:14" ht="18" customHeight="1">
      <c r="A5" s="774" t="s">
        <v>16</v>
      </c>
      <c r="B5" s="774" t="s">
        <v>103</v>
      </c>
      <c r="C5" s="774" t="s">
        <v>53</v>
      </c>
      <c r="D5" s="774" t="s">
        <v>54</v>
      </c>
      <c r="E5" s="774" t="s">
        <v>55</v>
      </c>
      <c r="F5" s="774" t="s">
        <v>56</v>
      </c>
      <c r="G5" s="774" t="s">
        <v>57</v>
      </c>
      <c r="H5" s="774" t="s">
        <v>58</v>
      </c>
      <c r="I5" s="774" t="s">
        <v>59</v>
      </c>
      <c r="J5" s="774" t="s">
        <v>60</v>
      </c>
      <c r="K5" s="774" t="s">
        <v>61</v>
      </c>
      <c r="L5" s="774" t="s">
        <v>62</v>
      </c>
      <c r="M5" s="774" t="s">
        <v>63</v>
      </c>
      <c r="N5" s="774" t="s">
        <v>64</v>
      </c>
    </row>
    <row r="6" spans="1:14" ht="18" customHeight="1">
      <c r="A6" s="696" t="s">
        <v>87</v>
      </c>
      <c r="B6" s="697">
        <f>SUM(C6:N6)</f>
        <v>817463146.65947795</v>
      </c>
      <c r="C6" s="698">
        <f t="shared" ref="C6:N6" si="0">+C8+C16+C25+C34</f>
        <v>66241553.161999993</v>
      </c>
      <c r="D6" s="698">
        <f t="shared" si="0"/>
        <v>62366423.641213551</v>
      </c>
      <c r="E6" s="698">
        <f t="shared" si="0"/>
        <v>67250430.627550006</v>
      </c>
      <c r="F6" s="698">
        <f t="shared" si="0"/>
        <v>66509736.623999998</v>
      </c>
      <c r="G6" s="698">
        <f t="shared" si="0"/>
        <v>68799379.850000009</v>
      </c>
      <c r="H6" s="698">
        <f t="shared" si="0"/>
        <v>67235192.342857152</v>
      </c>
      <c r="I6" s="698">
        <f t="shared" si="0"/>
        <v>70194076.302000001</v>
      </c>
      <c r="J6" s="698">
        <f t="shared" si="0"/>
        <v>68076724.905000016</v>
      </c>
      <c r="K6" s="698">
        <f t="shared" si="0"/>
        <v>67990588.478</v>
      </c>
      <c r="L6" s="698">
        <f t="shared" si="0"/>
        <v>71424107.986285731</v>
      </c>
      <c r="M6" s="698">
        <f t="shared" si="0"/>
        <v>70372104.740571439</v>
      </c>
      <c r="N6" s="698">
        <f t="shared" si="0"/>
        <v>71002828</v>
      </c>
    </row>
    <row r="7" spans="1:14" ht="3" customHeight="1">
      <c r="C7" s="406"/>
      <c r="D7" s="406"/>
      <c r="E7" s="406"/>
      <c r="F7" s="406"/>
      <c r="G7" s="406"/>
      <c r="H7" s="406"/>
      <c r="I7" s="406"/>
      <c r="J7" s="406"/>
      <c r="K7" s="406"/>
      <c r="L7" s="406"/>
      <c r="M7" s="406"/>
      <c r="N7" s="406"/>
    </row>
    <row r="8" spans="1:14" ht="18" customHeight="1">
      <c r="A8" s="917" t="s">
        <v>137</v>
      </c>
      <c r="B8" s="703">
        <f>SUM(B9:B14)</f>
        <v>209492177.2641941</v>
      </c>
      <c r="C8" s="916">
        <f>SUM(C9:C14)</f>
        <v>15899148</v>
      </c>
      <c r="D8" s="916">
        <f t="shared" ref="D8:N8" si="1">SUM(D9:D14)</f>
        <v>16088369</v>
      </c>
      <c r="E8" s="916">
        <f t="shared" si="1"/>
        <v>16812493</v>
      </c>
      <c r="F8" s="916">
        <f t="shared" si="1"/>
        <v>15478920</v>
      </c>
      <c r="G8" s="916">
        <f t="shared" si="1"/>
        <v>18569564</v>
      </c>
      <c r="H8" s="916">
        <f t="shared" si="1"/>
        <v>18569564</v>
      </c>
      <c r="I8" s="916">
        <f t="shared" si="1"/>
        <v>16925414</v>
      </c>
      <c r="J8" s="916">
        <f t="shared" si="1"/>
        <v>18632555.26419409</v>
      </c>
      <c r="K8" s="916">
        <f t="shared" si="1"/>
        <v>17158129</v>
      </c>
      <c r="L8" s="916">
        <f t="shared" si="1"/>
        <v>17741408</v>
      </c>
      <c r="M8" s="916">
        <f t="shared" si="1"/>
        <v>18308870</v>
      </c>
      <c r="N8" s="916">
        <f t="shared" si="1"/>
        <v>19307743</v>
      </c>
    </row>
    <row r="9" spans="1:14" ht="16" customHeight="1">
      <c r="A9" s="89" t="s">
        <v>138</v>
      </c>
      <c r="B9" s="703">
        <f t="shared" ref="B9:B14" si="2">SUM(C9:N9)</f>
        <v>8969</v>
      </c>
      <c r="C9" s="406">
        <v>1268</v>
      </c>
      <c r="D9" s="406">
        <v>411</v>
      </c>
      <c r="E9" s="406">
        <v>0</v>
      </c>
      <c r="F9" s="406">
        <v>0</v>
      </c>
      <c r="G9" s="406">
        <v>1267</v>
      </c>
      <c r="H9" s="406">
        <v>1267</v>
      </c>
      <c r="I9" s="406">
        <v>0</v>
      </c>
      <c r="J9" s="406">
        <v>0</v>
      </c>
      <c r="K9" s="406">
        <v>1086</v>
      </c>
      <c r="L9" s="406">
        <v>1123</v>
      </c>
      <c r="M9" s="406">
        <v>2547</v>
      </c>
      <c r="N9" s="406">
        <v>0</v>
      </c>
    </row>
    <row r="10" spans="1:14" ht="16" customHeight="1">
      <c r="A10" s="89" t="s">
        <v>139</v>
      </c>
      <c r="B10" s="703">
        <f t="shared" si="2"/>
        <v>18596505.380266521</v>
      </c>
      <c r="C10" s="406">
        <v>1368421</v>
      </c>
      <c r="D10" s="406">
        <v>1740199</v>
      </c>
      <c r="E10" s="406">
        <v>1124926</v>
      </c>
      <c r="F10" s="406">
        <v>1841743</v>
      </c>
      <c r="G10" s="406">
        <v>1638058</v>
      </c>
      <c r="H10" s="406">
        <v>1638058</v>
      </c>
      <c r="I10" s="406">
        <v>1530928</v>
      </c>
      <c r="J10" s="406">
        <v>1771266.3802665207</v>
      </c>
      <c r="K10" s="406">
        <v>1543455</v>
      </c>
      <c r="L10" s="406">
        <v>1595924</v>
      </c>
      <c r="M10" s="406">
        <v>1468631</v>
      </c>
      <c r="N10" s="406">
        <v>1334896</v>
      </c>
    </row>
    <row r="11" spans="1:14" ht="16" customHeight="1">
      <c r="A11" s="89" t="s">
        <v>140</v>
      </c>
      <c r="B11" s="703">
        <f t="shared" si="2"/>
        <v>11029984.339374028</v>
      </c>
      <c r="C11" s="406">
        <v>920091</v>
      </c>
      <c r="D11" s="406">
        <v>153838</v>
      </c>
      <c r="E11" s="406">
        <v>1266069</v>
      </c>
      <c r="F11" s="406">
        <v>194431</v>
      </c>
      <c r="G11" s="406">
        <v>1130032</v>
      </c>
      <c r="H11" s="406">
        <v>1130032</v>
      </c>
      <c r="I11" s="406">
        <v>830628</v>
      </c>
      <c r="J11" s="406">
        <v>1133664.3393740272</v>
      </c>
      <c r="K11" s="406">
        <v>1028120</v>
      </c>
      <c r="L11" s="406">
        <v>1063071</v>
      </c>
      <c r="M11" s="406">
        <v>1131978</v>
      </c>
      <c r="N11" s="406">
        <v>1048030</v>
      </c>
    </row>
    <row r="12" spans="1:14" ht="16" customHeight="1">
      <c r="A12" s="89" t="s">
        <v>141</v>
      </c>
      <c r="B12" s="703">
        <f t="shared" si="2"/>
        <v>178703372.0730201</v>
      </c>
      <c r="C12" s="406">
        <v>13433948</v>
      </c>
      <c r="D12" s="406">
        <v>13748598</v>
      </c>
      <c r="E12" s="406">
        <v>14412523</v>
      </c>
      <c r="F12" s="406">
        <v>13431956</v>
      </c>
      <c r="G12" s="406">
        <v>15754702</v>
      </c>
      <c r="H12" s="406">
        <v>15754702</v>
      </c>
      <c r="I12" s="406">
        <v>14563858</v>
      </c>
      <c r="J12" s="406">
        <v>15651741.073020101</v>
      </c>
      <c r="K12" s="406">
        <v>14489511</v>
      </c>
      <c r="L12" s="406">
        <v>14982072</v>
      </c>
      <c r="M12" s="406">
        <v>15629943</v>
      </c>
      <c r="N12" s="406">
        <v>16849818</v>
      </c>
    </row>
    <row r="13" spans="1:14" ht="16" customHeight="1">
      <c r="A13" s="89" t="s">
        <v>88</v>
      </c>
      <c r="B13" s="703">
        <f t="shared" si="2"/>
        <v>241682.13555433092</v>
      </c>
      <c r="C13" s="406">
        <v>6151</v>
      </c>
      <c r="D13" s="406">
        <v>6708</v>
      </c>
      <c r="E13" s="406">
        <v>8975</v>
      </c>
      <c r="F13" s="406">
        <v>10790</v>
      </c>
      <c r="G13" s="406">
        <v>34186</v>
      </c>
      <c r="H13" s="406">
        <v>34186</v>
      </c>
      <c r="I13" s="406">
        <v>0</v>
      </c>
      <c r="J13" s="406">
        <v>34630.135554330918</v>
      </c>
      <c r="K13" s="406">
        <v>19477</v>
      </c>
      <c r="L13" s="406">
        <v>20139</v>
      </c>
      <c r="M13" s="406">
        <v>34579</v>
      </c>
      <c r="N13" s="406">
        <v>31861</v>
      </c>
    </row>
    <row r="14" spans="1:14" ht="16" customHeight="1">
      <c r="A14" s="89" t="s">
        <v>142</v>
      </c>
      <c r="B14" s="703">
        <f t="shared" si="2"/>
        <v>911664.3359791087</v>
      </c>
      <c r="C14" s="406">
        <v>169269</v>
      </c>
      <c r="D14" s="406">
        <v>438615</v>
      </c>
      <c r="E14" s="406">
        <v>0</v>
      </c>
      <c r="F14" s="406">
        <v>0</v>
      </c>
      <c r="G14" s="406">
        <v>11319</v>
      </c>
      <c r="H14" s="406">
        <v>11319</v>
      </c>
      <c r="I14" s="406">
        <v>0</v>
      </c>
      <c r="J14" s="406">
        <v>41253.335979108699</v>
      </c>
      <c r="K14" s="406">
        <v>76480</v>
      </c>
      <c r="L14" s="406">
        <v>79079</v>
      </c>
      <c r="M14" s="406">
        <v>41192</v>
      </c>
      <c r="N14" s="406">
        <v>43138</v>
      </c>
    </row>
    <row r="15" spans="1:14" ht="5" customHeight="1">
      <c r="A15" s="89"/>
      <c r="B15" s="703"/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406"/>
    </row>
    <row r="16" spans="1:14" ht="18" customHeight="1">
      <c r="A16" s="917" t="s">
        <v>143</v>
      </c>
      <c r="B16" s="703">
        <f>SUM(B17:B23)</f>
        <v>471767175.52843362</v>
      </c>
      <c r="C16" s="916">
        <f t="shared" ref="C16:N16" si="3">SUM(C17:C23)</f>
        <v>40686495.161999993</v>
      </c>
      <c r="D16" s="916">
        <f t="shared" si="3"/>
        <v>36745445.641213551</v>
      </c>
      <c r="E16" s="916">
        <f t="shared" si="3"/>
        <v>39431943.627550006</v>
      </c>
      <c r="F16" s="916">
        <f t="shared" si="3"/>
        <v>39286030.623999998</v>
      </c>
      <c r="G16" s="916">
        <f t="shared" si="3"/>
        <v>38077239.849003404</v>
      </c>
      <c r="H16" s="916">
        <f t="shared" si="3"/>
        <v>36513052.341860548</v>
      </c>
      <c r="I16" s="916">
        <f t="shared" si="3"/>
        <v>41583585.302000001</v>
      </c>
      <c r="J16" s="916">
        <f t="shared" si="3"/>
        <v>38498663.775948949</v>
      </c>
      <c r="K16" s="916">
        <f t="shared" si="3"/>
        <v>38871669.478</v>
      </c>
      <c r="L16" s="916">
        <f t="shared" si="3"/>
        <v>41398312.986285731</v>
      </c>
      <c r="M16" s="916">
        <f t="shared" si="3"/>
        <v>40936243.740571439</v>
      </c>
      <c r="N16" s="916">
        <f t="shared" si="3"/>
        <v>39738493</v>
      </c>
    </row>
    <row r="17" spans="1:14" ht="16" customHeight="1">
      <c r="A17" s="89" t="s">
        <v>153</v>
      </c>
      <c r="B17" s="703">
        <f t="shared" ref="B17:B23" si="4">SUM(C17:N17)</f>
        <v>15647727.347405368</v>
      </c>
      <c r="C17" s="406">
        <v>2208827</v>
      </c>
      <c r="D17" s="406">
        <v>901146</v>
      </c>
      <c r="E17" s="406">
        <v>2205604</v>
      </c>
      <c r="F17" s="406">
        <v>1131567</v>
      </c>
      <c r="G17" s="406">
        <v>954200</v>
      </c>
      <c r="H17" s="406">
        <v>1015477</v>
      </c>
      <c r="I17" s="406">
        <v>992274</v>
      </c>
      <c r="J17" s="406">
        <v>919413.34740536904</v>
      </c>
      <c r="K17" s="406">
        <v>1038006</v>
      </c>
      <c r="L17" s="406">
        <v>1163094</v>
      </c>
      <c r="M17" s="406">
        <v>1219087</v>
      </c>
      <c r="N17" s="406">
        <v>1899032</v>
      </c>
    </row>
    <row r="18" spans="1:14" ht="16" customHeight="1">
      <c r="A18" s="89" t="s">
        <v>154</v>
      </c>
      <c r="B18" s="703">
        <f t="shared" si="4"/>
        <v>454303069.70823115</v>
      </c>
      <c r="C18" s="406">
        <v>38432170.161999993</v>
      </c>
      <c r="D18" s="406">
        <v>35844299.641213551</v>
      </c>
      <c r="E18" s="406">
        <v>37144006.627550006</v>
      </c>
      <c r="F18" s="406">
        <v>37493571.623999998</v>
      </c>
      <c r="G18" s="406">
        <v>36961997.849003404</v>
      </c>
      <c r="H18" s="406">
        <v>35336533.341860548</v>
      </c>
      <c r="I18" s="406">
        <v>40502983.302000001</v>
      </c>
      <c r="J18" s="406">
        <v>37483663.955746494</v>
      </c>
      <c r="K18" s="406">
        <v>37658831.478</v>
      </c>
      <c r="L18" s="406">
        <v>40054443.986285731</v>
      </c>
      <c r="M18" s="406">
        <v>39621712.740571439</v>
      </c>
      <c r="N18" s="406">
        <v>37768855</v>
      </c>
    </row>
    <row r="19" spans="1:14" ht="16" customHeight="1">
      <c r="A19" s="89" t="s">
        <v>155</v>
      </c>
      <c r="B19" s="703">
        <f t="shared" si="4"/>
        <v>1423851.2686914844</v>
      </c>
      <c r="C19" s="406">
        <v>11097</v>
      </c>
      <c r="D19" s="406">
        <v>0</v>
      </c>
      <c r="E19" s="406">
        <v>82333</v>
      </c>
      <c r="F19" s="406">
        <v>615987</v>
      </c>
      <c r="G19" s="406">
        <v>81939</v>
      </c>
      <c r="H19" s="406">
        <v>81939</v>
      </c>
      <c r="I19" s="406">
        <v>61248</v>
      </c>
      <c r="J19" s="406">
        <v>31571.268691484365</v>
      </c>
      <c r="K19" s="406">
        <v>174832</v>
      </c>
      <c r="L19" s="406">
        <v>180775</v>
      </c>
      <c r="M19" s="406">
        <v>31524</v>
      </c>
      <c r="N19" s="406">
        <v>70606</v>
      </c>
    </row>
    <row r="20" spans="1:14" ht="16" customHeight="1">
      <c r="A20" s="89" t="s">
        <v>156</v>
      </c>
      <c r="B20" s="703">
        <f t="shared" si="4"/>
        <v>200922.46915878356</v>
      </c>
      <c r="C20" s="406">
        <v>34401</v>
      </c>
      <c r="D20" s="406">
        <v>0</v>
      </c>
      <c r="E20" s="406">
        <v>0</v>
      </c>
      <c r="F20" s="406">
        <v>0</v>
      </c>
      <c r="G20" s="406">
        <v>44432</v>
      </c>
      <c r="H20" s="406">
        <v>44432</v>
      </c>
      <c r="I20" s="406">
        <v>0</v>
      </c>
      <c r="J20" s="406">
        <v>38857.46915878354</v>
      </c>
      <c r="K20" s="406">
        <v>0</v>
      </c>
      <c r="L20" s="406">
        <v>0</v>
      </c>
      <c r="M20" s="406">
        <v>38800</v>
      </c>
      <c r="N20" s="406">
        <v>0</v>
      </c>
    </row>
    <row r="21" spans="1:14" ht="16" customHeight="1">
      <c r="A21" s="89" t="s">
        <v>157</v>
      </c>
      <c r="B21" s="703">
        <f t="shared" si="4"/>
        <v>0</v>
      </c>
      <c r="C21" s="406">
        <v>0</v>
      </c>
      <c r="D21" s="406">
        <v>0</v>
      </c>
      <c r="E21" s="406">
        <v>0</v>
      </c>
      <c r="F21" s="406">
        <v>0</v>
      </c>
      <c r="G21" s="406">
        <v>0</v>
      </c>
      <c r="H21" s="406">
        <v>0</v>
      </c>
      <c r="I21" s="406">
        <v>0</v>
      </c>
      <c r="J21" s="406">
        <v>0</v>
      </c>
      <c r="K21" s="406">
        <v>0</v>
      </c>
      <c r="L21" s="406">
        <v>0</v>
      </c>
      <c r="M21" s="406">
        <v>0</v>
      </c>
      <c r="N21" s="406">
        <v>0</v>
      </c>
    </row>
    <row r="22" spans="1:14" ht="16" customHeight="1">
      <c r="A22" s="89" t="s">
        <v>158</v>
      </c>
      <c r="B22" s="703">
        <f t="shared" si="4"/>
        <v>191604.73494682019</v>
      </c>
      <c r="C22" s="406">
        <v>0</v>
      </c>
      <c r="D22" s="406">
        <v>0</v>
      </c>
      <c r="E22" s="406">
        <v>0</v>
      </c>
      <c r="F22" s="406">
        <v>44905</v>
      </c>
      <c r="G22" s="406">
        <v>34671</v>
      </c>
      <c r="H22" s="406">
        <v>34671</v>
      </c>
      <c r="I22" s="406">
        <v>27080</v>
      </c>
      <c r="J22" s="406">
        <v>25157.734946820186</v>
      </c>
      <c r="K22" s="406">
        <v>0</v>
      </c>
      <c r="L22" s="406">
        <v>0</v>
      </c>
      <c r="M22" s="406">
        <v>25120</v>
      </c>
      <c r="N22" s="406">
        <v>0</v>
      </c>
    </row>
    <row r="23" spans="1:14" ht="16" customHeight="1">
      <c r="A23" s="89" t="s">
        <v>159</v>
      </c>
      <c r="B23" s="703">
        <f t="shared" si="4"/>
        <v>0</v>
      </c>
      <c r="C23" s="406">
        <v>0</v>
      </c>
      <c r="D23" s="406">
        <v>0</v>
      </c>
      <c r="E23" s="406">
        <v>0</v>
      </c>
      <c r="F23" s="406">
        <v>0</v>
      </c>
      <c r="G23" s="406">
        <v>0</v>
      </c>
      <c r="H23" s="406">
        <v>0</v>
      </c>
      <c r="I23" s="406">
        <v>0</v>
      </c>
      <c r="J23" s="406">
        <v>0</v>
      </c>
      <c r="K23" s="406">
        <v>0</v>
      </c>
      <c r="L23" s="406">
        <v>0</v>
      </c>
      <c r="M23" s="406">
        <v>0</v>
      </c>
      <c r="N23" s="406">
        <v>0</v>
      </c>
    </row>
    <row r="24" spans="1:14" ht="5" customHeight="1">
      <c r="A24" s="89"/>
      <c r="B24" s="703"/>
      <c r="C24" s="406"/>
      <c r="D24" s="406"/>
      <c r="E24" s="406"/>
      <c r="F24" s="406"/>
      <c r="G24" s="406"/>
      <c r="H24" s="406"/>
      <c r="I24" s="406"/>
      <c r="J24" s="406"/>
      <c r="K24" s="406"/>
      <c r="L24" s="406"/>
      <c r="M24" s="406"/>
      <c r="N24" s="406"/>
    </row>
    <row r="25" spans="1:14" ht="18" customHeight="1">
      <c r="A25" s="917" t="s">
        <v>144</v>
      </c>
      <c r="B25" s="703">
        <f>SUM(B26:B32)</f>
        <v>95459785.01067999</v>
      </c>
      <c r="C25" s="916">
        <f t="shared" ref="C25:N25" si="5">SUM(C26:C32)</f>
        <v>6541549</v>
      </c>
      <c r="D25" s="916">
        <f t="shared" si="5"/>
        <v>6678277</v>
      </c>
      <c r="E25" s="916">
        <f t="shared" si="5"/>
        <v>7517899</v>
      </c>
      <c r="F25" s="916">
        <f t="shared" si="5"/>
        <v>8278339</v>
      </c>
      <c r="G25" s="916">
        <f t="shared" si="5"/>
        <v>8729829.0009966008</v>
      </c>
      <c r="H25" s="916">
        <f t="shared" si="5"/>
        <v>8729829.0009966008</v>
      </c>
      <c r="I25" s="916">
        <f t="shared" si="5"/>
        <v>9520639</v>
      </c>
      <c r="J25" s="916">
        <f t="shared" si="5"/>
        <v>7411784.0086867819</v>
      </c>
      <c r="K25" s="916">
        <f t="shared" si="5"/>
        <v>8079681</v>
      </c>
      <c r="L25" s="916">
        <f t="shared" si="5"/>
        <v>8354344</v>
      </c>
      <c r="M25" s="916">
        <f t="shared" si="5"/>
        <v>7500757</v>
      </c>
      <c r="N25" s="916">
        <f t="shared" si="5"/>
        <v>8116858</v>
      </c>
    </row>
    <row r="26" spans="1:14" ht="16" customHeight="1">
      <c r="A26" s="89" t="s">
        <v>160</v>
      </c>
      <c r="B26" s="703">
        <f t="shared" ref="B26:B32" si="6">SUM(C26:N26)</f>
        <v>89148061.305965036</v>
      </c>
      <c r="C26" s="406">
        <v>6046962</v>
      </c>
      <c r="D26" s="406">
        <v>6272627</v>
      </c>
      <c r="E26" s="406">
        <v>7208727</v>
      </c>
      <c r="F26" s="406">
        <v>7850204</v>
      </c>
      <c r="G26" s="406">
        <v>8138715.0009966018</v>
      </c>
      <c r="H26" s="406">
        <v>8138715.0009966018</v>
      </c>
      <c r="I26" s="406">
        <v>9100022</v>
      </c>
      <c r="J26" s="406">
        <v>6818529.3039718308</v>
      </c>
      <c r="K26" s="406">
        <v>7509464</v>
      </c>
      <c r="L26" s="406">
        <v>7764743</v>
      </c>
      <c r="M26" s="406">
        <v>6808385</v>
      </c>
      <c r="N26" s="406">
        <v>7490968</v>
      </c>
    </row>
    <row r="27" spans="1:14" ht="16" customHeight="1">
      <c r="A27" s="89" t="s">
        <v>145</v>
      </c>
      <c r="B27" s="703">
        <f t="shared" si="6"/>
        <v>32543</v>
      </c>
      <c r="C27" s="406">
        <v>0</v>
      </c>
      <c r="D27" s="406">
        <v>0</v>
      </c>
      <c r="E27" s="406">
        <v>0</v>
      </c>
      <c r="F27" s="406">
        <v>0</v>
      </c>
      <c r="G27" s="406">
        <v>0</v>
      </c>
      <c r="H27" s="406">
        <v>0</v>
      </c>
      <c r="I27" s="406">
        <v>0</v>
      </c>
      <c r="J27" s="406">
        <v>0</v>
      </c>
      <c r="K27" s="406">
        <v>16000</v>
      </c>
      <c r="L27" s="406">
        <v>16543</v>
      </c>
      <c r="M27" s="406">
        <v>0</v>
      </c>
      <c r="N27" s="406">
        <v>0</v>
      </c>
    </row>
    <row r="28" spans="1:14" ht="16" customHeight="1">
      <c r="A28" s="89" t="s">
        <v>161</v>
      </c>
      <c r="B28" s="703">
        <f t="shared" si="6"/>
        <v>4317103.2318938766</v>
      </c>
      <c r="C28" s="406">
        <v>368723</v>
      </c>
      <c r="D28" s="406">
        <v>271505</v>
      </c>
      <c r="E28" s="406">
        <v>214229</v>
      </c>
      <c r="F28" s="406">
        <v>230001</v>
      </c>
      <c r="G28" s="406">
        <v>399953</v>
      </c>
      <c r="H28" s="406">
        <v>399953</v>
      </c>
      <c r="I28" s="406">
        <v>276576</v>
      </c>
      <c r="J28" s="406">
        <v>497294.23189387703</v>
      </c>
      <c r="K28" s="406">
        <v>360159</v>
      </c>
      <c r="L28" s="406">
        <v>372403</v>
      </c>
      <c r="M28" s="406">
        <v>496554</v>
      </c>
      <c r="N28" s="406">
        <v>429753</v>
      </c>
    </row>
    <row r="29" spans="1:14" ht="16" customHeight="1">
      <c r="A29" s="89" t="s">
        <v>146</v>
      </c>
      <c r="B29" s="703">
        <f t="shared" si="6"/>
        <v>4479</v>
      </c>
      <c r="C29" s="406">
        <v>0</v>
      </c>
      <c r="D29" s="406">
        <v>0</v>
      </c>
      <c r="E29" s="406">
        <v>0</v>
      </c>
      <c r="F29" s="406">
        <v>0</v>
      </c>
      <c r="G29" s="406">
        <v>591</v>
      </c>
      <c r="H29" s="406">
        <v>591</v>
      </c>
      <c r="I29" s="406">
        <v>0</v>
      </c>
      <c r="J29" s="406">
        <v>0</v>
      </c>
      <c r="K29" s="406">
        <v>1621</v>
      </c>
      <c r="L29" s="406">
        <v>1676</v>
      </c>
      <c r="M29" s="406">
        <v>0</v>
      </c>
      <c r="N29" s="406">
        <v>0</v>
      </c>
    </row>
    <row r="30" spans="1:14" ht="16" customHeight="1">
      <c r="A30" s="89" t="s">
        <v>147</v>
      </c>
      <c r="B30" s="703">
        <f t="shared" si="6"/>
        <v>18922</v>
      </c>
      <c r="C30" s="406">
        <v>0</v>
      </c>
      <c r="D30" s="406">
        <v>0</v>
      </c>
      <c r="E30" s="406">
        <v>0</v>
      </c>
      <c r="F30" s="406">
        <v>0</v>
      </c>
      <c r="G30" s="406">
        <v>9461</v>
      </c>
      <c r="H30" s="406">
        <v>9461</v>
      </c>
      <c r="I30" s="406">
        <v>0</v>
      </c>
      <c r="J30" s="406">
        <v>0</v>
      </c>
      <c r="K30" s="406">
        <v>0</v>
      </c>
      <c r="L30" s="406">
        <v>0</v>
      </c>
      <c r="M30" s="406">
        <v>0</v>
      </c>
      <c r="N30" s="406">
        <v>0</v>
      </c>
    </row>
    <row r="31" spans="1:14" ht="16" customHeight="1">
      <c r="A31" s="89" t="s">
        <v>148</v>
      </c>
      <c r="B31" s="703">
        <f t="shared" si="6"/>
        <v>1938676.4728210745</v>
      </c>
      <c r="C31" s="406">
        <v>125864</v>
      </c>
      <c r="D31" s="406">
        <v>134145</v>
      </c>
      <c r="E31" s="406">
        <v>94943</v>
      </c>
      <c r="F31" s="406">
        <v>198134</v>
      </c>
      <c r="G31" s="406">
        <v>181109</v>
      </c>
      <c r="H31" s="406">
        <v>181109</v>
      </c>
      <c r="I31" s="406">
        <v>144041</v>
      </c>
      <c r="J31" s="406">
        <v>95960.472821074523</v>
      </c>
      <c r="K31" s="406">
        <v>192437</v>
      </c>
      <c r="L31" s="406">
        <v>198979</v>
      </c>
      <c r="M31" s="406">
        <v>195818</v>
      </c>
      <c r="N31" s="406">
        <v>196137</v>
      </c>
    </row>
    <row r="32" spans="1:14" ht="16" customHeight="1">
      <c r="A32" s="89" t="s">
        <v>149</v>
      </c>
      <c r="B32" s="703">
        <f t="shared" si="6"/>
        <v>0</v>
      </c>
      <c r="C32" s="406">
        <v>0</v>
      </c>
      <c r="D32" s="406">
        <v>0</v>
      </c>
      <c r="E32" s="406">
        <v>0</v>
      </c>
      <c r="F32" s="406">
        <v>0</v>
      </c>
      <c r="G32" s="406">
        <v>0</v>
      </c>
      <c r="H32" s="406">
        <v>0</v>
      </c>
      <c r="I32" s="406">
        <v>0</v>
      </c>
      <c r="J32" s="406">
        <v>0</v>
      </c>
      <c r="K32" s="406">
        <v>0</v>
      </c>
      <c r="L32" s="406">
        <v>0</v>
      </c>
      <c r="M32" s="406">
        <v>0</v>
      </c>
      <c r="N32" s="406">
        <v>0</v>
      </c>
    </row>
    <row r="33" spans="1:15" ht="5" customHeight="1">
      <c r="B33" s="703"/>
      <c r="C33" s="406"/>
      <c r="D33" s="406"/>
      <c r="E33" s="406"/>
      <c r="F33" s="406"/>
      <c r="G33" s="406"/>
      <c r="H33" s="406"/>
      <c r="I33" s="406"/>
      <c r="J33" s="406"/>
      <c r="K33" s="406"/>
      <c r="L33" s="406"/>
      <c r="M33" s="406"/>
      <c r="N33" s="406"/>
    </row>
    <row r="34" spans="1:15" ht="18" customHeight="1">
      <c r="A34" s="917" t="s">
        <v>150</v>
      </c>
      <c r="B34" s="703">
        <f>SUM(B35:B38)</f>
        <v>40744008.856170185</v>
      </c>
      <c r="C34" s="916">
        <f t="shared" ref="C34:N34" si="7">SUM(C35:C38)</f>
        <v>3114361</v>
      </c>
      <c r="D34" s="916">
        <f t="shared" si="7"/>
        <v>2854332</v>
      </c>
      <c r="E34" s="916">
        <f t="shared" si="7"/>
        <v>3488095</v>
      </c>
      <c r="F34" s="916">
        <f t="shared" si="7"/>
        <v>3466447</v>
      </c>
      <c r="G34" s="916">
        <f t="shared" si="7"/>
        <v>3422747</v>
      </c>
      <c r="H34" s="916">
        <f t="shared" si="7"/>
        <v>3422747</v>
      </c>
      <c r="I34" s="916">
        <f t="shared" si="7"/>
        <v>2164438</v>
      </c>
      <c r="J34" s="916">
        <f t="shared" si="7"/>
        <v>3533721.8561701882</v>
      </c>
      <c r="K34" s="916">
        <f t="shared" si="7"/>
        <v>3881109</v>
      </c>
      <c r="L34" s="916">
        <f t="shared" si="7"/>
        <v>3930043</v>
      </c>
      <c r="M34" s="916">
        <f t="shared" si="7"/>
        <v>3626234</v>
      </c>
      <c r="N34" s="916">
        <f t="shared" si="7"/>
        <v>3839734</v>
      </c>
    </row>
    <row r="35" spans="1:15" ht="16" customHeight="1">
      <c r="A35" s="89" t="s">
        <v>162</v>
      </c>
      <c r="B35" s="703">
        <f>SUM(C35:N35)</f>
        <v>14423045.352310343</v>
      </c>
      <c r="C35" s="406">
        <v>1148431</v>
      </c>
      <c r="D35" s="406">
        <v>1187765</v>
      </c>
      <c r="E35" s="406">
        <v>1434936</v>
      </c>
      <c r="F35" s="406">
        <v>1521183</v>
      </c>
      <c r="G35" s="406">
        <v>1175647</v>
      </c>
      <c r="H35" s="406">
        <v>1175647</v>
      </c>
      <c r="I35" s="406">
        <v>134957</v>
      </c>
      <c r="J35" s="406">
        <v>1335369.3523103422</v>
      </c>
      <c r="K35" s="406">
        <v>1289989</v>
      </c>
      <c r="L35" s="406">
        <v>1333841</v>
      </c>
      <c r="M35" s="406">
        <v>1333383</v>
      </c>
      <c r="N35" s="406">
        <v>1351897</v>
      </c>
    </row>
    <row r="36" spans="1:15" ht="16" customHeight="1">
      <c r="A36" s="89" t="s">
        <v>151</v>
      </c>
      <c r="B36" s="703">
        <f>SUM(C36:N36)</f>
        <v>13490844.104498791</v>
      </c>
      <c r="C36" s="406">
        <v>898014</v>
      </c>
      <c r="D36" s="406">
        <v>955906</v>
      </c>
      <c r="E36" s="406">
        <v>1069367</v>
      </c>
      <c r="F36" s="406">
        <v>1115923</v>
      </c>
      <c r="G36" s="406">
        <v>1147451</v>
      </c>
      <c r="H36" s="406">
        <v>1147451</v>
      </c>
      <c r="I36" s="406">
        <v>1049063</v>
      </c>
      <c r="J36" s="406">
        <v>1168838.1044987901</v>
      </c>
      <c r="K36" s="406">
        <v>1282693</v>
      </c>
      <c r="L36" s="406">
        <v>1243295</v>
      </c>
      <c r="M36" s="406">
        <v>1264868</v>
      </c>
      <c r="N36" s="406">
        <v>1147975</v>
      </c>
    </row>
    <row r="37" spans="1:15" ht="16" customHeight="1">
      <c r="A37" s="89" t="s">
        <v>152</v>
      </c>
      <c r="B37" s="703">
        <f>SUM(C37:N37)</f>
        <v>5448124.0911693815</v>
      </c>
      <c r="C37" s="406">
        <v>715564</v>
      </c>
      <c r="D37" s="406">
        <v>352320</v>
      </c>
      <c r="E37" s="406">
        <v>605561</v>
      </c>
      <c r="F37" s="406">
        <v>328199</v>
      </c>
      <c r="G37" s="406">
        <v>458859</v>
      </c>
      <c r="H37" s="406">
        <v>458859</v>
      </c>
      <c r="I37" s="406">
        <v>256135</v>
      </c>
      <c r="J37" s="406">
        <v>382050.09116938122</v>
      </c>
      <c r="K37" s="406">
        <v>493748</v>
      </c>
      <c r="L37" s="406">
        <v>510533</v>
      </c>
      <c r="M37" s="406">
        <v>381482</v>
      </c>
      <c r="N37" s="406">
        <v>504814</v>
      </c>
    </row>
    <row r="38" spans="1:15" ht="16" customHeight="1">
      <c r="A38" s="91" t="s">
        <v>607</v>
      </c>
      <c r="B38" s="703">
        <f>SUM(C38:N38)</f>
        <v>7381995.3081916748</v>
      </c>
      <c r="C38" s="406">
        <v>352352</v>
      </c>
      <c r="D38" s="406">
        <v>358341</v>
      </c>
      <c r="E38" s="406">
        <v>378231</v>
      </c>
      <c r="F38" s="406">
        <v>501142</v>
      </c>
      <c r="G38" s="406">
        <v>640790</v>
      </c>
      <c r="H38" s="406">
        <v>640790</v>
      </c>
      <c r="I38" s="406">
        <v>724283</v>
      </c>
      <c r="J38" s="406">
        <v>647464.30819167476</v>
      </c>
      <c r="K38" s="406">
        <v>814679</v>
      </c>
      <c r="L38" s="406">
        <v>842374</v>
      </c>
      <c r="M38" s="406">
        <v>646501</v>
      </c>
      <c r="N38" s="406">
        <v>835048</v>
      </c>
    </row>
    <row r="39" spans="1:15" ht="4.25" customHeight="1" thickBot="1">
      <c r="A39" s="93"/>
      <c r="B39" s="704"/>
      <c r="C39" s="397"/>
      <c r="D39" s="397"/>
      <c r="E39" s="397"/>
      <c r="F39" s="397"/>
      <c r="G39" s="397"/>
      <c r="H39" s="397"/>
      <c r="I39" s="397"/>
      <c r="J39" s="397"/>
      <c r="K39" s="397"/>
      <c r="L39" s="397"/>
      <c r="M39" s="397"/>
      <c r="N39" s="397"/>
    </row>
    <row r="40" spans="1:15" ht="9" customHeight="1">
      <c r="A40" s="449" t="s">
        <v>330</v>
      </c>
      <c r="B40" s="524"/>
      <c r="C40" s="524"/>
      <c r="D40" s="524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</row>
    <row r="41" spans="1:15" ht="9" customHeight="1">
      <c r="A41" s="525" t="s">
        <v>321</v>
      </c>
      <c r="B41" s="524"/>
      <c r="C41" s="524"/>
      <c r="D41" s="524"/>
      <c r="E41" s="524"/>
      <c r="F41" s="524"/>
      <c r="G41" s="524"/>
      <c r="H41" s="524"/>
      <c r="I41" s="524"/>
      <c r="J41" s="524"/>
      <c r="K41" s="524"/>
      <c r="L41" s="524"/>
      <c r="M41" s="524"/>
      <c r="N41" s="524"/>
      <c r="O41" s="385"/>
    </row>
    <row r="42" spans="1:15" ht="9" customHeight="1">
      <c r="A42" s="451" t="s">
        <v>303</v>
      </c>
      <c r="B42" s="524"/>
      <c r="C42" s="524"/>
      <c r="D42" s="524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</row>
    <row r="43" spans="1:15" ht="13.25" customHeight="1">
      <c r="A43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Hoja128">
    <tabColor theme="9" tint="0.59999389629810485"/>
  </sheetPr>
  <dimension ref="A2:O43"/>
  <sheetViews>
    <sheetView showGridLines="0" zoomScaleNormal="100" workbookViewId="0">
      <selection activeCell="M4" sqref="M4"/>
    </sheetView>
  </sheetViews>
  <sheetFormatPr baseColWidth="10" defaultColWidth="7" defaultRowHeight="13.25" customHeight="1"/>
  <cols>
    <col min="1" max="1" width="11.796875" style="91" customWidth="1"/>
    <col min="2" max="2" width="10.3984375" style="91" customWidth="1"/>
    <col min="3" max="14" width="9.19921875" style="91" customWidth="1"/>
    <col min="15" max="16384" width="7" style="91"/>
  </cols>
  <sheetData>
    <row r="2" spans="1:14" ht="19.25" customHeight="1">
      <c r="A2" s="395" t="s">
        <v>568</v>
      </c>
      <c r="B2" s="395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</row>
    <row r="3" spans="1:14" ht="13.25" customHeight="1">
      <c r="A3" s="391" t="s">
        <v>272</v>
      </c>
      <c r="B3" s="396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</row>
    <row r="4" spans="1:14" ht="6" customHeight="1" thickBo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</row>
    <row r="5" spans="1:14" ht="18" customHeight="1">
      <c r="A5" s="774" t="s">
        <v>16</v>
      </c>
      <c r="B5" s="774" t="s">
        <v>103</v>
      </c>
      <c r="C5" s="774" t="s">
        <v>53</v>
      </c>
      <c r="D5" s="774" t="s">
        <v>54</v>
      </c>
      <c r="E5" s="774" t="s">
        <v>55</v>
      </c>
      <c r="F5" s="774" t="s">
        <v>56</v>
      </c>
      <c r="G5" s="774" t="s">
        <v>57</v>
      </c>
      <c r="H5" s="774" t="s">
        <v>58</v>
      </c>
      <c r="I5" s="774" t="s">
        <v>59</v>
      </c>
      <c r="J5" s="774" t="s">
        <v>60</v>
      </c>
      <c r="K5" s="774" t="s">
        <v>61</v>
      </c>
      <c r="L5" s="774" t="s">
        <v>62</v>
      </c>
      <c r="M5" s="774" t="s">
        <v>63</v>
      </c>
      <c r="N5" s="774" t="s">
        <v>64</v>
      </c>
    </row>
    <row r="6" spans="1:14" ht="18" customHeight="1">
      <c r="A6" s="696" t="s">
        <v>87</v>
      </c>
      <c r="B6" s="698">
        <f>SUM(C6:N6)</f>
        <v>25785112</v>
      </c>
      <c r="C6" s="698">
        <f t="shared" ref="C6:N6" si="0">+C8+C16+C25+C34</f>
        <v>2146543</v>
      </c>
      <c r="D6" s="698">
        <f t="shared" si="0"/>
        <v>2356719</v>
      </c>
      <c r="E6" s="698">
        <f t="shared" si="0"/>
        <v>2272171</v>
      </c>
      <c r="F6" s="698">
        <f t="shared" si="0"/>
        <v>1981871</v>
      </c>
      <c r="G6" s="698">
        <f t="shared" si="0"/>
        <v>2152461</v>
      </c>
      <c r="H6" s="698">
        <f t="shared" si="0"/>
        <v>2109282</v>
      </c>
      <c r="I6" s="698">
        <f t="shared" si="0"/>
        <v>1864308</v>
      </c>
      <c r="J6" s="698">
        <f t="shared" si="0"/>
        <v>2096793</v>
      </c>
      <c r="K6" s="698">
        <f t="shared" si="0"/>
        <v>2037957</v>
      </c>
      <c r="L6" s="698">
        <f t="shared" si="0"/>
        <v>2363570</v>
      </c>
      <c r="M6" s="698">
        <f t="shared" si="0"/>
        <v>2076540</v>
      </c>
      <c r="N6" s="698">
        <f t="shared" si="0"/>
        <v>2326897</v>
      </c>
    </row>
    <row r="7" spans="1:14" ht="1.25" hidden="1" customHeight="1">
      <c r="A7" s="699"/>
      <c r="B7" s="700"/>
      <c r="C7" s="700"/>
      <c r="D7" s="700"/>
      <c r="E7" s="700"/>
      <c r="F7" s="700"/>
      <c r="G7" s="700"/>
      <c r="H7" s="700"/>
      <c r="I7" s="700"/>
      <c r="J7" s="700"/>
      <c r="K7" s="700"/>
      <c r="L7" s="700"/>
      <c r="M7" s="700"/>
      <c r="N7" s="700"/>
    </row>
    <row r="8" spans="1:14" ht="18" customHeight="1">
      <c r="A8" s="701" t="s">
        <v>137</v>
      </c>
      <c r="B8" s="707">
        <f>SUM(B9:B14)</f>
        <v>5104393</v>
      </c>
      <c r="C8" s="702">
        <f t="shared" ref="C8:N8" si="1">SUM(C9:C14)</f>
        <v>508710</v>
      </c>
      <c r="D8" s="702">
        <f t="shared" si="1"/>
        <v>562983</v>
      </c>
      <c r="E8" s="702">
        <f t="shared" si="1"/>
        <v>371845</v>
      </c>
      <c r="F8" s="702">
        <f t="shared" si="1"/>
        <v>377749</v>
      </c>
      <c r="G8" s="702">
        <f t="shared" si="1"/>
        <v>393655</v>
      </c>
      <c r="H8" s="702">
        <f t="shared" si="1"/>
        <v>501766</v>
      </c>
      <c r="I8" s="702">
        <f t="shared" si="1"/>
        <v>412260</v>
      </c>
      <c r="J8" s="702">
        <f t="shared" si="1"/>
        <v>599578</v>
      </c>
      <c r="K8" s="702">
        <f t="shared" si="1"/>
        <v>268034</v>
      </c>
      <c r="L8" s="702">
        <f t="shared" si="1"/>
        <v>310859</v>
      </c>
      <c r="M8" s="702">
        <f t="shared" si="1"/>
        <v>273108</v>
      </c>
      <c r="N8" s="702">
        <f t="shared" si="1"/>
        <v>523846</v>
      </c>
    </row>
    <row r="9" spans="1:14" ht="16" customHeight="1">
      <c r="A9" s="89" t="s">
        <v>138</v>
      </c>
      <c r="B9" s="708">
        <f t="shared" ref="B9:B14" si="2">SUM(C9:N9)</f>
        <v>0</v>
      </c>
      <c r="C9" s="406">
        <v>0</v>
      </c>
      <c r="D9" s="406">
        <v>0</v>
      </c>
      <c r="E9" s="406">
        <v>0</v>
      </c>
      <c r="F9" s="406">
        <v>0</v>
      </c>
      <c r="G9" s="406">
        <v>0</v>
      </c>
      <c r="H9" s="406">
        <v>0</v>
      </c>
      <c r="I9" s="406">
        <v>0</v>
      </c>
      <c r="J9" s="406">
        <v>0</v>
      </c>
      <c r="K9" s="406">
        <v>0</v>
      </c>
      <c r="L9" s="406">
        <v>0</v>
      </c>
      <c r="M9" s="406">
        <v>0</v>
      </c>
      <c r="N9" s="406">
        <v>0</v>
      </c>
    </row>
    <row r="10" spans="1:14" ht="16" customHeight="1">
      <c r="A10" s="89" t="s">
        <v>139</v>
      </c>
      <c r="B10" s="708">
        <f t="shared" si="2"/>
        <v>540038</v>
      </c>
      <c r="C10" s="406">
        <v>66451</v>
      </c>
      <c r="D10" s="406">
        <v>57190</v>
      </c>
      <c r="E10" s="406">
        <v>51372</v>
      </c>
      <c r="F10" s="406">
        <v>8252</v>
      </c>
      <c r="G10" s="406">
        <v>0</v>
      </c>
      <c r="H10" s="406">
        <v>6595</v>
      </c>
      <c r="I10" s="406">
        <v>60826</v>
      </c>
      <c r="J10" s="406">
        <v>8691</v>
      </c>
      <c r="K10" s="406">
        <v>76857</v>
      </c>
      <c r="L10" s="406">
        <v>89137</v>
      </c>
      <c r="M10" s="406">
        <v>78312</v>
      </c>
      <c r="N10" s="406">
        <v>36355</v>
      </c>
    </row>
    <row r="11" spans="1:14" ht="16" customHeight="1">
      <c r="A11" s="89" t="s">
        <v>140</v>
      </c>
      <c r="B11" s="708">
        <f t="shared" si="2"/>
        <v>454337</v>
      </c>
      <c r="C11" s="406">
        <v>36351</v>
      </c>
      <c r="D11" s="406">
        <v>111331</v>
      </c>
      <c r="E11" s="406">
        <v>0</v>
      </c>
      <c r="F11" s="406">
        <v>20630</v>
      </c>
      <c r="G11" s="406">
        <v>29340</v>
      </c>
      <c r="H11" s="406">
        <v>132490</v>
      </c>
      <c r="I11" s="406">
        <v>0</v>
      </c>
      <c r="J11" s="406">
        <v>23202</v>
      </c>
      <c r="K11" s="406">
        <v>29302</v>
      </c>
      <c r="L11" s="406">
        <v>33984</v>
      </c>
      <c r="M11" s="406">
        <v>29857</v>
      </c>
      <c r="N11" s="406">
        <v>7850</v>
      </c>
    </row>
    <row r="12" spans="1:14" ht="16" customHeight="1">
      <c r="A12" s="89" t="s">
        <v>141</v>
      </c>
      <c r="B12" s="708">
        <f t="shared" si="2"/>
        <v>4015062</v>
      </c>
      <c r="C12" s="406">
        <v>385403</v>
      </c>
      <c r="D12" s="406">
        <v>394462</v>
      </c>
      <c r="E12" s="406">
        <v>314736</v>
      </c>
      <c r="F12" s="406">
        <v>328784</v>
      </c>
      <c r="G12" s="406">
        <v>362950</v>
      </c>
      <c r="H12" s="406">
        <v>316501</v>
      </c>
      <c r="I12" s="406">
        <v>351434</v>
      </c>
      <c r="J12" s="406">
        <v>566599</v>
      </c>
      <c r="K12" s="406">
        <v>161875</v>
      </c>
      <c r="L12" s="406">
        <v>187738</v>
      </c>
      <c r="M12" s="406">
        <v>164939</v>
      </c>
      <c r="N12" s="406">
        <v>479641</v>
      </c>
    </row>
    <row r="13" spans="1:14" ht="16" customHeight="1">
      <c r="A13" s="89" t="s">
        <v>88</v>
      </c>
      <c r="B13" s="708">
        <f t="shared" si="2"/>
        <v>93870</v>
      </c>
      <c r="C13" s="406">
        <v>20505</v>
      </c>
      <c r="D13" s="406">
        <v>0</v>
      </c>
      <c r="E13" s="406">
        <v>5737</v>
      </c>
      <c r="F13" s="406">
        <v>20083</v>
      </c>
      <c r="G13" s="406">
        <v>1365</v>
      </c>
      <c r="H13" s="406">
        <v>46180</v>
      </c>
      <c r="I13" s="406">
        <v>0</v>
      </c>
      <c r="J13" s="406">
        <v>0</v>
      </c>
      <c r="K13" s="406">
        <v>0</v>
      </c>
      <c r="L13" s="406">
        <v>0</v>
      </c>
      <c r="M13" s="406">
        <v>0</v>
      </c>
      <c r="N13" s="406">
        <v>0</v>
      </c>
    </row>
    <row r="14" spans="1:14" ht="16" customHeight="1">
      <c r="A14" s="89" t="s">
        <v>142</v>
      </c>
      <c r="B14" s="708">
        <f t="shared" si="2"/>
        <v>1086</v>
      </c>
      <c r="C14" s="406">
        <v>0</v>
      </c>
      <c r="D14" s="406">
        <v>0</v>
      </c>
      <c r="E14" s="406">
        <v>0</v>
      </c>
      <c r="F14" s="406">
        <v>0</v>
      </c>
      <c r="G14" s="406">
        <v>0</v>
      </c>
      <c r="H14" s="406">
        <v>0</v>
      </c>
      <c r="I14" s="406">
        <v>0</v>
      </c>
      <c r="J14" s="406">
        <v>1086</v>
      </c>
      <c r="K14" s="406">
        <v>0</v>
      </c>
      <c r="L14" s="406">
        <v>0</v>
      </c>
      <c r="M14" s="406">
        <v>0</v>
      </c>
      <c r="N14" s="406">
        <v>0</v>
      </c>
    </row>
    <row r="15" spans="1:14" ht="5" customHeight="1">
      <c r="A15" s="89"/>
      <c r="B15" s="708"/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406"/>
    </row>
    <row r="16" spans="1:14" ht="18" customHeight="1">
      <c r="A16" s="705" t="s">
        <v>143</v>
      </c>
      <c r="B16" s="708">
        <f>SUM(B17:B23)</f>
        <v>17553004</v>
      </c>
      <c r="C16" s="706">
        <f t="shared" ref="C16:N16" si="3">SUM(C17:C23)</f>
        <v>1385039</v>
      </c>
      <c r="D16" s="706">
        <f t="shared" si="3"/>
        <v>1614206</v>
      </c>
      <c r="E16" s="706">
        <f t="shared" si="3"/>
        <v>1459491</v>
      </c>
      <c r="F16" s="706">
        <f t="shared" si="3"/>
        <v>1378720</v>
      </c>
      <c r="G16" s="706">
        <f t="shared" si="3"/>
        <v>1512280</v>
      </c>
      <c r="H16" s="706">
        <f t="shared" si="3"/>
        <v>1450851</v>
      </c>
      <c r="I16" s="706">
        <f t="shared" si="3"/>
        <v>1193745</v>
      </c>
      <c r="J16" s="706">
        <f t="shared" si="3"/>
        <v>1312059</v>
      </c>
      <c r="K16" s="706">
        <f t="shared" si="3"/>
        <v>1459506</v>
      </c>
      <c r="L16" s="706">
        <f t="shared" si="3"/>
        <v>1692699</v>
      </c>
      <c r="M16" s="706">
        <f t="shared" si="3"/>
        <v>1487138</v>
      </c>
      <c r="N16" s="706">
        <f t="shared" si="3"/>
        <v>1607270</v>
      </c>
    </row>
    <row r="17" spans="1:14" ht="16" customHeight="1">
      <c r="A17" s="89" t="s">
        <v>153</v>
      </c>
      <c r="B17" s="708">
        <f t="shared" ref="B17:B23" si="4">SUM(C17:N17)</f>
        <v>6302</v>
      </c>
      <c r="C17" s="406">
        <v>0</v>
      </c>
      <c r="D17" s="406">
        <v>0</v>
      </c>
      <c r="E17" s="406">
        <v>3530</v>
      </c>
      <c r="F17" s="406">
        <v>1572</v>
      </c>
      <c r="G17" s="406">
        <v>820</v>
      </c>
      <c r="H17" s="406">
        <v>0</v>
      </c>
      <c r="I17" s="406">
        <v>0</v>
      </c>
      <c r="J17" s="406">
        <v>380</v>
      </c>
      <c r="K17" s="406">
        <v>0</v>
      </c>
      <c r="L17" s="406">
        <v>0</v>
      </c>
      <c r="M17" s="406">
        <v>0</v>
      </c>
      <c r="N17" s="406">
        <v>0</v>
      </c>
    </row>
    <row r="18" spans="1:14" ht="16" customHeight="1">
      <c r="A18" s="89" t="s">
        <v>154</v>
      </c>
      <c r="B18" s="708">
        <f t="shared" si="4"/>
        <v>7429386</v>
      </c>
      <c r="C18" s="406">
        <v>498516</v>
      </c>
      <c r="D18" s="406">
        <v>738798</v>
      </c>
      <c r="E18" s="406">
        <v>575137</v>
      </c>
      <c r="F18" s="406">
        <v>528584</v>
      </c>
      <c r="G18" s="406">
        <v>584805</v>
      </c>
      <c r="H18" s="406">
        <v>690783</v>
      </c>
      <c r="I18" s="406">
        <v>467021</v>
      </c>
      <c r="J18" s="406">
        <v>571667</v>
      </c>
      <c r="K18" s="406">
        <v>587738</v>
      </c>
      <c r="L18" s="406">
        <v>681644</v>
      </c>
      <c r="M18" s="406">
        <v>598866</v>
      </c>
      <c r="N18" s="406">
        <v>905827</v>
      </c>
    </row>
    <row r="19" spans="1:14" ht="16" customHeight="1">
      <c r="A19" s="89" t="s">
        <v>155</v>
      </c>
      <c r="B19" s="708">
        <f t="shared" si="4"/>
        <v>9953890</v>
      </c>
      <c r="C19" s="406">
        <v>878978</v>
      </c>
      <c r="D19" s="406">
        <v>858438</v>
      </c>
      <c r="E19" s="406">
        <v>864499</v>
      </c>
      <c r="F19" s="406">
        <v>841923</v>
      </c>
      <c r="G19" s="406">
        <v>911098</v>
      </c>
      <c r="H19" s="406">
        <v>748523</v>
      </c>
      <c r="I19" s="406">
        <v>709420</v>
      </c>
      <c r="J19" s="406">
        <v>740012</v>
      </c>
      <c r="K19" s="406">
        <v>855294</v>
      </c>
      <c r="L19" s="406">
        <v>991948</v>
      </c>
      <c r="M19" s="406">
        <v>871486</v>
      </c>
      <c r="N19" s="406">
        <v>682271</v>
      </c>
    </row>
    <row r="20" spans="1:14" ht="16" customHeight="1">
      <c r="A20" s="89" t="s">
        <v>156</v>
      </c>
      <c r="B20" s="708">
        <f t="shared" si="4"/>
        <v>19442</v>
      </c>
      <c r="C20" s="406">
        <v>5438</v>
      </c>
      <c r="D20" s="406">
        <v>13386</v>
      </c>
      <c r="E20" s="406">
        <v>618</v>
      </c>
      <c r="F20" s="406">
        <v>0</v>
      </c>
      <c r="G20" s="406">
        <v>0</v>
      </c>
      <c r="H20" s="406">
        <v>0</v>
      </c>
      <c r="I20" s="406">
        <v>0</v>
      </c>
      <c r="J20" s="406">
        <v>0</v>
      </c>
      <c r="K20" s="406">
        <v>0</v>
      </c>
      <c r="L20" s="406">
        <v>0</v>
      </c>
      <c r="M20" s="406">
        <v>0</v>
      </c>
      <c r="N20" s="406">
        <v>0</v>
      </c>
    </row>
    <row r="21" spans="1:14" ht="16" customHeight="1">
      <c r="A21" s="89" t="s">
        <v>157</v>
      </c>
      <c r="B21" s="708">
        <f t="shared" si="4"/>
        <v>0</v>
      </c>
      <c r="C21" s="406">
        <v>0</v>
      </c>
      <c r="D21" s="406">
        <v>0</v>
      </c>
      <c r="E21" s="406">
        <v>0</v>
      </c>
      <c r="F21" s="406">
        <v>0</v>
      </c>
      <c r="G21" s="406">
        <v>0</v>
      </c>
      <c r="H21" s="406">
        <v>0</v>
      </c>
      <c r="I21" s="406">
        <v>0</v>
      </c>
      <c r="J21" s="406">
        <v>0</v>
      </c>
      <c r="K21" s="406">
        <v>0</v>
      </c>
      <c r="L21" s="406">
        <v>0</v>
      </c>
      <c r="M21" s="406">
        <v>0</v>
      </c>
      <c r="N21" s="406">
        <v>0</v>
      </c>
    </row>
    <row r="22" spans="1:14" ht="16" customHeight="1">
      <c r="A22" s="89" t="s">
        <v>158</v>
      </c>
      <c r="B22" s="708">
        <f t="shared" si="4"/>
        <v>143984</v>
      </c>
      <c r="C22" s="406">
        <v>2107</v>
      </c>
      <c r="D22" s="406">
        <v>3584</v>
      </c>
      <c r="E22" s="406">
        <v>15707</v>
      </c>
      <c r="F22" s="406">
        <v>6641</v>
      </c>
      <c r="G22" s="406">
        <v>15557</v>
      </c>
      <c r="H22" s="406">
        <v>11545</v>
      </c>
      <c r="I22" s="406">
        <v>17304</v>
      </c>
      <c r="J22" s="406">
        <v>0</v>
      </c>
      <c r="K22" s="406">
        <v>16474</v>
      </c>
      <c r="L22" s="406">
        <v>19107</v>
      </c>
      <c r="M22" s="406">
        <v>16786</v>
      </c>
      <c r="N22" s="406">
        <v>19172</v>
      </c>
    </row>
    <row r="23" spans="1:14" ht="16" customHeight="1">
      <c r="A23" s="89" t="s">
        <v>159</v>
      </c>
      <c r="B23" s="708">
        <f t="shared" si="4"/>
        <v>0</v>
      </c>
      <c r="C23" s="406">
        <v>0</v>
      </c>
      <c r="D23" s="406">
        <v>0</v>
      </c>
      <c r="E23" s="406">
        <v>0</v>
      </c>
      <c r="F23" s="406">
        <v>0</v>
      </c>
      <c r="G23" s="406">
        <v>0</v>
      </c>
      <c r="H23" s="406">
        <v>0</v>
      </c>
      <c r="I23" s="406">
        <v>0</v>
      </c>
      <c r="J23" s="406">
        <v>0</v>
      </c>
      <c r="K23" s="406">
        <v>0</v>
      </c>
      <c r="L23" s="406">
        <v>0</v>
      </c>
      <c r="M23" s="406">
        <v>0</v>
      </c>
      <c r="N23" s="406">
        <v>0</v>
      </c>
    </row>
    <row r="24" spans="1:14" ht="5" customHeight="1">
      <c r="A24" s="89"/>
      <c r="B24" s="708"/>
      <c r="C24" s="406"/>
      <c r="D24" s="406"/>
      <c r="E24" s="406"/>
      <c r="F24" s="406"/>
      <c r="G24" s="406"/>
      <c r="H24" s="406"/>
      <c r="I24" s="406"/>
      <c r="J24" s="406"/>
      <c r="K24" s="406"/>
      <c r="L24" s="406"/>
      <c r="M24" s="406"/>
      <c r="N24" s="406"/>
    </row>
    <row r="25" spans="1:14" ht="18" customHeight="1">
      <c r="A25" s="705" t="s">
        <v>144</v>
      </c>
      <c r="B25" s="708">
        <f>SUM(B26:B32)</f>
        <v>1819704</v>
      </c>
      <c r="C25" s="706">
        <f t="shared" ref="C25:N25" si="5">SUM(C26:C32)</f>
        <v>86816</v>
      </c>
      <c r="D25" s="706">
        <f t="shared" si="5"/>
        <v>148429</v>
      </c>
      <c r="E25" s="706">
        <f t="shared" si="5"/>
        <v>241825</v>
      </c>
      <c r="F25" s="706">
        <f t="shared" si="5"/>
        <v>169312</v>
      </c>
      <c r="G25" s="706">
        <f t="shared" si="5"/>
        <v>187163</v>
      </c>
      <c r="H25" s="706">
        <f t="shared" si="5"/>
        <v>93369</v>
      </c>
      <c r="I25" s="706">
        <f t="shared" si="5"/>
        <v>193284</v>
      </c>
      <c r="J25" s="706">
        <f t="shared" si="5"/>
        <v>132051</v>
      </c>
      <c r="K25" s="706">
        <f t="shared" si="5"/>
        <v>141697</v>
      </c>
      <c r="L25" s="706">
        <f t="shared" si="5"/>
        <v>164336</v>
      </c>
      <c r="M25" s="706">
        <f t="shared" si="5"/>
        <v>144380</v>
      </c>
      <c r="N25" s="706">
        <f t="shared" si="5"/>
        <v>117042</v>
      </c>
    </row>
    <row r="26" spans="1:14" ht="16" customHeight="1">
      <c r="A26" s="89" t="s">
        <v>160</v>
      </c>
      <c r="B26" s="708">
        <f t="shared" ref="B26:B32" si="6">SUM(C26:N26)</f>
        <v>1517144</v>
      </c>
      <c r="C26" s="406">
        <v>67742</v>
      </c>
      <c r="D26" s="406">
        <v>117885</v>
      </c>
      <c r="E26" s="406">
        <v>171290</v>
      </c>
      <c r="F26" s="406">
        <v>162179</v>
      </c>
      <c r="G26" s="406">
        <v>126517</v>
      </c>
      <c r="H26" s="406">
        <v>70288</v>
      </c>
      <c r="I26" s="406">
        <v>169695</v>
      </c>
      <c r="J26" s="406">
        <v>126177</v>
      </c>
      <c r="K26" s="406">
        <v>130092</v>
      </c>
      <c r="L26" s="406">
        <v>150877</v>
      </c>
      <c r="M26" s="406">
        <v>132555</v>
      </c>
      <c r="N26" s="406">
        <v>91847</v>
      </c>
    </row>
    <row r="27" spans="1:14" ht="16" customHeight="1">
      <c r="A27" s="89" t="s">
        <v>145</v>
      </c>
      <c r="B27" s="708">
        <f t="shared" si="6"/>
        <v>46881</v>
      </c>
      <c r="C27" s="406">
        <v>11236</v>
      </c>
      <c r="D27" s="406">
        <v>0</v>
      </c>
      <c r="E27" s="406">
        <v>10503</v>
      </c>
      <c r="F27" s="406">
        <v>0</v>
      </c>
      <c r="G27" s="406">
        <v>15596</v>
      </c>
      <c r="H27" s="406">
        <v>0</v>
      </c>
      <c r="I27" s="406">
        <v>0</v>
      </c>
      <c r="J27" s="406">
        <v>5874</v>
      </c>
      <c r="K27" s="406">
        <v>0</v>
      </c>
      <c r="L27" s="406">
        <v>0</v>
      </c>
      <c r="M27" s="406">
        <v>0</v>
      </c>
      <c r="N27" s="406">
        <v>3672</v>
      </c>
    </row>
    <row r="28" spans="1:14" ht="16" customHeight="1">
      <c r="A28" s="89" t="s">
        <v>161</v>
      </c>
      <c r="B28" s="708">
        <f t="shared" si="6"/>
        <v>191349</v>
      </c>
      <c r="C28" s="406">
        <v>7838</v>
      </c>
      <c r="D28" s="406">
        <v>28162</v>
      </c>
      <c r="E28" s="406">
        <v>42946</v>
      </c>
      <c r="F28" s="406">
        <v>4834</v>
      </c>
      <c r="G28" s="406">
        <v>39376</v>
      </c>
      <c r="H28" s="406">
        <v>23081</v>
      </c>
      <c r="I28" s="406">
        <v>23589</v>
      </c>
      <c r="J28" s="406">
        <v>0</v>
      </c>
      <c r="K28" s="406">
        <v>0</v>
      </c>
      <c r="L28" s="406">
        <v>0</v>
      </c>
      <c r="M28" s="406">
        <v>0</v>
      </c>
      <c r="N28" s="406">
        <v>21523</v>
      </c>
    </row>
    <row r="29" spans="1:14" ht="16" customHeight="1">
      <c r="A29" s="89" t="s">
        <v>146</v>
      </c>
      <c r="B29" s="708">
        <f t="shared" si="6"/>
        <v>48995</v>
      </c>
      <c r="C29" s="406">
        <v>0</v>
      </c>
      <c r="D29" s="406">
        <v>2382</v>
      </c>
      <c r="E29" s="406">
        <v>4942</v>
      </c>
      <c r="F29" s="406">
        <v>688</v>
      </c>
      <c r="G29" s="406">
        <v>4094</v>
      </c>
      <c r="H29" s="406">
        <v>0</v>
      </c>
      <c r="I29" s="406">
        <v>0</v>
      </c>
      <c r="J29" s="406">
        <v>0</v>
      </c>
      <c r="K29" s="406">
        <v>11605</v>
      </c>
      <c r="L29" s="406">
        <v>13459</v>
      </c>
      <c r="M29" s="406">
        <v>11825</v>
      </c>
      <c r="N29" s="406">
        <v>0</v>
      </c>
    </row>
    <row r="30" spans="1:14" ht="16" customHeight="1">
      <c r="A30" s="89" t="s">
        <v>147</v>
      </c>
      <c r="B30" s="708">
        <f t="shared" si="6"/>
        <v>2551</v>
      </c>
      <c r="C30" s="406">
        <v>0</v>
      </c>
      <c r="D30" s="406">
        <v>0</v>
      </c>
      <c r="E30" s="406">
        <v>1765</v>
      </c>
      <c r="F30" s="406">
        <v>786</v>
      </c>
      <c r="G30" s="406">
        <v>0</v>
      </c>
      <c r="H30" s="406">
        <v>0</v>
      </c>
      <c r="I30" s="406">
        <v>0</v>
      </c>
      <c r="J30" s="406">
        <v>0</v>
      </c>
      <c r="K30" s="406">
        <v>0</v>
      </c>
      <c r="L30" s="406">
        <v>0</v>
      </c>
      <c r="M30" s="406">
        <v>0</v>
      </c>
      <c r="N30" s="406">
        <v>0</v>
      </c>
    </row>
    <row r="31" spans="1:14" ht="16" customHeight="1">
      <c r="A31" s="89" t="s">
        <v>148</v>
      </c>
      <c r="B31" s="708">
        <f t="shared" si="6"/>
        <v>12784</v>
      </c>
      <c r="C31" s="406">
        <v>0</v>
      </c>
      <c r="D31" s="406">
        <v>0</v>
      </c>
      <c r="E31" s="406">
        <v>10379</v>
      </c>
      <c r="F31" s="406">
        <v>825</v>
      </c>
      <c r="G31" s="406">
        <v>1580</v>
      </c>
      <c r="H31" s="406">
        <v>0</v>
      </c>
      <c r="I31" s="406">
        <v>0</v>
      </c>
      <c r="J31" s="406">
        <v>0</v>
      </c>
      <c r="K31" s="406">
        <v>0</v>
      </c>
      <c r="L31" s="406">
        <v>0</v>
      </c>
      <c r="M31" s="406">
        <v>0</v>
      </c>
      <c r="N31" s="406">
        <v>0</v>
      </c>
    </row>
    <row r="32" spans="1:14" ht="16" customHeight="1">
      <c r="A32" s="89" t="s">
        <v>149</v>
      </c>
      <c r="B32" s="708">
        <f t="shared" si="6"/>
        <v>0</v>
      </c>
      <c r="C32" s="406">
        <v>0</v>
      </c>
      <c r="D32" s="406">
        <v>0</v>
      </c>
      <c r="E32" s="406">
        <v>0</v>
      </c>
      <c r="F32" s="406">
        <v>0</v>
      </c>
      <c r="G32" s="406">
        <v>0</v>
      </c>
      <c r="H32" s="406">
        <v>0</v>
      </c>
      <c r="I32" s="406">
        <v>0</v>
      </c>
      <c r="J32" s="406">
        <v>0</v>
      </c>
      <c r="K32" s="406">
        <v>0</v>
      </c>
      <c r="L32" s="406">
        <v>0</v>
      </c>
      <c r="M32" s="406">
        <v>0</v>
      </c>
      <c r="N32" s="406">
        <v>0</v>
      </c>
    </row>
    <row r="33" spans="1:15" ht="5" customHeight="1">
      <c r="B33" s="708"/>
      <c r="C33" s="406"/>
      <c r="D33" s="406"/>
      <c r="E33" s="406"/>
      <c r="F33" s="406"/>
      <c r="G33" s="406"/>
      <c r="H33" s="406"/>
      <c r="I33" s="406"/>
      <c r="J33" s="406"/>
      <c r="K33" s="406"/>
      <c r="L33" s="406"/>
      <c r="M33" s="406"/>
      <c r="N33" s="406"/>
    </row>
    <row r="34" spans="1:15" ht="18" customHeight="1">
      <c r="A34" s="705" t="s">
        <v>150</v>
      </c>
      <c r="B34" s="708">
        <f>SUM(B35:B38)</f>
        <v>1308011</v>
      </c>
      <c r="C34" s="706">
        <f t="shared" ref="C34:N34" si="7">SUM(C35:C38)</f>
        <v>165978</v>
      </c>
      <c r="D34" s="706">
        <f t="shared" si="7"/>
        <v>31101</v>
      </c>
      <c r="E34" s="706">
        <f t="shared" si="7"/>
        <v>199010</v>
      </c>
      <c r="F34" s="706">
        <f t="shared" si="7"/>
        <v>56090</v>
      </c>
      <c r="G34" s="706">
        <f t="shared" si="7"/>
        <v>59363</v>
      </c>
      <c r="H34" s="706">
        <f t="shared" si="7"/>
        <v>63296</v>
      </c>
      <c r="I34" s="706">
        <f t="shared" si="7"/>
        <v>65019</v>
      </c>
      <c r="J34" s="706">
        <f t="shared" si="7"/>
        <v>53105</v>
      </c>
      <c r="K34" s="706">
        <f t="shared" si="7"/>
        <v>168720</v>
      </c>
      <c r="L34" s="706">
        <f t="shared" si="7"/>
        <v>195676</v>
      </c>
      <c r="M34" s="706">
        <f t="shared" si="7"/>
        <v>171914</v>
      </c>
      <c r="N34" s="706">
        <f t="shared" si="7"/>
        <v>78739</v>
      </c>
    </row>
    <row r="35" spans="1:15" ht="16" customHeight="1">
      <c r="A35" s="89" t="s">
        <v>162</v>
      </c>
      <c r="B35" s="708">
        <f>SUM(C35:N35)</f>
        <v>508753</v>
      </c>
      <c r="C35" s="406">
        <v>62089</v>
      </c>
      <c r="D35" s="406">
        <v>8055</v>
      </c>
      <c r="E35" s="406">
        <v>92866</v>
      </c>
      <c r="F35" s="406">
        <v>15326</v>
      </c>
      <c r="G35" s="406">
        <v>42851</v>
      </c>
      <c r="H35" s="406">
        <v>0</v>
      </c>
      <c r="I35" s="406">
        <v>54271</v>
      </c>
      <c r="J35" s="406">
        <v>16839</v>
      </c>
      <c r="K35" s="406">
        <v>53279</v>
      </c>
      <c r="L35" s="406">
        <v>61791</v>
      </c>
      <c r="M35" s="406">
        <v>54288</v>
      </c>
      <c r="N35" s="406">
        <v>47098</v>
      </c>
    </row>
    <row r="36" spans="1:15" ht="16" customHeight="1">
      <c r="A36" s="89" t="s">
        <v>151</v>
      </c>
      <c r="B36" s="708">
        <f>SUM(C36:N36)</f>
        <v>435354</v>
      </c>
      <c r="C36" s="406">
        <v>51404</v>
      </c>
      <c r="D36" s="406">
        <v>17760</v>
      </c>
      <c r="E36" s="406">
        <v>29593</v>
      </c>
      <c r="F36" s="406">
        <v>19777</v>
      </c>
      <c r="G36" s="406">
        <v>16512</v>
      </c>
      <c r="H36" s="406">
        <v>53598</v>
      </c>
      <c r="I36" s="406">
        <v>2972</v>
      </c>
      <c r="J36" s="406">
        <v>21303</v>
      </c>
      <c r="K36" s="406">
        <v>69977</v>
      </c>
      <c r="L36" s="406">
        <v>81157</v>
      </c>
      <c r="M36" s="406">
        <v>71301</v>
      </c>
      <c r="N36" s="406">
        <v>0</v>
      </c>
    </row>
    <row r="37" spans="1:15" ht="16" customHeight="1">
      <c r="A37" s="89" t="s">
        <v>152</v>
      </c>
      <c r="B37" s="708">
        <f>SUM(C37:N37)</f>
        <v>297716</v>
      </c>
      <c r="C37" s="406">
        <v>52485</v>
      </c>
      <c r="D37" s="406">
        <v>5286</v>
      </c>
      <c r="E37" s="406">
        <v>31185</v>
      </c>
      <c r="F37" s="406">
        <v>7941</v>
      </c>
      <c r="G37" s="406">
        <v>0</v>
      </c>
      <c r="H37" s="406">
        <v>9698</v>
      </c>
      <c r="I37" s="406">
        <v>0</v>
      </c>
      <c r="J37" s="406">
        <v>14963</v>
      </c>
      <c r="K37" s="406">
        <v>45464</v>
      </c>
      <c r="L37" s="406">
        <v>52728</v>
      </c>
      <c r="M37" s="406">
        <v>46325</v>
      </c>
      <c r="N37" s="406">
        <v>31641</v>
      </c>
    </row>
    <row r="38" spans="1:15" ht="16" customHeight="1">
      <c r="A38" s="91" t="s">
        <v>607</v>
      </c>
      <c r="B38" s="708">
        <f>SUM(C38:N38)</f>
        <v>66188</v>
      </c>
      <c r="C38" s="406">
        <v>0</v>
      </c>
      <c r="D38" s="406">
        <v>0</v>
      </c>
      <c r="E38" s="406">
        <v>45366</v>
      </c>
      <c r="F38" s="406">
        <v>13046</v>
      </c>
      <c r="G38" s="406">
        <v>0</v>
      </c>
      <c r="H38" s="406">
        <v>0</v>
      </c>
      <c r="I38" s="406">
        <v>7776</v>
      </c>
      <c r="J38" s="406">
        <v>0</v>
      </c>
      <c r="K38" s="406">
        <v>0</v>
      </c>
      <c r="L38" s="406">
        <v>0</v>
      </c>
      <c r="M38" s="406">
        <v>0</v>
      </c>
      <c r="N38" s="406">
        <v>0</v>
      </c>
    </row>
    <row r="39" spans="1:15" ht="5" customHeight="1" thickBot="1">
      <c r="A39" s="93"/>
      <c r="B39" s="704"/>
      <c r="C39" s="397"/>
      <c r="D39" s="397"/>
      <c r="E39" s="397"/>
      <c r="F39" s="397"/>
      <c r="G39" s="397"/>
      <c r="H39" s="397"/>
      <c r="I39" s="397"/>
      <c r="J39" s="397"/>
      <c r="K39" s="397"/>
      <c r="L39" s="397"/>
      <c r="M39" s="397"/>
      <c r="N39" s="397"/>
    </row>
    <row r="40" spans="1:15" ht="9" customHeight="1">
      <c r="A40" s="449" t="s">
        <v>330</v>
      </c>
      <c r="B40" s="524"/>
      <c r="C40" s="524"/>
      <c r="D40" s="524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</row>
    <row r="41" spans="1:15" ht="9" customHeight="1">
      <c r="A41" s="525" t="s">
        <v>321</v>
      </c>
      <c r="B41" s="524"/>
      <c r="C41" s="524"/>
      <c r="D41" s="524"/>
      <c r="E41" s="385"/>
      <c r="F41" s="385"/>
      <c r="G41" s="385"/>
      <c r="H41" s="385"/>
      <c r="I41" s="385"/>
      <c r="J41" s="385"/>
      <c r="K41" s="385"/>
      <c r="L41" s="385"/>
      <c r="M41" s="385"/>
      <c r="N41" s="385"/>
      <c r="O41" s="385"/>
    </row>
    <row r="42" spans="1:15" ht="9" customHeight="1">
      <c r="A42" s="451" t="s">
        <v>303</v>
      </c>
      <c r="B42" s="524"/>
      <c r="C42" s="524"/>
      <c r="D42" s="524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</row>
    <row r="43" spans="1:15" ht="13.25" customHeight="1">
      <c r="A43" s="67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Hoja129">
    <tabColor theme="9" tint="0.59999389629810485"/>
  </sheetPr>
  <dimension ref="A2:W36"/>
  <sheetViews>
    <sheetView showGridLines="0" zoomScaleNormal="100" workbookViewId="0">
      <selection activeCell="F13" sqref="F13:V13"/>
    </sheetView>
  </sheetViews>
  <sheetFormatPr baseColWidth="10" defaultColWidth="7" defaultRowHeight="13.25" customHeight="1"/>
  <cols>
    <col min="1" max="1" width="0.796875" style="76" customWidth="1"/>
    <col min="2" max="2" width="10.3984375" style="76" customWidth="1"/>
    <col min="3" max="5" width="8" style="76" hidden="1" customWidth="1"/>
    <col min="6" max="22" width="7.19921875" style="76" customWidth="1"/>
    <col min="23" max="23" width="8.796875" style="76" customWidth="1"/>
    <col min="24" max="16384" width="7" style="76"/>
  </cols>
  <sheetData>
    <row r="2" spans="1:23" ht="15" customHeight="1">
      <c r="A2" s="201" t="s">
        <v>567</v>
      </c>
      <c r="B2" s="199"/>
      <c r="C2" s="199"/>
      <c r="D2" s="199"/>
      <c r="E2" s="199"/>
      <c r="F2" s="199"/>
    </row>
    <row r="3" spans="1:23" ht="13.25" customHeight="1">
      <c r="A3" s="398" t="s">
        <v>282</v>
      </c>
      <c r="B3" s="199"/>
      <c r="C3" s="199"/>
      <c r="D3" s="199"/>
      <c r="E3" s="199"/>
      <c r="F3" s="199"/>
    </row>
    <row r="4" spans="1:23" ht="6" customHeight="1" thickBo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3" ht="18" customHeight="1">
      <c r="A5" s="1019" t="s">
        <v>16</v>
      </c>
      <c r="B5" s="1019"/>
      <c r="C5" s="722">
        <v>2005</v>
      </c>
      <c r="D5" s="722">
        <v>2006</v>
      </c>
      <c r="E5" s="722">
        <v>2007</v>
      </c>
      <c r="F5" s="722">
        <v>2008</v>
      </c>
      <c r="G5" s="722">
        <v>2009</v>
      </c>
      <c r="H5" s="722">
        <v>2010</v>
      </c>
      <c r="I5" s="722">
        <v>2011</v>
      </c>
      <c r="J5" s="722">
        <v>2012</v>
      </c>
      <c r="K5" s="722">
        <v>2013</v>
      </c>
      <c r="L5" s="722">
        <v>2014</v>
      </c>
      <c r="M5" s="722">
        <v>2015</v>
      </c>
      <c r="N5" s="722">
        <v>2016</v>
      </c>
      <c r="O5" s="722">
        <v>2017</v>
      </c>
      <c r="P5" s="722" t="s">
        <v>180</v>
      </c>
      <c r="Q5" s="722" t="s">
        <v>296</v>
      </c>
      <c r="R5" s="722">
        <v>2020</v>
      </c>
      <c r="S5" s="722">
        <v>2021</v>
      </c>
      <c r="T5" s="722" t="s">
        <v>385</v>
      </c>
      <c r="U5" s="722">
        <v>2023</v>
      </c>
      <c r="V5" s="722" t="s">
        <v>465</v>
      </c>
    </row>
    <row r="6" spans="1:23" ht="18" customHeight="1">
      <c r="A6" s="1020" t="s">
        <v>93</v>
      </c>
      <c r="B6" s="1020"/>
      <c r="C6" s="709">
        <f>(C8+C9+C10+C11+C12+C13+C14+C15+C16+C17+C18+C19+C20+C21+C22+C23+C24+C25+C26+C27+C28+C29+C30+C31)</f>
        <v>5249783</v>
      </c>
      <c r="D6" s="709">
        <f>(D8+D9+D10+D11+D12+D13+D14+D15+D16+D17+D18+D19+D20+D21+D22+D23+D24+D25+D26+D27+D28+D29+D30+D31)</f>
        <v>5241101</v>
      </c>
      <c r="E6" s="710">
        <v>120227.6</v>
      </c>
      <c r="F6" s="918">
        <v>131179.1</v>
      </c>
      <c r="G6" s="918">
        <v>137838</v>
      </c>
      <c r="H6" s="918">
        <v>130779</v>
      </c>
      <c r="I6" s="918">
        <v>128943.5</v>
      </c>
      <c r="J6" s="918">
        <v>138554.1</v>
      </c>
      <c r="K6" s="918">
        <v>138179.79999999999</v>
      </c>
      <c r="L6" s="918">
        <v>144703.70000000001</v>
      </c>
      <c r="M6" s="918">
        <v>151000.9</v>
      </c>
      <c r="N6" s="918">
        <v>158263.20000000001</v>
      </c>
      <c r="O6" s="918">
        <f t="shared" ref="O6:R6" si="0">SUM(O8:O31)</f>
        <v>156637.5</v>
      </c>
      <c r="P6" s="918">
        <f t="shared" si="0"/>
        <v>160959.31899999999</v>
      </c>
      <c r="Q6" s="918">
        <f t="shared" si="0"/>
        <v>168172.63500000007</v>
      </c>
      <c r="R6" s="918">
        <f t="shared" si="0"/>
        <v>178159.62999999995</v>
      </c>
      <c r="S6" s="918">
        <f>SUM(S8:S31)</f>
        <v>189374.75399999999</v>
      </c>
      <c r="T6" s="918">
        <f>SUM(T8:T31)</f>
        <v>190881.87000000005</v>
      </c>
      <c r="U6" s="918">
        <f>SUM(U8:U31)</f>
        <v>191690.90199999994</v>
      </c>
      <c r="V6" s="918">
        <f>SUM(V8:V31)</f>
        <v>194758.70999999996</v>
      </c>
    </row>
    <row r="7" spans="1:23" ht="4.25" customHeight="1">
      <c r="A7" s="77"/>
      <c r="B7" s="78"/>
      <c r="C7" s="85"/>
      <c r="D7" s="85"/>
      <c r="E7" s="85"/>
      <c r="F7" s="919"/>
      <c r="G7" s="919"/>
      <c r="H7" s="919"/>
      <c r="I7" s="919"/>
      <c r="J7" s="919"/>
      <c r="K7" s="919"/>
      <c r="L7" s="919"/>
      <c r="M7" s="919"/>
      <c r="N7" s="919"/>
      <c r="O7" s="919"/>
      <c r="P7" s="919"/>
      <c r="Q7" s="919"/>
      <c r="R7" s="919"/>
      <c r="S7" s="919"/>
      <c r="T7" s="919"/>
      <c r="U7" s="919"/>
      <c r="V7" s="919"/>
    </row>
    <row r="8" spans="1:23" ht="16" customHeight="1">
      <c r="A8" s="77"/>
      <c r="B8" s="21" t="s">
        <v>19</v>
      </c>
      <c r="C8" s="86">
        <v>13800</v>
      </c>
      <c r="D8" s="86">
        <v>14000</v>
      </c>
      <c r="E8" s="88">
        <v>97.2</v>
      </c>
      <c r="F8" s="920">
        <v>80.900000000000006</v>
      </c>
      <c r="G8" s="920">
        <v>89.5</v>
      </c>
      <c r="H8" s="920">
        <v>90.1</v>
      </c>
      <c r="I8" s="920">
        <v>199.5</v>
      </c>
      <c r="J8" s="920">
        <v>190.5</v>
      </c>
      <c r="K8" s="920">
        <v>199.5</v>
      </c>
      <c r="L8" s="920">
        <v>195.3</v>
      </c>
      <c r="M8" s="920">
        <v>175.4</v>
      </c>
      <c r="N8" s="920">
        <v>159.80000000000001</v>
      </c>
      <c r="O8" s="920">
        <v>154.30000000000001</v>
      </c>
      <c r="P8" s="920">
        <v>160.16999999999999</v>
      </c>
      <c r="Q8" s="920">
        <v>157.22</v>
      </c>
      <c r="R8" s="920">
        <v>183.42</v>
      </c>
      <c r="S8" s="920">
        <v>180.35</v>
      </c>
      <c r="T8" s="920">
        <v>181.89</v>
      </c>
      <c r="U8" s="920">
        <v>181.33</v>
      </c>
      <c r="V8" s="920">
        <v>183.726</v>
      </c>
      <c r="W8" s="566"/>
    </row>
    <row r="9" spans="1:23" ht="16" customHeight="1">
      <c r="A9" s="77"/>
      <c r="B9" s="21" t="s">
        <v>20</v>
      </c>
      <c r="C9" s="86">
        <v>234260</v>
      </c>
      <c r="D9" s="86">
        <v>234260</v>
      </c>
      <c r="E9" s="88">
        <v>6494.4</v>
      </c>
      <c r="F9" s="920">
        <v>5800</v>
      </c>
      <c r="G9" s="920">
        <v>5358.8</v>
      </c>
      <c r="H9" s="920">
        <v>4791.5</v>
      </c>
      <c r="I9" s="920">
        <v>5088.6000000000004</v>
      </c>
      <c r="J9" s="920">
        <v>4373.6000000000004</v>
      </c>
      <c r="K9" s="920">
        <v>5581</v>
      </c>
      <c r="L9" s="920">
        <v>6136</v>
      </c>
      <c r="M9" s="920">
        <v>6015.3</v>
      </c>
      <c r="N9" s="920">
        <v>6049.9</v>
      </c>
      <c r="O9" s="920">
        <v>6138.3</v>
      </c>
      <c r="P9" s="920">
        <v>5987.0730000000003</v>
      </c>
      <c r="Q9" s="920">
        <v>5858.23</v>
      </c>
      <c r="R9" s="920">
        <v>5987.0479999999998</v>
      </c>
      <c r="S9" s="920">
        <v>3905.7739999999999</v>
      </c>
      <c r="T9" s="920">
        <v>4946.41</v>
      </c>
      <c r="U9" s="920">
        <v>3987.0729999999999</v>
      </c>
      <c r="V9" s="920">
        <v>3987.0729999999999</v>
      </c>
      <c r="W9" s="566"/>
    </row>
    <row r="10" spans="1:23" ht="16" customHeight="1">
      <c r="A10" s="77"/>
      <c r="B10" s="21" t="s">
        <v>21</v>
      </c>
      <c r="C10" s="86">
        <v>86000</v>
      </c>
      <c r="D10" s="86">
        <v>87500</v>
      </c>
      <c r="E10" s="88">
        <v>2084.6999999999998</v>
      </c>
      <c r="F10" s="920">
        <v>2138.8000000000002</v>
      </c>
      <c r="G10" s="920">
        <v>2480.5</v>
      </c>
      <c r="H10" s="920">
        <v>2215.5</v>
      </c>
      <c r="I10" s="920">
        <v>2502.1999999999998</v>
      </c>
      <c r="J10" s="920">
        <v>1865.2</v>
      </c>
      <c r="K10" s="920">
        <v>2295.8000000000002</v>
      </c>
      <c r="L10" s="920">
        <v>2387.6999999999998</v>
      </c>
      <c r="M10" s="920">
        <v>2410.4</v>
      </c>
      <c r="N10" s="920">
        <v>1865.2</v>
      </c>
      <c r="O10" s="920">
        <v>1868.5</v>
      </c>
      <c r="P10" s="920">
        <v>2048.0300000000002</v>
      </c>
      <c r="Q10" s="920">
        <v>2489.462</v>
      </c>
      <c r="R10" s="920">
        <v>2626.0329999999999</v>
      </c>
      <c r="S10" s="920">
        <v>2557.7399999999998</v>
      </c>
      <c r="T10" s="920">
        <v>2267.9499999999998</v>
      </c>
      <c r="U10" s="920">
        <v>2591.8870000000002</v>
      </c>
      <c r="V10" s="920">
        <v>2510.9029999999998</v>
      </c>
      <c r="W10" s="566"/>
    </row>
    <row r="11" spans="1:23" ht="16" customHeight="1">
      <c r="A11" s="77"/>
      <c r="B11" s="21" t="s">
        <v>22</v>
      </c>
      <c r="C11" s="86">
        <v>253482</v>
      </c>
      <c r="D11" s="86">
        <v>253925</v>
      </c>
      <c r="E11" s="88">
        <v>13000.9</v>
      </c>
      <c r="F11" s="920">
        <v>13581.5</v>
      </c>
      <c r="G11" s="920">
        <v>14270.2</v>
      </c>
      <c r="H11" s="920">
        <v>15837.4</v>
      </c>
      <c r="I11" s="920">
        <v>17116.900000000001</v>
      </c>
      <c r="J11" s="920">
        <v>20057.5</v>
      </c>
      <c r="K11" s="920">
        <v>20270.599999999999</v>
      </c>
      <c r="L11" s="920">
        <v>24038.6</v>
      </c>
      <c r="M11" s="920">
        <v>24045</v>
      </c>
      <c r="N11" s="920">
        <v>26281.5</v>
      </c>
      <c r="O11" s="920">
        <v>25241.200000000001</v>
      </c>
      <c r="P11" s="920">
        <v>24685.343000000001</v>
      </c>
      <c r="Q11" s="920">
        <v>24963.293000000001</v>
      </c>
      <c r="R11" s="920">
        <v>24980.325000000001</v>
      </c>
      <c r="S11" s="920">
        <v>25462.692999999999</v>
      </c>
      <c r="T11" s="920">
        <v>25462.69</v>
      </c>
      <c r="U11" s="920">
        <v>25521.508999999998</v>
      </c>
      <c r="V11" s="920">
        <v>25756.805</v>
      </c>
      <c r="W11" s="566"/>
    </row>
    <row r="12" spans="1:23" ht="16" customHeight="1">
      <c r="A12" s="77"/>
      <c r="B12" s="21" t="s">
        <v>23</v>
      </c>
      <c r="C12" s="86">
        <v>567252</v>
      </c>
      <c r="D12" s="86">
        <v>585191</v>
      </c>
      <c r="E12" s="88">
        <v>1268.3</v>
      </c>
      <c r="F12" s="920">
        <v>1101.2</v>
      </c>
      <c r="G12" s="920">
        <v>1140.5999999999999</v>
      </c>
      <c r="H12" s="920">
        <v>1119.5</v>
      </c>
      <c r="I12" s="920">
        <v>1332</v>
      </c>
      <c r="J12" s="920">
        <v>1105.2</v>
      </c>
      <c r="K12" s="920">
        <v>1046.3</v>
      </c>
      <c r="L12" s="920">
        <v>1056.4000000000001</v>
      </c>
      <c r="M12" s="920">
        <v>1052.4000000000001</v>
      </c>
      <c r="N12" s="920">
        <v>899.9</v>
      </c>
      <c r="O12" s="920">
        <v>839.4</v>
      </c>
      <c r="P12" s="920">
        <v>901.6</v>
      </c>
      <c r="Q12" s="920">
        <v>870.49400000000003</v>
      </c>
      <c r="R12" s="920">
        <v>887.06700000000001</v>
      </c>
      <c r="S12" s="920">
        <v>890.39700000000005</v>
      </c>
      <c r="T12" s="920">
        <v>887.31</v>
      </c>
      <c r="U12" s="920">
        <v>889.35799999999995</v>
      </c>
      <c r="V12" s="920">
        <v>899.53399999999999</v>
      </c>
      <c r="W12" s="566"/>
    </row>
    <row r="13" spans="1:23" ht="16" customHeight="1">
      <c r="A13" s="77"/>
      <c r="B13" s="21" t="s">
        <v>27</v>
      </c>
      <c r="C13" s="86">
        <v>201868</v>
      </c>
      <c r="D13" s="86">
        <v>203000</v>
      </c>
      <c r="E13" s="88">
        <v>953.6</v>
      </c>
      <c r="F13" s="920">
        <v>1008.2</v>
      </c>
      <c r="G13" s="920">
        <v>1200</v>
      </c>
      <c r="H13" s="920">
        <v>1106.3</v>
      </c>
      <c r="I13" s="920">
        <v>1374</v>
      </c>
      <c r="J13" s="920">
        <v>1137.4000000000001</v>
      </c>
      <c r="K13" s="920">
        <v>1379.9</v>
      </c>
      <c r="L13" s="920">
        <v>1389.7</v>
      </c>
      <c r="M13" s="920">
        <v>1423.3</v>
      </c>
      <c r="N13" s="920">
        <v>1471.6</v>
      </c>
      <c r="O13" s="920">
        <v>1521.5</v>
      </c>
      <c r="P13" s="920">
        <v>1530.41</v>
      </c>
      <c r="Q13" s="920">
        <v>1525.9690000000001</v>
      </c>
      <c r="R13" s="920">
        <v>1528.4110000000001</v>
      </c>
      <c r="S13" s="920">
        <v>1530.1890000000001</v>
      </c>
      <c r="T13" s="920">
        <v>1529.3</v>
      </c>
      <c r="U13" s="920">
        <v>1529.7449999999999</v>
      </c>
      <c r="V13" s="920">
        <v>1532.4110000000001</v>
      </c>
      <c r="W13" s="566"/>
    </row>
    <row r="14" spans="1:23" ht="16" customHeight="1">
      <c r="A14" s="77"/>
      <c r="B14" s="21" t="s">
        <v>28</v>
      </c>
      <c r="C14" s="86">
        <v>342051</v>
      </c>
      <c r="D14" s="86">
        <v>301166</v>
      </c>
      <c r="E14" s="88">
        <v>1705.7</v>
      </c>
      <c r="F14" s="920">
        <v>1714</v>
      </c>
      <c r="G14" s="920">
        <v>3250.5</v>
      </c>
      <c r="H14" s="920">
        <v>3013.8</v>
      </c>
      <c r="I14" s="920">
        <v>1713.1</v>
      </c>
      <c r="J14" s="920">
        <v>2863.5</v>
      </c>
      <c r="K14" s="920">
        <v>2620.6</v>
      </c>
      <c r="L14" s="920">
        <v>2619.9</v>
      </c>
      <c r="M14" s="920">
        <v>2620.1999999999998</v>
      </c>
      <c r="N14" s="920">
        <v>2630.2</v>
      </c>
      <c r="O14" s="920">
        <v>2640.3</v>
      </c>
      <c r="P14" s="920">
        <v>2625.38</v>
      </c>
      <c r="Q14" s="920">
        <v>2632.8580000000002</v>
      </c>
      <c r="R14" s="920">
        <v>2629.0329999999999</v>
      </c>
      <c r="S14" s="920">
        <v>2640.982</v>
      </c>
      <c r="T14" s="920">
        <v>2635.01</v>
      </c>
      <c r="U14" s="920">
        <v>2627.0079999999998</v>
      </c>
      <c r="V14" s="920">
        <v>2756.5810000000001</v>
      </c>
      <c r="W14" s="566"/>
    </row>
    <row r="15" spans="1:23" ht="16" customHeight="1">
      <c r="A15" s="77"/>
      <c r="B15" s="21" t="s">
        <v>29</v>
      </c>
      <c r="C15" s="86">
        <v>263480</v>
      </c>
      <c r="D15" s="86">
        <v>258000</v>
      </c>
      <c r="E15" s="88">
        <v>36554</v>
      </c>
      <c r="F15" s="920">
        <v>42522.6</v>
      </c>
      <c r="G15" s="920">
        <v>43800.5</v>
      </c>
      <c r="H15" s="920">
        <v>41334.300000000003</v>
      </c>
      <c r="I15" s="920">
        <v>40320.1</v>
      </c>
      <c r="J15" s="920">
        <v>52827.199999999997</v>
      </c>
      <c r="K15" s="920">
        <v>50450.7</v>
      </c>
      <c r="L15" s="920">
        <v>51973.3</v>
      </c>
      <c r="M15" s="920">
        <v>56920.3</v>
      </c>
      <c r="N15" s="920">
        <v>60602.3</v>
      </c>
      <c r="O15" s="920">
        <v>58064.4</v>
      </c>
      <c r="P15" s="920">
        <v>60834.269</v>
      </c>
      <c r="Q15" s="920">
        <v>68879.429999999993</v>
      </c>
      <c r="R15" s="920">
        <v>78917.84</v>
      </c>
      <c r="S15" s="920">
        <v>90509.067999999999</v>
      </c>
      <c r="T15" s="920">
        <v>91713.45</v>
      </c>
      <c r="U15" s="920">
        <v>92164.668999999994</v>
      </c>
      <c r="V15" s="920">
        <v>95986.273000000001</v>
      </c>
      <c r="W15" s="566"/>
    </row>
    <row r="16" spans="1:23" ht="16" customHeight="1">
      <c r="A16" s="77"/>
      <c r="B16" s="21" t="s">
        <v>30</v>
      </c>
      <c r="C16" s="86">
        <v>36448</v>
      </c>
      <c r="D16" s="87">
        <v>36595</v>
      </c>
      <c r="E16" s="88">
        <v>7140.3</v>
      </c>
      <c r="F16" s="920">
        <v>8131</v>
      </c>
      <c r="G16" s="920">
        <v>10300</v>
      </c>
      <c r="H16" s="920">
        <v>10725.3</v>
      </c>
      <c r="I16" s="920">
        <v>11340.6</v>
      </c>
      <c r="J16" s="920">
        <v>9340.6</v>
      </c>
      <c r="K16" s="920">
        <v>10450.700000000001</v>
      </c>
      <c r="L16" s="920">
        <v>10901.9</v>
      </c>
      <c r="M16" s="920">
        <v>12536.8</v>
      </c>
      <c r="N16" s="920">
        <v>13527.8</v>
      </c>
      <c r="O16" s="920">
        <v>14767.1</v>
      </c>
      <c r="P16" s="920">
        <v>16492.388999999999</v>
      </c>
      <c r="Q16" s="920">
        <v>17467.343000000001</v>
      </c>
      <c r="R16" s="920">
        <v>16978.544999999998</v>
      </c>
      <c r="S16" s="920">
        <v>17230.945</v>
      </c>
      <c r="T16" s="920">
        <v>17612.89</v>
      </c>
      <c r="U16" s="920">
        <v>19902.381000000001</v>
      </c>
      <c r="V16" s="920">
        <v>17289.061000000002</v>
      </c>
      <c r="W16" s="566"/>
    </row>
    <row r="17" spans="1:23" ht="16" customHeight="1">
      <c r="A17" s="77"/>
      <c r="B17" s="21" t="s">
        <v>31</v>
      </c>
      <c r="C17" s="86">
        <v>269149</v>
      </c>
      <c r="D17" s="86">
        <v>293273</v>
      </c>
      <c r="E17" s="88">
        <v>1684</v>
      </c>
      <c r="F17" s="920">
        <v>1714.3</v>
      </c>
      <c r="G17" s="920">
        <v>1860</v>
      </c>
      <c r="H17" s="920">
        <v>1677.7</v>
      </c>
      <c r="I17" s="920">
        <v>1720.4</v>
      </c>
      <c r="J17" s="920">
        <v>1530.4</v>
      </c>
      <c r="K17" s="920">
        <v>1670.9</v>
      </c>
      <c r="L17" s="920">
        <v>1729.4</v>
      </c>
      <c r="M17" s="920">
        <v>1750.4</v>
      </c>
      <c r="N17" s="920">
        <v>1756.9</v>
      </c>
      <c r="O17" s="920">
        <v>1763.4</v>
      </c>
      <c r="P17" s="920">
        <v>1759.47</v>
      </c>
      <c r="Q17" s="920">
        <v>1761.432</v>
      </c>
      <c r="R17" s="920">
        <v>1750.45</v>
      </c>
      <c r="S17" s="920">
        <v>1758.941</v>
      </c>
      <c r="T17" s="920">
        <v>1754.7</v>
      </c>
      <c r="U17" s="920">
        <v>1756.819</v>
      </c>
      <c r="V17" s="920">
        <v>1750.2270000000001</v>
      </c>
      <c r="W17" s="566"/>
    </row>
    <row r="18" spans="1:23" ht="16" customHeight="1">
      <c r="A18" s="77"/>
      <c r="B18" s="21" t="s">
        <v>32</v>
      </c>
      <c r="C18" s="86">
        <v>101588</v>
      </c>
      <c r="D18" s="86">
        <v>124095</v>
      </c>
      <c r="E18" s="88">
        <v>105.4</v>
      </c>
      <c r="F18" s="920">
        <v>105.8</v>
      </c>
      <c r="G18" s="920">
        <v>106.8</v>
      </c>
      <c r="H18" s="920">
        <v>109.7</v>
      </c>
      <c r="I18" s="920">
        <v>110.8</v>
      </c>
      <c r="J18" s="920">
        <v>120.1</v>
      </c>
      <c r="K18" s="920">
        <v>130.5</v>
      </c>
      <c r="L18" s="920">
        <v>135</v>
      </c>
      <c r="M18" s="920">
        <v>136.5</v>
      </c>
      <c r="N18" s="920">
        <v>139</v>
      </c>
      <c r="O18" s="920">
        <v>141.5</v>
      </c>
      <c r="P18" s="920">
        <v>138.26</v>
      </c>
      <c r="Q18" s="920">
        <v>139.89500000000001</v>
      </c>
      <c r="R18" s="920">
        <v>140.55799999999999</v>
      </c>
      <c r="S18" s="920">
        <v>139.084</v>
      </c>
      <c r="T18" s="920">
        <v>139.82</v>
      </c>
      <c r="U18" s="920">
        <v>139.453</v>
      </c>
      <c r="V18" s="920">
        <v>136.72900000000001</v>
      </c>
      <c r="W18" s="566"/>
    </row>
    <row r="19" spans="1:23" ht="16" customHeight="1">
      <c r="A19" s="77"/>
      <c r="B19" s="21" t="s">
        <v>33</v>
      </c>
      <c r="C19" s="86">
        <v>222660</v>
      </c>
      <c r="D19" s="86">
        <v>221770</v>
      </c>
      <c r="E19" s="88">
        <v>4850.1000000000004</v>
      </c>
      <c r="F19" s="920">
        <v>3311.1</v>
      </c>
      <c r="G19" s="920">
        <v>3600</v>
      </c>
      <c r="H19" s="920">
        <v>3198.5</v>
      </c>
      <c r="I19" s="920">
        <v>3510.8</v>
      </c>
      <c r="J19" s="920">
        <v>2939.4</v>
      </c>
      <c r="K19" s="920">
        <v>3450.3</v>
      </c>
      <c r="L19" s="920">
        <v>3588.3</v>
      </c>
      <c r="M19" s="920">
        <v>3650.4</v>
      </c>
      <c r="N19" s="920">
        <v>3563</v>
      </c>
      <c r="O19" s="920">
        <v>3554.4</v>
      </c>
      <c r="P19" s="920">
        <v>3570.42</v>
      </c>
      <c r="Q19" s="920">
        <v>3562.4229999999998</v>
      </c>
      <c r="R19" s="920">
        <v>2567.4549999999999</v>
      </c>
      <c r="S19" s="920">
        <v>2568.9430000000002</v>
      </c>
      <c r="T19" s="920">
        <v>2568.1999999999998</v>
      </c>
      <c r="U19" s="920">
        <v>2568.5709999999999</v>
      </c>
      <c r="V19" s="920">
        <v>2560.2919999999999</v>
      </c>
      <c r="W19" s="566"/>
    </row>
    <row r="20" spans="1:23" ht="16" customHeight="1">
      <c r="A20" s="77"/>
      <c r="B20" s="21" t="s">
        <v>34</v>
      </c>
      <c r="C20" s="86">
        <v>190580</v>
      </c>
      <c r="D20" s="86">
        <v>192967</v>
      </c>
      <c r="E20" s="88">
        <v>416.7</v>
      </c>
      <c r="F20" s="920">
        <v>409.9</v>
      </c>
      <c r="G20" s="920">
        <v>422.5</v>
      </c>
      <c r="H20" s="920">
        <v>421.2</v>
      </c>
      <c r="I20" s="920">
        <v>401.2</v>
      </c>
      <c r="J20" s="920">
        <v>390.2</v>
      </c>
      <c r="K20" s="920">
        <v>392.1</v>
      </c>
      <c r="L20" s="920">
        <v>405.8</v>
      </c>
      <c r="M20" s="920">
        <v>355.3</v>
      </c>
      <c r="N20" s="920">
        <v>384.4</v>
      </c>
      <c r="O20" s="920">
        <v>392.9</v>
      </c>
      <c r="P20" s="920">
        <v>385.19</v>
      </c>
      <c r="Q20" s="920">
        <v>389.03300000000002</v>
      </c>
      <c r="R20" s="920">
        <v>387.42500000000001</v>
      </c>
      <c r="S20" s="920">
        <v>388.64699999999999</v>
      </c>
      <c r="T20" s="920">
        <v>388.04</v>
      </c>
      <c r="U20" s="920">
        <v>388.34199999999998</v>
      </c>
      <c r="V20" s="920">
        <v>385.113</v>
      </c>
      <c r="W20" s="566"/>
    </row>
    <row r="21" spans="1:23" ht="16" customHeight="1">
      <c r="A21" s="77"/>
      <c r="B21" s="21" t="s">
        <v>35</v>
      </c>
      <c r="C21" s="86">
        <v>268845</v>
      </c>
      <c r="D21" s="86">
        <v>263905</v>
      </c>
      <c r="E21" s="88">
        <v>31940.400000000001</v>
      </c>
      <c r="F21" s="920">
        <v>33050.300000000003</v>
      </c>
      <c r="G21" s="920">
        <v>32220.400000000001</v>
      </c>
      <c r="H21" s="920">
        <v>27076.7</v>
      </c>
      <c r="I21" s="920">
        <v>23026.5</v>
      </c>
      <c r="J21" s="920">
        <v>20835.8</v>
      </c>
      <c r="K21" s="920">
        <v>19743.400000000001</v>
      </c>
      <c r="L21" s="920">
        <v>19475.900000000001</v>
      </c>
      <c r="M21" s="920">
        <v>18079.400000000001</v>
      </c>
      <c r="N21" s="920">
        <v>18854.599999999999</v>
      </c>
      <c r="O21" s="920">
        <v>19046.599999999999</v>
      </c>
      <c r="P21" s="920">
        <v>19470.309000000001</v>
      </c>
      <c r="Q21" s="920">
        <v>17146.598000000002</v>
      </c>
      <c r="R21" s="920">
        <v>18305.432000000001</v>
      </c>
      <c r="S21" s="920">
        <v>19026.567999999999</v>
      </c>
      <c r="T21" s="920">
        <v>18320</v>
      </c>
      <c r="U21" s="920">
        <v>16948.124</v>
      </c>
      <c r="V21" s="920">
        <v>18305.582999999999</v>
      </c>
      <c r="W21" s="566"/>
    </row>
    <row r="22" spans="1:23" ht="16" customHeight="1">
      <c r="A22" s="77"/>
      <c r="B22" s="21" t="s">
        <v>36</v>
      </c>
      <c r="C22" s="86">
        <v>31022</v>
      </c>
      <c r="D22" s="86">
        <v>30221</v>
      </c>
      <c r="E22" s="88">
        <v>103.1</v>
      </c>
      <c r="F22" s="920">
        <v>110.2</v>
      </c>
      <c r="G22" s="920">
        <v>120.3</v>
      </c>
      <c r="H22" s="920">
        <v>112.6</v>
      </c>
      <c r="I22" s="920">
        <v>105.9</v>
      </c>
      <c r="J22" s="920">
        <v>104.2</v>
      </c>
      <c r="K22" s="920">
        <v>110.5</v>
      </c>
      <c r="L22" s="920">
        <v>34.4</v>
      </c>
      <c r="M22" s="920">
        <v>50.1</v>
      </c>
      <c r="N22" s="920">
        <v>55</v>
      </c>
      <c r="O22" s="920">
        <v>60.3</v>
      </c>
      <c r="P22" s="920">
        <v>59.765000000000001</v>
      </c>
      <c r="Q22" s="920">
        <v>60.033999999999999</v>
      </c>
      <c r="R22" s="920">
        <v>59.84</v>
      </c>
      <c r="S22" s="920">
        <v>60.646999999999998</v>
      </c>
      <c r="T22" s="920">
        <v>60.24</v>
      </c>
      <c r="U22" s="920">
        <v>60.445999999999998</v>
      </c>
      <c r="V22" s="920">
        <v>63.293999999999997</v>
      </c>
      <c r="W22" s="566"/>
    </row>
    <row r="23" spans="1:23" ht="16" customHeight="1">
      <c r="A23" s="77"/>
      <c r="B23" s="21" t="s">
        <v>37</v>
      </c>
      <c r="C23" s="86">
        <v>29706</v>
      </c>
      <c r="D23" s="86">
        <v>29250</v>
      </c>
      <c r="E23" s="88">
        <v>607</v>
      </c>
      <c r="F23" s="920">
        <v>665.7</v>
      </c>
      <c r="G23" s="920">
        <v>690</v>
      </c>
      <c r="H23" s="920">
        <v>730</v>
      </c>
      <c r="I23" s="920">
        <v>822</v>
      </c>
      <c r="J23" s="920">
        <v>905</v>
      </c>
      <c r="K23" s="920">
        <v>851</v>
      </c>
      <c r="L23" s="920">
        <v>883.5</v>
      </c>
      <c r="M23" s="920">
        <v>1118</v>
      </c>
      <c r="N23" s="920">
        <v>1150.8</v>
      </c>
      <c r="O23" s="920">
        <v>1184.5999999999999</v>
      </c>
      <c r="P23" s="920">
        <v>1185.4449999999999</v>
      </c>
      <c r="Q23" s="920">
        <v>1185.038</v>
      </c>
      <c r="R23" s="920">
        <v>1184.8979999999999</v>
      </c>
      <c r="S23" s="920">
        <v>1190.6780000000001</v>
      </c>
      <c r="T23" s="920">
        <v>1187.79</v>
      </c>
      <c r="U23" s="920">
        <v>1189.2329999999999</v>
      </c>
      <c r="V23" s="920">
        <v>1190.1489999999999</v>
      </c>
      <c r="W23" s="566"/>
    </row>
    <row r="24" spans="1:23" ht="16" customHeight="1">
      <c r="A24" s="77"/>
      <c r="B24" s="21" t="s">
        <v>38</v>
      </c>
      <c r="C24" s="86">
        <v>445510</v>
      </c>
      <c r="D24" s="86">
        <v>402448</v>
      </c>
      <c r="E24" s="88">
        <v>596.1</v>
      </c>
      <c r="F24" s="920">
        <v>553.4</v>
      </c>
      <c r="G24" s="920">
        <v>650.20000000000005</v>
      </c>
      <c r="H24" s="920">
        <v>509.1</v>
      </c>
      <c r="I24" s="920">
        <v>610.1</v>
      </c>
      <c r="J24" s="920">
        <v>720.1</v>
      </c>
      <c r="K24" s="920">
        <v>750.5</v>
      </c>
      <c r="L24" s="920">
        <v>820.4</v>
      </c>
      <c r="M24" s="920">
        <v>850.1</v>
      </c>
      <c r="N24" s="920">
        <v>847</v>
      </c>
      <c r="O24" s="920">
        <v>843.9</v>
      </c>
      <c r="P24" s="920">
        <v>485.12</v>
      </c>
      <c r="Q24" s="920">
        <v>664.51099999999997</v>
      </c>
      <c r="R24" s="920">
        <v>570.44100000000003</v>
      </c>
      <c r="S24" s="920">
        <v>580.69100000000003</v>
      </c>
      <c r="T24" s="920">
        <v>575.57000000000005</v>
      </c>
      <c r="U24" s="920">
        <v>578.12900000000002</v>
      </c>
      <c r="V24" s="920">
        <v>576.20699999999999</v>
      </c>
      <c r="W24" s="566"/>
    </row>
    <row r="25" spans="1:23" ht="16" customHeight="1">
      <c r="A25" s="77"/>
      <c r="B25" s="21" t="s">
        <v>39</v>
      </c>
      <c r="C25" s="86">
        <v>323150</v>
      </c>
      <c r="D25" s="86">
        <v>324950</v>
      </c>
      <c r="E25" s="88">
        <v>578.1</v>
      </c>
      <c r="F25" s="920">
        <v>580.6</v>
      </c>
      <c r="G25" s="920">
        <v>599.29999999999995</v>
      </c>
      <c r="H25" s="920">
        <v>559.6</v>
      </c>
      <c r="I25" s="920">
        <v>531.4</v>
      </c>
      <c r="J25" s="920">
        <v>546.5</v>
      </c>
      <c r="K25" s="920">
        <v>302.7</v>
      </c>
      <c r="L25" s="920">
        <v>311.8</v>
      </c>
      <c r="M25" s="920">
        <v>319.8</v>
      </c>
      <c r="N25" s="920">
        <v>311.39999999999998</v>
      </c>
      <c r="O25" s="920">
        <v>307.60000000000002</v>
      </c>
      <c r="P25" s="920">
        <v>311.85000000000002</v>
      </c>
      <c r="Q25" s="920">
        <v>309.73899999999998</v>
      </c>
      <c r="R25" s="920">
        <v>305.02</v>
      </c>
      <c r="S25" s="920">
        <v>307.09899999999999</v>
      </c>
      <c r="T25" s="920">
        <v>306.06</v>
      </c>
      <c r="U25" s="920">
        <v>306.58</v>
      </c>
      <c r="V25" s="920">
        <v>304.19</v>
      </c>
      <c r="W25" s="566"/>
    </row>
    <row r="26" spans="1:23" ht="16" customHeight="1">
      <c r="A26" s="77"/>
      <c r="B26" s="21" t="s">
        <v>42</v>
      </c>
      <c r="C26" s="86">
        <v>511848</v>
      </c>
      <c r="D26" s="86">
        <v>513739</v>
      </c>
      <c r="E26" s="88">
        <v>900</v>
      </c>
      <c r="F26" s="920">
        <v>1200</v>
      </c>
      <c r="G26" s="920">
        <v>1620</v>
      </c>
      <c r="H26" s="920">
        <v>1241.5</v>
      </c>
      <c r="I26" s="920">
        <v>933</v>
      </c>
      <c r="J26" s="920">
        <v>910.3</v>
      </c>
      <c r="K26" s="920">
        <v>950.5</v>
      </c>
      <c r="L26" s="920">
        <v>1120.5</v>
      </c>
      <c r="M26" s="920">
        <v>1240.7</v>
      </c>
      <c r="N26" s="920">
        <v>1203.9000000000001</v>
      </c>
      <c r="O26" s="920">
        <v>1192.2</v>
      </c>
      <c r="P26" s="920">
        <v>1210.308</v>
      </c>
      <c r="Q26" s="920">
        <v>1201.279</v>
      </c>
      <c r="R26" s="920">
        <v>1205.779</v>
      </c>
      <c r="S26" s="920">
        <v>1202.6949999999999</v>
      </c>
      <c r="T26" s="920">
        <v>1204.24</v>
      </c>
      <c r="U26" s="920">
        <v>1203.4659999999999</v>
      </c>
      <c r="V26" s="920">
        <v>1204.0440000000001</v>
      </c>
      <c r="W26" s="566"/>
    </row>
    <row r="27" spans="1:23" ht="16" customHeight="1">
      <c r="A27" s="77"/>
      <c r="B27" s="21" t="s">
        <v>43</v>
      </c>
      <c r="C27" s="86">
        <v>608200</v>
      </c>
      <c r="D27" s="86">
        <v>617340</v>
      </c>
      <c r="E27" s="88">
        <v>1809.9</v>
      </c>
      <c r="F27" s="920">
        <v>1897.2</v>
      </c>
      <c r="G27" s="920">
        <v>1889.1</v>
      </c>
      <c r="H27" s="920">
        <v>1926.1</v>
      </c>
      <c r="I27" s="920">
        <v>1941.2</v>
      </c>
      <c r="J27" s="920">
        <v>1949</v>
      </c>
      <c r="K27" s="920">
        <v>2010.5</v>
      </c>
      <c r="L27" s="920">
        <v>1856.3</v>
      </c>
      <c r="M27" s="920">
        <v>1856.3</v>
      </c>
      <c r="N27" s="920">
        <v>1726.6</v>
      </c>
      <c r="O27" s="920">
        <v>1727.2</v>
      </c>
      <c r="P27" s="920">
        <v>1687.22</v>
      </c>
      <c r="Q27" s="920">
        <v>1698.7650000000001</v>
      </c>
      <c r="R27" s="920">
        <v>1699.105</v>
      </c>
      <c r="S27" s="920">
        <v>1597.4749999999999</v>
      </c>
      <c r="T27" s="920">
        <v>1584.99</v>
      </c>
      <c r="U27" s="920">
        <v>1556.94</v>
      </c>
      <c r="V27" s="920">
        <v>1549.26</v>
      </c>
      <c r="W27" s="566"/>
    </row>
    <row r="28" spans="1:23" ht="16" customHeight="1">
      <c r="A28" s="77"/>
      <c r="B28" s="76" t="s">
        <v>44</v>
      </c>
      <c r="C28" s="86">
        <v>128598</v>
      </c>
      <c r="D28" s="86">
        <v>135292</v>
      </c>
      <c r="E28" s="88">
        <v>2599.1999999999998</v>
      </c>
      <c r="F28" s="920">
        <v>2832</v>
      </c>
      <c r="G28" s="920">
        <v>3250</v>
      </c>
      <c r="H28" s="920">
        <v>3283.9</v>
      </c>
      <c r="I28" s="920">
        <v>4114.3999999999996</v>
      </c>
      <c r="J28" s="920">
        <v>3905.1</v>
      </c>
      <c r="K28" s="920">
        <v>4025.1</v>
      </c>
      <c r="L28" s="920">
        <v>4186.1000000000004</v>
      </c>
      <c r="M28" s="920">
        <v>4250.3</v>
      </c>
      <c r="N28" s="920">
        <v>4366</v>
      </c>
      <c r="O28" s="920">
        <v>4484.8999999999996</v>
      </c>
      <c r="P28" s="920">
        <v>4589.0439999999999</v>
      </c>
      <c r="Q28" s="920">
        <v>4536.9660000000003</v>
      </c>
      <c r="R28" s="920">
        <v>4565.2129999999997</v>
      </c>
      <c r="S28" s="920">
        <v>4751.6319999999996</v>
      </c>
      <c r="T28" s="920">
        <v>4758.42</v>
      </c>
      <c r="U28" s="920">
        <v>4755.0280000000002</v>
      </c>
      <c r="V28" s="920">
        <v>4907.5739999999996</v>
      </c>
      <c r="W28" s="566"/>
    </row>
    <row r="29" spans="1:23" ht="16" customHeight="1">
      <c r="A29" s="77"/>
      <c r="B29" s="21" t="s">
        <v>45</v>
      </c>
      <c r="C29" s="86">
        <v>31586</v>
      </c>
      <c r="D29" s="86">
        <v>31586</v>
      </c>
      <c r="E29" s="88">
        <v>1021.9</v>
      </c>
      <c r="F29" s="920">
        <v>2050.9</v>
      </c>
      <c r="G29" s="920">
        <v>2101.4</v>
      </c>
      <c r="H29" s="920">
        <v>3002.1</v>
      </c>
      <c r="I29" s="920">
        <v>3750</v>
      </c>
      <c r="J29" s="920">
        <v>3978.1</v>
      </c>
      <c r="K29" s="920">
        <v>3196.7</v>
      </c>
      <c r="L29" s="920">
        <v>3750</v>
      </c>
      <c r="M29" s="920">
        <v>3820</v>
      </c>
      <c r="N29" s="920">
        <v>3985.9</v>
      </c>
      <c r="O29" s="920">
        <v>4159</v>
      </c>
      <c r="P29" s="920">
        <v>4208.0739999999996</v>
      </c>
      <c r="Q29" s="920">
        <v>4183.5259999999998</v>
      </c>
      <c r="R29" s="920">
        <v>4190.2539999999999</v>
      </c>
      <c r="S29" s="920">
        <v>4190.2539999999999</v>
      </c>
      <c r="T29" s="920">
        <v>4190.25</v>
      </c>
      <c r="U29" s="920">
        <v>4190.2539999999999</v>
      </c>
      <c r="V29" s="920">
        <v>4195.2539999999999</v>
      </c>
      <c r="W29" s="566"/>
    </row>
    <row r="30" spans="1:23" ht="16" customHeight="1">
      <c r="A30" s="77"/>
      <c r="B30" s="21" t="s">
        <v>46</v>
      </c>
      <c r="C30" s="86">
        <v>44500</v>
      </c>
      <c r="D30" s="86">
        <v>41400</v>
      </c>
      <c r="E30" s="88">
        <v>3412.3</v>
      </c>
      <c r="F30" s="920">
        <v>6312.2</v>
      </c>
      <c r="G30" s="920">
        <v>6500.6</v>
      </c>
      <c r="H30" s="920">
        <v>6396.5</v>
      </c>
      <c r="I30" s="920">
        <v>5940.2</v>
      </c>
      <c r="J30" s="920">
        <v>5568.3</v>
      </c>
      <c r="K30" s="920">
        <v>5846.1</v>
      </c>
      <c r="L30" s="920">
        <v>5254.6</v>
      </c>
      <c r="M30" s="920">
        <v>5833.5</v>
      </c>
      <c r="N30" s="920">
        <v>5944.7</v>
      </c>
      <c r="O30" s="920">
        <v>6058</v>
      </c>
      <c r="P30" s="920">
        <v>6147.06</v>
      </c>
      <c r="Q30" s="920">
        <v>6002.549</v>
      </c>
      <c r="R30" s="920">
        <v>6024.5870000000004</v>
      </c>
      <c r="S30" s="920">
        <v>6213.5680000000002</v>
      </c>
      <c r="T30" s="920">
        <v>6119.08</v>
      </c>
      <c r="U30" s="920">
        <v>6165.9229999999998</v>
      </c>
      <c r="V30" s="920">
        <v>6230.5889999999999</v>
      </c>
      <c r="W30" s="566"/>
    </row>
    <row r="31" spans="1:23" ht="16" customHeight="1">
      <c r="A31" s="77"/>
      <c r="B31" s="21" t="s">
        <v>47</v>
      </c>
      <c r="C31" s="86">
        <v>44200</v>
      </c>
      <c r="D31" s="86">
        <v>45228</v>
      </c>
      <c r="E31" s="88">
        <v>304.39999999999998</v>
      </c>
      <c r="F31" s="920">
        <v>307.39999999999998</v>
      </c>
      <c r="G31" s="920">
        <v>316.89999999999998</v>
      </c>
      <c r="H31" s="920">
        <v>300.10000000000002</v>
      </c>
      <c r="I31" s="920">
        <v>438.5</v>
      </c>
      <c r="J31" s="920">
        <v>391</v>
      </c>
      <c r="K31" s="920">
        <v>454.1</v>
      </c>
      <c r="L31" s="920">
        <v>453</v>
      </c>
      <c r="M31" s="920">
        <v>490.9</v>
      </c>
      <c r="N31" s="920">
        <v>486</v>
      </c>
      <c r="O31" s="920">
        <v>486</v>
      </c>
      <c r="P31" s="920">
        <v>487.12</v>
      </c>
      <c r="Q31" s="920">
        <v>486.548</v>
      </c>
      <c r="R31" s="920">
        <v>485.45100000000002</v>
      </c>
      <c r="S31" s="920">
        <v>489.69400000000002</v>
      </c>
      <c r="T31" s="920">
        <v>487.57</v>
      </c>
      <c r="U31" s="920">
        <v>488.63400000000001</v>
      </c>
      <c r="V31" s="920">
        <v>497.83800000000002</v>
      </c>
      <c r="W31" s="566"/>
    </row>
    <row r="32" spans="1:23" ht="2" customHeight="1" thickBot="1">
      <c r="A32" s="8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526"/>
      <c r="Q32" s="526"/>
      <c r="R32" s="526"/>
      <c r="S32" s="526"/>
      <c r="T32" s="526">
        <v>0</v>
      </c>
      <c r="U32" s="526">
        <v>0</v>
      </c>
      <c r="V32" s="526">
        <v>497.83800000000002</v>
      </c>
      <c r="W32" s="566"/>
    </row>
    <row r="33" spans="1:22" ht="9" customHeight="1">
      <c r="A33" s="449" t="s">
        <v>330</v>
      </c>
      <c r="B33" s="451"/>
      <c r="C33" s="469"/>
      <c r="D33" s="469"/>
      <c r="E33" s="469"/>
      <c r="F33" s="469"/>
      <c r="G33" s="469"/>
      <c r="H33" s="469"/>
      <c r="I33" s="198"/>
      <c r="J33" s="198"/>
      <c r="K33" s="198"/>
      <c r="L33" s="35"/>
      <c r="M33" s="35"/>
      <c r="N33" s="35"/>
      <c r="O33" s="35"/>
      <c r="P33" s="35"/>
      <c r="Q33" s="35"/>
      <c r="R33" s="400"/>
      <c r="S33" s="400"/>
      <c r="T33" s="400"/>
      <c r="U33" s="400"/>
      <c r="V33" s="400"/>
    </row>
    <row r="34" spans="1:22" ht="9" customHeight="1">
      <c r="A34" s="449" t="s">
        <v>304</v>
      </c>
      <c r="B34" s="451"/>
      <c r="C34" s="469"/>
      <c r="D34" s="469"/>
      <c r="E34" s="469"/>
      <c r="F34" s="469"/>
      <c r="G34" s="469"/>
      <c r="H34" s="470"/>
      <c r="I34" s="205"/>
      <c r="J34" s="205"/>
      <c r="K34" s="205"/>
      <c r="L34" s="78"/>
      <c r="M34" s="78"/>
      <c r="N34" s="78"/>
      <c r="O34" s="78"/>
      <c r="P34" s="78"/>
      <c r="Q34" s="78"/>
      <c r="R34" s="400"/>
      <c r="S34" s="400"/>
      <c r="T34" s="400"/>
      <c r="U34" s="400"/>
      <c r="V34" s="400"/>
    </row>
    <row r="35" spans="1:22" ht="9" customHeight="1">
      <c r="A35" s="451" t="s">
        <v>303</v>
      </c>
      <c r="B35" s="456"/>
      <c r="C35" s="469"/>
      <c r="D35" s="469"/>
      <c r="E35" s="469"/>
      <c r="F35" s="469"/>
      <c r="G35" s="469"/>
      <c r="H35" s="470"/>
      <c r="I35" s="205"/>
      <c r="J35" s="205"/>
      <c r="K35" s="205"/>
      <c r="L35" s="78"/>
      <c r="M35" s="78"/>
      <c r="N35" s="78"/>
      <c r="O35" s="78"/>
      <c r="P35" s="78"/>
      <c r="Q35" s="78"/>
      <c r="R35" s="400"/>
      <c r="S35" s="400"/>
      <c r="T35" s="400"/>
      <c r="U35" s="400"/>
      <c r="V35" s="400"/>
    </row>
    <row r="36" spans="1:22" ht="13.25" customHeight="1">
      <c r="V36" s="40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 P6:S6" numberStoredAsText="1"/>
    <ignoredError sqref="T6" numberStoredAsText="1" formulaRange="1"/>
    <ignoredError sqref="T7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Hoja130">
    <tabColor theme="9" tint="0.59999389629810485"/>
  </sheetPr>
  <dimension ref="A2:Y35"/>
  <sheetViews>
    <sheetView showGridLines="0" zoomScaleNormal="100" workbookViewId="0">
      <selection activeCell="U3" sqref="U3"/>
    </sheetView>
  </sheetViews>
  <sheetFormatPr baseColWidth="10" defaultColWidth="7" defaultRowHeight="13.25" customHeight="1"/>
  <cols>
    <col min="1" max="1" width="0.796875" style="76" customWidth="1"/>
    <col min="2" max="2" width="10.3984375" style="76" customWidth="1"/>
    <col min="3" max="5" width="8" style="76" hidden="1" customWidth="1"/>
    <col min="6" max="22" width="7.19921875" style="76" customWidth="1"/>
    <col min="23" max="23" width="7" style="76"/>
    <col min="24" max="24" width="9.796875" style="76" customWidth="1"/>
    <col min="25" max="16384" width="7" style="76"/>
  </cols>
  <sheetData>
    <row r="2" spans="1:25" ht="15" customHeight="1">
      <c r="A2" s="210" t="s">
        <v>566</v>
      </c>
      <c r="B2" s="211"/>
      <c r="C2" s="211"/>
      <c r="D2" s="211"/>
      <c r="E2" s="211"/>
      <c r="F2" s="211"/>
    </row>
    <row r="3" spans="1:25" ht="13.25" customHeight="1">
      <c r="A3" s="398" t="s">
        <v>282</v>
      </c>
      <c r="B3" s="211"/>
      <c r="C3" s="211"/>
      <c r="D3" s="211"/>
      <c r="E3" s="211"/>
      <c r="F3" s="211"/>
    </row>
    <row r="4" spans="1:25" ht="6" customHeight="1" thickBo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5" ht="18" customHeight="1">
      <c r="A5" s="1019" t="s">
        <v>16</v>
      </c>
      <c r="B5" s="1019"/>
      <c r="C5" s="722">
        <v>2005</v>
      </c>
      <c r="D5" s="722">
        <v>2006</v>
      </c>
      <c r="E5" s="722">
        <v>2007</v>
      </c>
      <c r="F5" s="722">
        <v>2008</v>
      </c>
      <c r="G5" s="722">
        <v>2009</v>
      </c>
      <c r="H5" s="722">
        <v>2010</v>
      </c>
      <c r="I5" s="722">
        <v>2011</v>
      </c>
      <c r="J5" s="722">
        <v>2012</v>
      </c>
      <c r="K5" s="722">
        <v>2013</v>
      </c>
      <c r="L5" s="722">
        <v>2014</v>
      </c>
      <c r="M5" s="722">
        <v>2015</v>
      </c>
      <c r="N5" s="722">
        <v>2016</v>
      </c>
      <c r="O5" s="722">
        <v>2017</v>
      </c>
      <c r="P5" s="722" t="s">
        <v>180</v>
      </c>
      <c r="Q5" s="722" t="s">
        <v>296</v>
      </c>
      <c r="R5" s="722">
        <v>2020</v>
      </c>
      <c r="S5" s="722">
        <v>2021</v>
      </c>
      <c r="T5" s="722" t="s">
        <v>385</v>
      </c>
      <c r="U5" s="722">
        <v>2023</v>
      </c>
      <c r="V5" s="722" t="s">
        <v>471</v>
      </c>
    </row>
    <row r="6" spans="1:25" ht="18" customHeight="1">
      <c r="A6" s="1055" t="s">
        <v>93</v>
      </c>
      <c r="B6" s="1055"/>
      <c r="C6" s="709">
        <f>(C8+C9+C10+C11+C12+C13+C14+C15+C16+C17+C18+C19+C20+C21+C22+C23+C24+C25+C26+C27+C28+C29+C30+C31)</f>
        <v>1074578</v>
      </c>
      <c r="D6" s="709">
        <f>(D8+D9+D10+D11+D12+D13+D14+D15+D16+D17+D18+D19+D20+D21+D22+D23+D24+D25+D26+D27+D28+D29+D30+D31)</f>
        <v>1127320</v>
      </c>
      <c r="E6" s="710">
        <v>394749.6</v>
      </c>
      <c r="F6" s="923">
        <v>435909.3</v>
      </c>
      <c r="G6" s="923">
        <v>476340.3</v>
      </c>
      <c r="H6" s="923">
        <v>504986.8</v>
      </c>
      <c r="I6" s="923">
        <v>535421.1</v>
      </c>
      <c r="J6" s="923">
        <v>575566.4</v>
      </c>
      <c r="K6" s="923">
        <v>594004.19999999995</v>
      </c>
      <c r="L6" s="923">
        <v>621140.1</v>
      </c>
      <c r="M6" s="923">
        <v>645016.19999999995</v>
      </c>
      <c r="N6" s="923">
        <v>690892.3</v>
      </c>
      <c r="O6" s="923">
        <v>707599.5</v>
      </c>
      <c r="P6" s="923">
        <v>755841.1</v>
      </c>
      <c r="Q6" s="923">
        <f t="shared" ref="Q6:V6" si="0">SUM(Q8:Q31)</f>
        <v>786256.91599999997</v>
      </c>
      <c r="R6" s="923">
        <f t="shared" si="0"/>
        <v>753602.33800000011</v>
      </c>
      <c r="S6" s="923">
        <f t="shared" si="0"/>
        <v>776250.19400000037</v>
      </c>
      <c r="T6" s="923">
        <f t="shared" si="0"/>
        <v>803595.89899999974</v>
      </c>
      <c r="U6" s="923">
        <f t="shared" si="0"/>
        <v>789754.21699999983</v>
      </c>
      <c r="V6" s="923">
        <f t="shared" si="0"/>
        <v>826762.05800000008</v>
      </c>
    </row>
    <row r="7" spans="1:25" ht="4.25" customHeight="1">
      <c r="A7" s="77"/>
      <c r="B7" s="78"/>
      <c r="C7" s="85"/>
      <c r="D7" s="85"/>
      <c r="E7" s="85"/>
      <c r="F7" s="919"/>
      <c r="G7" s="919"/>
      <c r="H7" s="919"/>
      <c r="I7" s="919"/>
      <c r="J7" s="919"/>
      <c r="K7" s="919"/>
      <c r="L7" s="919"/>
      <c r="M7" s="919"/>
      <c r="N7" s="919"/>
      <c r="O7" s="919"/>
      <c r="P7" s="919"/>
      <c r="Q7" s="919"/>
      <c r="R7" s="919"/>
      <c r="S7" s="919"/>
      <c r="T7" s="919"/>
      <c r="U7" s="919"/>
      <c r="V7" s="919"/>
    </row>
    <row r="8" spans="1:25" ht="16" customHeight="1">
      <c r="A8" s="77"/>
      <c r="B8" s="21" t="s">
        <v>19</v>
      </c>
      <c r="C8" s="86">
        <v>2573</v>
      </c>
      <c r="D8" s="86">
        <v>2418</v>
      </c>
      <c r="E8" s="88">
        <v>53.9</v>
      </c>
      <c r="F8" s="920">
        <v>59.4</v>
      </c>
      <c r="G8" s="920">
        <v>60.1</v>
      </c>
      <c r="H8" s="920">
        <v>71.400000000000006</v>
      </c>
      <c r="I8" s="920">
        <v>72.900000000000006</v>
      </c>
      <c r="J8" s="920">
        <v>103.9</v>
      </c>
      <c r="K8" s="920">
        <v>76.8</v>
      </c>
      <c r="L8" s="920">
        <v>66</v>
      </c>
      <c r="M8" s="920">
        <v>163.30000000000001</v>
      </c>
      <c r="N8" s="920">
        <v>142.1</v>
      </c>
      <c r="O8" s="920">
        <v>71.900000000000006</v>
      </c>
      <c r="P8" s="920">
        <v>132.6</v>
      </c>
      <c r="Q8" s="920">
        <v>132.083</v>
      </c>
      <c r="R8" s="920">
        <v>100.949</v>
      </c>
      <c r="S8" s="920">
        <v>97.537000000000006</v>
      </c>
      <c r="T8" s="920">
        <v>94.257999999999996</v>
      </c>
      <c r="U8" s="920">
        <v>91.418999999999997</v>
      </c>
      <c r="V8" s="920">
        <v>93.691999999999993</v>
      </c>
      <c r="W8" s="84"/>
      <c r="X8" s="84"/>
      <c r="Y8" s="566"/>
    </row>
    <row r="9" spans="1:25" ht="16" customHeight="1">
      <c r="A9" s="77"/>
      <c r="B9" s="21" t="s">
        <v>20</v>
      </c>
      <c r="C9" s="86">
        <v>67649</v>
      </c>
      <c r="D9" s="86">
        <v>70283</v>
      </c>
      <c r="E9" s="88">
        <v>5694.5</v>
      </c>
      <c r="F9" s="920">
        <v>5992.6</v>
      </c>
      <c r="G9" s="920">
        <v>6495.2</v>
      </c>
      <c r="H9" s="920">
        <v>7126.9</v>
      </c>
      <c r="I9" s="920">
        <v>8433.4</v>
      </c>
      <c r="J9" s="920">
        <v>10569.4</v>
      </c>
      <c r="K9" s="920">
        <v>12323.2</v>
      </c>
      <c r="L9" s="920">
        <v>11227.3</v>
      </c>
      <c r="M9" s="920">
        <v>13713.3</v>
      </c>
      <c r="N9" s="920">
        <v>14070.9</v>
      </c>
      <c r="O9" s="920">
        <v>13281.8</v>
      </c>
      <c r="P9" s="920">
        <v>14746</v>
      </c>
      <c r="Q9" s="920">
        <v>14783.876</v>
      </c>
      <c r="R9" s="920">
        <v>14541.834999999999</v>
      </c>
      <c r="S9" s="920">
        <v>14581.621999999999</v>
      </c>
      <c r="T9" s="920">
        <v>14666.978999999999</v>
      </c>
      <c r="U9" s="920">
        <v>13887.145</v>
      </c>
      <c r="V9" s="920">
        <v>13984.014999999999</v>
      </c>
      <c r="W9" s="84"/>
      <c r="X9" s="84"/>
      <c r="Y9" s="566"/>
    </row>
    <row r="10" spans="1:25" ht="16" customHeight="1">
      <c r="A10" s="77"/>
      <c r="B10" s="21" t="s">
        <v>21</v>
      </c>
      <c r="C10" s="86">
        <v>22582</v>
      </c>
      <c r="D10" s="86">
        <v>22280</v>
      </c>
      <c r="E10" s="88">
        <v>1394.2</v>
      </c>
      <c r="F10" s="920">
        <v>1540.2</v>
      </c>
      <c r="G10" s="920">
        <v>2237</v>
      </c>
      <c r="H10" s="920">
        <v>2265.5</v>
      </c>
      <c r="I10" s="920">
        <v>3242.1</v>
      </c>
      <c r="J10" s="920">
        <v>2619.4</v>
      </c>
      <c r="K10" s="920">
        <v>6292.4</v>
      </c>
      <c r="L10" s="920">
        <v>8131.7</v>
      </c>
      <c r="M10" s="920">
        <v>8612.7000000000007</v>
      </c>
      <c r="N10" s="920">
        <v>8462.4</v>
      </c>
      <c r="O10" s="920">
        <v>10413.799999999999</v>
      </c>
      <c r="P10" s="920">
        <v>11540</v>
      </c>
      <c r="Q10" s="920">
        <v>12079.397999999999</v>
      </c>
      <c r="R10" s="920">
        <v>11620.617</v>
      </c>
      <c r="S10" s="920">
        <v>11658.328</v>
      </c>
      <c r="T10" s="920">
        <v>12038.95</v>
      </c>
      <c r="U10" s="920">
        <v>11401.956</v>
      </c>
      <c r="V10" s="920">
        <v>11388.007</v>
      </c>
      <c r="W10" s="84"/>
      <c r="X10" s="84"/>
      <c r="Y10" s="566"/>
    </row>
    <row r="11" spans="1:25" ht="16" customHeight="1">
      <c r="A11" s="77"/>
      <c r="B11" s="21" t="s">
        <v>22</v>
      </c>
      <c r="C11" s="86">
        <v>38590</v>
      </c>
      <c r="D11" s="86">
        <v>39984</v>
      </c>
      <c r="E11" s="88">
        <v>75265.7</v>
      </c>
      <c r="F11" s="920">
        <v>79000.800000000003</v>
      </c>
      <c r="G11" s="920">
        <v>89147</v>
      </c>
      <c r="H11" s="920">
        <v>98500.6</v>
      </c>
      <c r="I11" s="920">
        <v>104714.1</v>
      </c>
      <c r="J11" s="920">
        <v>111207.9</v>
      </c>
      <c r="K11" s="920">
        <v>116405.1</v>
      </c>
      <c r="L11" s="920">
        <v>116738.4</v>
      </c>
      <c r="M11" s="920">
        <v>124122.3</v>
      </c>
      <c r="N11" s="920">
        <v>126816.1</v>
      </c>
      <c r="O11" s="920">
        <v>123377.9</v>
      </c>
      <c r="P11" s="920">
        <v>134659.5</v>
      </c>
      <c r="Q11" s="920">
        <v>140698.99799999999</v>
      </c>
      <c r="R11" s="920">
        <v>137305.16200000001</v>
      </c>
      <c r="S11" s="920">
        <v>137652.736</v>
      </c>
      <c r="T11" s="920">
        <v>143372.46</v>
      </c>
      <c r="U11" s="920">
        <v>137725.807</v>
      </c>
      <c r="V11" s="920">
        <v>138011.041</v>
      </c>
      <c r="W11" s="84"/>
      <c r="X11" s="84"/>
      <c r="Y11" s="566"/>
    </row>
    <row r="12" spans="1:25" ht="16" customHeight="1">
      <c r="A12" s="77"/>
      <c r="B12" s="21" t="s">
        <v>23</v>
      </c>
      <c r="C12" s="86">
        <v>137225</v>
      </c>
      <c r="D12" s="86">
        <v>159044</v>
      </c>
      <c r="E12" s="88">
        <v>1264.3</v>
      </c>
      <c r="F12" s="920">
        <v>1268</v>
      </c>
      <c r="G12" s="920">
        <v>1275.9000000000001</v>
      </c>
      <c r="H12" s="920">
        <v>1415.4</v>
      </c>
      <c r="I12" s="920">
        <v>1444.5</v>
      </c>
      <c r="J12" s="920">
        <v>1643.7</v>
      </c>
      <c r="K12" s="920">
        <v>1407</v>
      </c>
      <c r="L12" s="920">
        <v>1356.2</v>
      </c>
      <c r="M12" s="920">
        <v>1811.9</v>
      </c>
      <c r="N12" s="920">
        <v>1859</v>
      </c>
      <c r="O12" s="920">
        <v>1834</v>
      </c>
      <c r="P12" s="920">
        <v>1773.9</v>
      </c>
      <c r="Q12" s="920">
        <v>1768.8119999999999</v>
      </c>
      <c r="R12" s="920">
        <v>1742.874</v>
      </c>
      <c r="S12" s="920">
        <v>1734.0050000000001</v>
      </c>
      <c r="T12" s="920">
        <v>1684.1210000000001</v>
      </c>
      <c r="U12" s="920">
        <v>1594.4380000000001</v>
      </c>
      <c r="V12" s="920">
        <v>1551.0930000000001</v>
      </c>
      <c r="W12" s="84"/>
      <c r="X12" s="84"/>
      <c r="Y12" s="566"/>
    </row>
    <row r="13" spans="1:25" ht="16" customHeight="1">
      <c r="A13" s="77"/>
      <c r="B13" s="21" t="s">
        <v>27</v>
      </c>
      <c r="C13" s="86">
        <v>38436</v>
      </c>
      <c r="D13" s="86">
        <v>41714</v>
      </c>
      <c r="E13" s="88">
        <v>269.89999999999998</v>
      </c>
      <c r="F13" s="920">
        <v>310.8</v>
      </c>
      <c r="G13" s="920">
        <v>305.89999999999998</v>
      </c>
      <c r="H13" s="920">
        <v>310.89999999999998</v>
      </c>
      <c r="I13" s="920">
        <v>275.60000000000002</v>
      </c>
      <c r="J13" s="920">
        <v>326.60000000000002</v>
      </c>
      <c r="K13" s="920">
        <v>305.8</v>
      </c>
      <c r="L13" s="920">
        <v>294.8</v>
      </c>
      <c r="M13" s="920">
        <v>301.10000000000002</v>
      </c>
      <c r="N13" s="920">
        <v>884.5</v>
      </c>
      <c r="O13" s="920">
        <v>102.8</v>
      </c>
      <c r="P13" s="920">
        <v>102.8</v>
      </c>
      <c r="Q13" s="920">
        <v>102.828</v>
      </c>
      <c r="R13" s="920">
        <v>394.488</v>
      </c>
      <c r="S13" s="920">
        <v>380.12599999999998</v>
      </c>
      <c r="T13" s="920">
        <v>373.99799999999999</v>
      </c>
      <c r="U13" s="920">
        <v>357.85399999999998</v>
      </c>
      <c r="V13" s="920">
        <v>360.53300000000002</v>
      </c>
      <c r="W13" s="84"/>
      <c r="X13" s="84"/>
      <c r="Y13" s="566"/>
    </row>
    <row r="14" spans="1:25" ht="16" customHeight="1">
      <c r="A14" s="77"/>
      <c r="B14" s="21" t="s">
        <v>28</v>
      </c>
      <c r="C14" s="86">
        <v>50607</v>
      </c>
      <c r="D14" s="86">
        <v>52411</v>
      </c>
      <c r="E14" s="88">
        <v>10033.299999999999</v>
      </c>
      <c r="F14" s="920">
        <v>11008.9</v>
      </c>
      <c r="G14" s="920">
        <v>10220.1</v>
      </c>
      <c r="H14" s="920">
        <v>12573.7</v>
      </c>
      <c r="I14" s="920">
        <v>13805.1</v>
      </c>
      <c r="J14" s="920">
        <v>14802.6</v>
      </c>
      <c r="K14" s="920">
        <v>14804</v>
      </c>
      <c r="L14" s="920">
        <v>13774.9</v>
      </c>
      <c r="M14" s="920">
        <v>14757.6</v>
      </c>
      <c r="N14" s="920">
        <v>15171.8</v>
      </c>
      <c r="O14" s="920">
        <v>17683.2</v>
      </c>
      <c r="P14" s="920">
        <v>16441.599999999999</v>
      </c>
      <c r="Q14" s="920">
        <v>17185.742999999999</v>
      </c>
      <c r="R14" s="920">
        <v>16264.594999999999</v>
      </c>
      <c r="S14" s="920">
        <v>16434.268</v>
      </c>
      <c r="T14" s="920">
        <v>17448.955999999998</v>
      </c>
      <c r="U14" s="920">
        <v>16615.562999999998</v>
      </c>
      <c r="V14" s="920">
        <v>16545.165000000001</v>
      </c>
      <c r="W14" s="84"/>
      <c r="X14" s="84"/>
      <c r="Y14" s="566"/>
    </row>
    <row r="15" spans="1:25" ht="16" customHeight="1">
      <c r="A15" s="77"/>
      <c r="B15" s="21" t="s">
        <v>29</v>
      </c>
      <c r="C15" s="86">
        <v>106742</v>
      </c>
      <c r="D15" s="86">
        <v>110598</v>
      </c>
      <c r="E15" s="88">
        <v>221965.9</v>
      </c>
      <c r="F15" s="920">
        <v>251298.8</v>
      </c>
      <c r="G15" s="920">
        <v>272814.90000000002</v>
      </c>
      <c r="H15" s="920">
        <v>286946.59999999998</v>
      </c>
      <c r="I15" s="920">
        <v>298027.2</v>
      </c>
      <c r="J15" s="920">
        <v>312563</v>
      </c>
      <c r="K15" s="920">
        <v>306514.2</v>
      </c>
      <c r="L15" s="920">
        <v>320636.2</v>
      </c>
      <c r="M15" s="920">
        <v>323489.09999999998</v>
      </c>
      <c r="N15" s="920">
        <v>360396.2</v>
      </c>
      <c r="O15" s="920">
        <v>377518.8</v>
      </c>
      <c r="P15" s="920">
        <v>399961.7</v>
      </c>
      <c r="Q15" s="920">
        <v>416797.80699999997</v>
      </c>
      <c r="R15" s="920">
        <v>392726.28399999999</v>
      </c>
      <c r="S15" s="920">
        <v>415539.95400000003</v>
      </c>
      <c r="T15" s="920">
        <v>432052.92800000001</v>
      </c>
      <c r="U15" s="920">
        <v>436971.13299999997</v>
      </c>
      <c r="V15" s="920">
        <v>472384.88099999999</v>
      </c>
      <c r="W15" s="84"/>
      <c r="X15" s="84"/>
      <c r="Y15" s="566"/>
    </row>
    <row r="16" spans="1:25" ht="16" customHeight="1">
      <c r="A16" s="77"/>
      <c r="B16" s="21" t="s">
        <v>30</v>
      </c>
      <c r="C16" s="86">
        <v>7578</v>
      </c>
      <c r="D16" s="86">
        <v>7754</v>
      </c>
      <c r="E16" s="88">
        <v>15077</v>
      </c>
      <c r="F16" s="920">
        <v>16897.599999999999</v>
      </c>
      <c r="G16" s="920">
        <v>16261.4</v>
      </c>
      <c r="H16" s="920">
        <v>17184.8</v>
      </c>
      <c r="I16" s="920">
        <v>19736.099999999999</v>
      </c>
      <c r="J16" s="920">
        <v>24660.3</v>
      </c>
      <c r="K16" s="920">
        <v>26825.4</v>
      </c>
      <c r="L16" s="920">
        <v>33583.1</v>
      </c>
      <c r="M16" s="920">
        <v>31909.4</v>
      </c>
      <c r="N16" s="920">
        <v>34075.5</v>
      </c>
      <c r="O16" s="920">
        <v>34888.800000000003</v>
      </c>
      <c r="P16" s="920">
        <v>41472.300000000003</v>
      </c>
      <c r="Q16" s="920">
        <v>45451.22</v>
      </c>
      <c r="R16" s="920">
        <v>44486.451999999997</v>
      </c>
      <c r="S16" s="920">
        <v>43909.224000000002</v>
      </c>
      <c r="T16" s="920">
        <v>44320.106</v>
      </c>
      <c r="U16" s="920">
        <v>43644.690999999999</v>
      </c>
      <c r="V16" s="920">
        <v>43164.574999999997</v>
      </c>
      <c r="W16" s="84"/>
      <c r="X16" s="84"/>
      <c r="Y16" s="566"/>
    </row>
    <row r="17" spans="1:25" ht="16" customHeight="1">
      <c r="A17" s="77"/>
      <c r="B17" s="21" t="s">
        <v>31</v>
      </c>
      <c r="C17" s="86">
        <v>59649</v>
      </c>
      <c r="D17" s="86">
        <v>63816</v>
      </c>
      <c r="E17" s="88">
        <v>516.20000000000005</v>
      </c>
      <c r="F17" s="920">
        <v>521</v>
      </c>
      <c r="G17" s="920">
        <v>522.5</v>
      </c>
      <c r="H17" s="920">
        <v>498</v>
      </c>
      <c r="I17" s="920">
        <v>520.29999999999995</v>
      </c>
      <c r="J17" s="920">
        <v>691.7</v>
      </c>
      <c r="K17" s="920">
        <v>857.1</v>
      </c>
      <c r="L17" s="920">
        <v>661.6</v>
      </c>
      <c r="M17" s="920">
        <v>860.9</v>
      </c>
      <c r="N17" s="920">
        <v>833.7</v>
      </c>
      <c r="O17" s="920">
        <v>638</v>
      </c>
      <c r="P17" s="920">
        <v>650.4</v>
      </c>
      <c r="Q17" s="920">
        <v>646.07000000000005</v>
      </c>
      <c r="R17" s="920">
        <v>635.67200000000003</v>
      </c>
      <c r="S17" s="920">
        <v>612.64300000000003</v>
      </c>
      <c r="T17" s="920">
        <v>614.19000000000005</v>
      </c>
      <c r="U17" s="920">
        <v>583.12</v>
      </c>
      <c r="V17" s="920">
        <v>564.447</v>
      </c>
      <c r="W17" s="84"/>
      <c r="X17" s="84"/>
      <c r="Y17" s="566"/>
    </row>
    <row r="18" spans="1:25" ht="16" customHeight="1">
      <c r="A18" s="77"/>
      <c r="B18" s="21" t="s">
        <v>32</v>
      </c>
      <c r="C18" s="86">
        <v>24789</v>
      </c>
      <c r="D18" s="86">
        <v>21165</v>
      </c>
      <c r="E18" s="88">
        <v>176.5</v>
      </c>
      <c r="F18" s="920">
        <v>170.5</v>
      </c>
      <c r="G18" s="920">
        <v>126.6</v>
      </c>
      <c r="H18" s="920">
        <v>112.3</v>
      </c>
      <c r="I18" s="920">
        <v>372.7</v>
      </c>
      <c r="J18" s="920">
        <v>271.5</v>
      </c>
      <c r="K18" s="920">
        <v>456.5</v>
      </c>
      <c r="L18" s="920">
        <v>411.5</v>
      </c>
      <c r="M18" s="920">
        <v>542.5</v>
      </c>
      <c r="N18" s="920">
        <v>501.5</v>
      </c>
      <c r="O18" s="920">
        <v>205.6</v>
      </c>
      <c r="P18" s="920">
        <v>309</v>
      </c>
      <c r="Q18" s="920">
        <v>300.084</v>
      </c>
      <c r="R18" s="920">
        <v>293.30599999999998</v>
      </c>
      <c r="S18" s="920">
        <v>280.39</v>
      </c>
      <c r="T18" s="920">
        <v>264.76900000000001</v>
      </c>
      <c r="U18" s="920">
        <v>249.31399999999999</v>
      </c>
      <c r="V18" s="920">
        <v>243.24</v>
      </c>
      <c r="W18" s="84"/>
      <c r="X18" s="84"/>
      <c r="Y18" s="566"/>
    </row>
    <row r="19" spans="1:25" ht="16" customHeight="1">
      <c r="A19" s="77"/>
      <c r="B19" s="21" t="s">
        <v>33</v>
      </c>
      <c r="C19" s="86">
        <v>38200</v>
      </c>
      <c r="D19" s="86">
        <v>37880</v>
      </c>
      <c r="E19" s="88">
        <v>715.3</v>
      </c>
      <c r="F19" s="920">
        <v>3129.9</v>
      </c>
      <c r="G19" s="920">
        <v>3854</v>
      </c>
      <c r="H19" s="920">
        <v>4327.6000000000004</v>
      </c>
      <c r="I19" s="920">
        <v>3550.3</v>
      </c>
      <c r="J19" s="920">
        <v>3961.2</v>
      </c>
      <c r="K19" s="920">
        <v>4363.3</v>
      </c>
      <c r="L19" s="920">
        <v>4281.5</v>
      </c>
      <c r="M19" s="920">
        <v>5106.1000000000004</v>
      </c>
      <c r="N19" s="920">
        <v>8647</v>
      </c>
      <c r="O19" s="920">
        <v>5570.9</v>
      </c>
      <c r="P19" s="920">
        <v>5002.2</v>
      </c>
      <c r="Q19" s="920">
        <v>5131.2550000000001</v>
      </c>
      <c r="R19" s="920">
        <v>4976.72</v>
      </c>
      <c r="S19" s="920">
        <v>4829.2460000000001</v>
      </c>
      <c r="T19" s="920">
        <v>4720.5969999999998</v>
      </c>
      <c r="U19" s="920">
        <v>4421.884</v>
      </c>
      <c r="V19" s="920">
        <v>4331.4260000000004</v>
      </c>
      <c r="W19" s="84"/>
      <c r="X19" s="84"/>
      <c r="Y19" s="566"/>
    </row>
    <row r="20" spans="1:25" ht="16" customHeight="1">
      <c r="A20" s="77"/>
      <c r="B20" s="21" t="s">
        <v>34</v>
      </c>
      <c r="C20" s="86">
        <v>26421</v>
      </c>
      <c r="D20" s="86">
        <v>24031</v>
      </c>
      <c r="E20" s="88">
        <v>403.1</v>
      </c>
      <c r="F20" s="920">
        <v>405.1</v>
      </c>
      <c r="G20" s="920">
        <v>407.1</v>
      </c>
      <c r="H20" s="920">
        <v>409.1</v>
      </c>
      <c r="I20" s="920">
        <v>411.2</v>
      </c>
      <c r="J20" s="920">
        <v>413.2</v>
      </c>
      <c r="K20" s="920">
        <v>415.3</v>
      </c>
      <c r="L20" s="920">
        <v>417.4</v>
      </c>
      <c r="M20" s="920">
        <v>489.3</v>
      </c>
      <c r="N20" s="920">
        <v>500.3</v>
      </c>
      <c r="O20" s="920">
        <v>505.9</v>
      </c>
      <c r="P20" s="920">
        <v>509.6</v>
      </c>
      <c r="Q20" s="920">
        <v>508.56599999999997</v>
      </c>
      <c r="R20" s="920">
        <v>493.34100000000001</v>
      </c>
      <c r="S20" s="920">
        <v>474.94600000000003</v>
      </c>
      <c r="T20" s="920">
        <v>459.98500000000001</v>
      </c>
      <c r="U20" s="920">
        <v>439.66800000000001</v>
      </c>
      <c r="V20" s="920">
        <v>430.43400000000003</v>
      </c>
      <c r="W20" s="84"/>
      <c r="X20" s="84"/>
      <c r="Y20" s="566"/>
    </row>
    <row r="21" spans="1:25" ht="16" customHeight="1">
      <c r="A21" s="77"/>
      <c r="B21" s="21" t="s">
        <v>35</v>
      </c>
      <c r="C21" s="86">
        <v>55525</v>
      </c>
      <c r="D21" s="86">
        <v>55736</v>
      </c>
      <c r="E21" s="88">
        <v>33523</v>
      </c>
      <c r="F21" s="920">
        <v>36888.5</v>
      </c>
      <c r="G21" s="920">
        <v>39821</v>
      </c>
      <c r="H21" s="920">
        <v>38769</v>
      </c>
      <c r="I21" s="920">
        <v>43970</v>
      </c>
      <c r="J21" s="920">
        <v>50849.1</v>
      </c>
      <c r="K21" s="920">
        <v>57761.9</v>
      </c>
      <c r="L21" s="920">
        <v>61244.5</v>
      </c>
      <c r="M21" s="920">
        <v>63492</v>
      </c>
      <c r="N21" s="920">
        <v>67328.2</v>
      </c>
      <c r="O21" s="920">
        <v>69740.800000000003</v>
      </c>
      <c r="P21" s="920">
        <v>74439.600000000006</v>
      </c>
      <c r="Q21" s="920">
        <v>75369.645000000004</v>
      </c>
      <c r="R21" s="920">
        <v>73941.192999999999</v>
      </c>
      <c r="S21" s="920">
        <v>74273.035000000003</v>
      </c>
      <c r="T21" s="920">
        <v>77959.808000000005</v>
      </c>
      <c r="U21" s="920">
        <v>70966.379000000001</v>
      </c>
      <c r="V21" s="920">
        <v>72903.695999999996</v>
      </c>
      <c r="W21" s="84"/>
      <c r="X21" s="84"/>
      <c r="Y21" s="566"/>
    </row>
    <row r="22" spans="1:25" ht="16" customHeight="1">
      <c r="A22" s="77"/>
      <c r="B22" s="21" t="s">
        <v>36</v>
      </c>
      <c r="C22" s="86">
        <v>6677</v>
      </c>
      <c r="D22" s="86">
        <v>7103</v>
      </c>
      <c r="E22" s="88">
        <v>79.900000000000006</v>
      </c>
      <c r="F22" s="920">
        <v>99.1</v>
      </c>
      <c r="G22" s="920">
        <v>149.80000000000001</v>
      </c>
      <c r="H22" s="920">
        <v>89.7</v>
      </c>
      <c r="I22" s="920">
        <v>67.3</v>
      </c>
      <c r="J22" s="920">
        <v>81.599999999999994</v>
      </c>
      <c r="K22" s="920">
        <v>91.8</v>
      </c>
      <c r="L22" s="920">
        <v>122.6</v>
      </c>
      <c r="M22" s="920">
        <v>109.1</v>
      </c>
      <c r="N22" s="920">
        <v>95.8</v>
      </c>
      <c r="O22" s="920">
        <v>86.1</v>
      </c>
      <c r="P22" s="920">
        <v>94</v>
      </c>
      <c r="Q22" s="920">
        <v>95.558000000000007</v>
      </c>
      <c r="R22" s="920">
        <v>97.08</v>
      </c>
      <c r="S22" s="920">
        <v>93.207999999999998</v>
      </c>
      <c r="T22" s="920">
        <v>91.234999999999999</v>
      </c>
      <c r="U22" s="920">
        <v>87.263000000000005</v>
      </c>
      <c r="V22" s="920">
        <v>82.718000000000004</v>
      </c>
      <c r="W22" s="84"/>
      <c r="X22" s="84"/>
      <c r="Y22" s="566"/>
    </row>
    <row r="23" spans="1:25" ht="16" customHeight="1">
      <c r="A23" s="77"/>
      <c r="B23" s="21" t="s">
        <v>37</v>
      </c>
      <c r="C23" s="86">
        <v>6140</v>
      </c>
      <c r="D23" s="86">
        <v>5963</v>
      </c>
      <c r="E23" s="88">
        <v>4724.3999999999996</v>
      </c>
      <c r="F23" s="920">
        <v>3230.5</v>
      </c>
      <c r="G23" s="920">
        <v>3684.6</v>
      </c>
      <c r="H23" s="920">
        <v>4765.8999999999996</v>
      </c>
      <c r="I23" s="920">
        <v>4788.8</v>
      </c>
      <c r="J23" s="920">
        <v>4259</v>
      </c>
      <c r="K23" s="920">
        <v>7068</v>
      </c>
      <c r="L23" s="920">
        <v>7626.6</v>
      </c>
      <c r="M23" s="920">
        <v>11301.3</v>
      </c>
      <c r="N23" s="920">
        <v>10035.9</v>
      </c>
      <c r="O23" s="920">
        <v>9438.7999999999993</v>
      </c>
      <c r="P23" s="920">
        <v>9123.6</v>
      </c>
      <c r="Q23" s="920">
        <v>8886.1579999999994</v>
      </c>
      <c r="R23" s="920">
        <v>8739.393</v>
      </c>
      <c r="S23" s="920">
        <v>8829.8240000000005</v>
      </c>
      <c r="T23" s="920">
        <v>8603.1640000000007</v>
      </c>
      <c r="U23" s="920">
        <v>8297.1170000000002</v>
      </c>
      <c r="V23" s="920">
        <v>8199.6569999999992</v>
      </c>
      <c r="W23" s="84"/>
      <c r="X23" s="84"/>
      <c r="Y23" s="566"/>
    </row>
    <row r="24" spans="1:25" ht="16" customHeight="1">
      <c r="A24" s="77"/>
      <c r="B24" s="21" t="s">
        <v>38</v>
      </c>
      <c r="C24" s="86">
        <v>85922</v>
      </c>
      <c r="D24" s="86">
        <v>79926</v>
      </c>
      <c r="E24" s="88">
        <v>419.7</v>
      </c>
      <c r="F24" s="920">
        <v>420.3</v>
      </c>
      <c r="G24" s="920">
        <v>425.4</v>
      </c>
      <c r="H24" s="920">
        <v>424.5</v>
      </c>
      <c r="I24" s="920">
        <v>451.9</v>
      </c>
      <c r="J24" s="920">
        <v>434.4</v>
      </c>
      <c r="K24" s="920">
        <v>471.6</v>
      </c>
      <c r="L24" s="920">
        <v>440.3</v>
      </c>
      <c r="M24" s="920">
        <v>518.70000000000005</v>
      </c>
      <c r="N24" s="920">
        <v>541.5</v>
      </c>
      <c r="O24" s="920">
        <v>549.20000000000005</v>
      </c>
      <c r="P24" s="920">
        <v>547.79999999999995</v>
      </c>
      <c r="Q24" s="920">
        <v>544.51</v>
      </c>
      <c r="R24" s="920">
        <v>531.68700000000001</v>
      </c>
      <c r="S24" s="920">
        <v>511.99599999999998</v>
      </c>
      <c r="T24" s="920">
        <v>492.29599999999999</v>
      </c>
      <c r="U24" s="920">
        <v>471.428</v>
      </c>
      <c r="V24" s="920">
        <v>461.21499999999997</v>
      </c>
      <c r="W24" s="84"/>
      <c r="X24" s="84"/>
      <c r="Y24" s="566"/>
    </row>
    <row r="25" spans="1:25" ht="16" customHeight="1">
      <c r="A25" s="77"/>
      <c r="B25" s="21" t="s">
        <v>39</v>
      </c>
      <c r="C25" s="86">
        <v>33857</v>
      </c>
      <c r="D25" s="86">
        <v>41333</v>
      </c>
      <c r="E25" s="88">
        <v>326.89999999999998</v>
      </c>
      <c r="F25" s="920">
        <v>326.2</v>
      </c>
      <c r="G25" s="920">
        <v>331.9</v>
      </c>
      <c r="H25" s="920">
        <v>337.2</v>
      </c>
      <c r="I25" s="920">
        <v>375.4</v>
      </c>
      <c r="J25" s="920">
        <v>349.7</v>
      </c>
      <c r="K25" s="920">
        <v>357.4</v>
      </c>
      <c r="L25" s="920">
        <v>369.4</v>
      </c>
      <c r="M25" s="920">
        <v>416.8</v>
      </c>
      <c r="N25" s="920">
        <v>412</v>
      </c>
      <c r="O25" s="920">
        <v>407</v>
      </c>
      <c r="P25" s="920">
        <v>411.5</v>
      </c>
      <c r="Q25" s="920">
        <v>405.65800000000002</v>
      </c>
      <c r="R25" s="920">
        <v>405.98399999999998</v>
      </c>
      <c r="S25" s="920">
        <v>390.97300000000001</v>
      </c>
      <c r="T25" s="920">
        <v>367.07900000000001</v>
      </c>
      <c r="U25" s="920">
        <v>336.50400000000002</v>
      </c>
      <c r="V25" s="920">
        <v>319.42</v>
      </c>
      <c r="W25" s="84"/>
      <c r="X25" s="84"/>
      <c r="Y25" s="566"/>
    </row>
    <row r="26" spans="1:25" ht="16" customHeight="1">
      <c r="A26" s="77"/>
      <c r="B26" s="21" t="s">
        <v>42</v>
      </c>
      <c r="C26" s="86">
        <v>84508</v>
      </c>
      <c r="D26" s="86">
        <v>95765</v>
      </c>
      <c r="E26" s="88">
        <v>1211.2</v>
      </c>
      <c r="F26" s="920">
        <v>947.7</v>
      </c>
      <c r="G26" s="920">
        <v>941.8</v>
      </c>
      <c r="H26" s="920">
        <v>1044.9000000000001</v>
      </c>
      <c r="I26" s="920">
        <v>1517.6</v>
      </c>
      <c r="J26" s="920">
        <v>1381</v>
      </c>
      <c r="K26" s="920">
        <v>1369.9</v>
      </c>
      <c r="L26" s="920">
        <v>1684.6</v>
      </c>
      <c r="M26" s="920">
        <v>2235.9</v>
      </c>
      <c r="N26" s="920">
        <v>2226.9</v>
      </c>
      <c r="O26" s="920">
        <v>1986.1</v>
      </c>
      <c r="P26" s="920">
        <v>1878.7</v>
      </c>
      <c r="Q26" s="920">
        <v>1899.521</v>
      </c>
      <c r="R26" s="920">
        <v>1865.4770000000001</v>
      </c>
      <c r="S26" s="920">
        <v>1845.0889999999999</v>
      </c>
      <c r="T26" s="920">
        <v>1767.7809999999999</v>
      </c>
      <c r="U26" s="920">
        <v>1689.7719999999999</v>
      </c>
      <c r="V26" s="920">
        <v>1663.749</v>
      </c>
      <c r="W26" s="84"/>
      <c r="X26" s="84"/>
      <c r="Y26" s="566"/>
    </row>
    <row r="27" spans="1:25" ht="16" customHeight="1">
      <c r="A27" s="77"/>
      <c r="B27" s="21" t="s">
        <v>43</v>
      </c>
      <c r="C27" s="86">
        <v>119310</v>
      </c>
      <c r="D27" s="86">
        <v>121140</v>
      </c>
      <c r="E27" s="88">
        <v>1068.0999999999999</v>
      </c>
      <c r="F27" s="920">
        <v>1070.2</v>
      </c>
      <c r="G27" s="920">
        <v>1074.5999999999999</v>
      </c>
      <c r="H27" s="920">
        <v>1082.9000000000001</v>
      </c>
      <c r="I27" s="920">
        <v>1106.5</v>
      </c>
      <c r="J27" s="920">
        <v>1094.4000000000001</v>
      </c>
      <c r="K27" s="920">
        <v>1107.5999999999999</v>
      </c>
      <c r="L27" s="920">
        <v>1135.8</v>
      </c>
      <c r="M27" s="920">
        <v>1335.5</v>
      </c>
      <c r="N27" s="920">
        <v>1346.8</v>
      </c>
      <c r="O27" s="920">
        <v>1351</v>
      </c>
      <c r="P27" s="920">
        <v>1358</v>
      </c>
      <c r="Q27" s="920">
        <v>1354.64</v>
      </c>
      <c r="R27" s="920">
        <v>1341.816</v>
      </c>
      <c r="S27" s="920">
        <v>1292.9469999999999</v>
      </c>
      <c r="T27" s="920">
        <v>1277.71</v>
      </c>
      <c r="U27" s="920">
        <v>1239.06</v>
      </c>
      <c r="V27" s="920">
        <v>1193.047</v>
      </c>
      <c r="W27" s="84"/>
      <c r="X27" s="84"/>
      <c r="Y27" s="566"/>
    </row>
    <row r="28" spans="1:25" ht="16" customHeight="1">
      <c r="A28" s="77"/>
      <c r="B28" s="76" t="s">
        <v>44</v>
      </c>
      <c r="C28" s="86">
        <v>40306</v>
      </c>
      <c r="D28" s="86">
        <v>44465</v>
      </c>
      <c r="E28" s="88">
        <v>7595.5</v>
      </c>
      <c r="F28" s="920">
        <v>8376.2999999999993</v>
      </c>
      <c r="G28" s="920">
        <v>9659.7000000000007</v>
      </c>
      <c r="H28" s="920">
        <v>9929.7000000000007</v>
      </c>
      <c r="I28" s="920">
        <v>12001.6</v>
      </c>
      <c r="J28" s="920">
        <v>13441</v>
      </c>
      <c r="K28" s="920">
        <v>13449.2</v>
      </c>
      <c r="L28" s="920">
        <v>15898.5</v>
      </c>
      <c r="M28" s="920">
        <v>16253.5</v>
      </c>
      <c r="N28" s="920">
        <v>16892.2</v>
      </c>
      <c r="O28" s="920">
        <v>17537</v>
      </c>
      <c r="P28" s="920">
        <v>17897.099999999999</v>
      </c>
      <c r="Q28" s="920">
        <v>18414.919999999998</v>
      </c>
      <c r="R28" s="920">
        <v>17962.884999999998</v>
      </c>
      <c r="S28" s="920">
        <v>17707.528999999999</v>
      </c>
      <c r="T28" s="920">
        <v>17838.695</v>
      </c>
      <c r="U28" s="920">
        <v>16607.362000000001</v>
      </c>
      <c r="V28" s="920">
        <v>17093.773000000001</v>
      </c>
      <c r="W28" s="84"/>
      <c r="X28" s="84"/>
      <c r="Y28" s="566"/>
    </row>
    <row r="29" spans="1:25" ht="16" customHeight="1">
      <c r="A29" s="77"/>
      <c r="B29" s="21" t="s">
        <v>45</v>
      </c>
      <c r="C29" s="86">
        <v>4757</v>
      </c>
      <c r="D29" s="86">
        <v>5098</v>
      </c>
      <c r="E29" s="88">
        <v>6436.3</v>
      </c>
      <c r="F29" s="920">
        <v>6762</v>
      </c>
      <c r="G29" s="920">
        <v>9906.9</v>
      </c>
      <c r="H29" s="920">
        <v>10359.9</v>
      </c>
      <c r="I29" s="920">
        <v>9125.6</v>
      </c>
      <c r="J29" s="920">
        <v>10460</v>
      </c>
      <c r="K29" s="920">
        <v>10427.799999999999</v>
      </c>
      <c r="L29" s="920">
        <v>10348.4</v>
      </c>
      <c r="M29" s="920">
        <v>11812.8</v>
      </c>
      <c r="N29" s="920">
        <v>11160.2</v>
      </c>
      <c r="O29" s="920">
        <v>10952.7</v>
      </c>
      <c r="P29" s="920">
        <v>11883.2</v>
      </c>
      <c r="Q29" s="920">
        <v>12043.022000000001</v>
      </c>
      <c r="R29" s="920">
        <v>11814.05</v>
      </c>
      <c r="S29" s="920">
        <v>11710.288</v>
      </c>
      <c r="T29" s="920">
        <v>11879.966</v>
      </c>
      <c r="U29" s="920">
        <v>11458.804</v>
      </c>
      <c r="V29" s="920">
        <v>11299.715</v>
      </c>
      <c r="W29" s="84"/>
      <c r="X29" s="84"/>
      <c r="Y29" s="566"/>
    </row>
    <row r="30" spans="1:25" ht="16" customHeight="1">
      <c r="A30" s="77"/>
      <c r="B30" s="21" t="s">
        <v>46</v>
      </c>
      <c r="C30" s="86">
        <v>9699</v>
      </c>
      <c r="D30" s="86">
        <v>9643</v>
      </c>
      <c r="E30" s="88">
        <v>5614.8</v>
      </c>
      <c r="F30" s="920">
        <v>5123.2</v>
      </c>
      <c r="G30" s="920">
        <v>5184.5</v>
      </c>
      <c r="H30" s="920">
        <v>5002.8999999999996</v>
      </c>
      <c r="I30" s="920">
        <v>5778.3</v>
      </c>
      <c r="J30" s="920">
        <v>7103</v>
      </c>
      <c r="K30" s="920">
        <v>8181.1</v>
      </c>
      <c r="L30" s="920">
        <v>7976.3</v>
      </c>
      <c r="M30" s="920">
        <v>8597</v>
      </c>
      <c r="N30" s="920">
        <v>4983.7</v>
      </c>
      <c r="O30" s="920">
        <v>5591.7</v>
      </c>
      <c r="P30" s="920">
        <v>6692.2</v>
      </c>
      <c r="Q30" s="920">
        <v>7328.098</v>
      </c>
      <c r="R30" s="920">
        <v>7076.3540000000003</v>
      </c>
      <c r="S30" s="920">
        <v>7107.18</v>
      </c>
      <c r="T30" s="920">
        <v>6931.98</v>
      </c>
      <c r="U30" s="920">
        <v>6526.5720000000001</v>
      </c>
      <c r="V30" s="920">
        <v>6539.3339999999998</v>
      </c>
      <c r="W30" s="84"/>
      <c r="X30" s="84"/>
      <c r="Y30" s="566"/>
    </row>
    <row r="31" spans="1:25" ht="16" customHeight="1">
      <c r="A31" s="77"/>
      <c r="B31" s="21" t="s">
        <v>47</v>
      </c>
      <c r="C31" s="86">
        <v>6836</v>
      </c>
      <c r="D31" s="86">
        <v>7770</v>
      </c>
      <c r="E31" s="88">
        <v>920</v>
      </c>
      <c r="F31" s="920">
        <v>1062</v>
      </c>
      <c r="G31" s="920">
        <v>1432.4</v>
      </c>
      <c r="H31" s="920">
        <v>1437.4</v>
      </c>
      <c r="I31" s="920">
        <v>1632.7</v>
      </c>
      <c r="J31" s="920">
        <v>2278.8000000000002</v>
      </c>
      <c r="K31" s="920">
        <v>2671.8</v>
      </c>
      <c r="L31" s="920">
        <v>2712.4</v>
      </c>
      <c r="M31" s="920">
        <v>3064.1</v>
      </c>
      <c r="N31" s="920">
        <v>3508.1</v>
      </c>
      <c r="O31" s="920">
        <v>3865.8</v>
      </c>
      <c r="P31" s="920">
        <v>4214.2</v>
      </c>
      <c r="Q31" s="920">
        <v>4328.4459999999999</v>
      </c>
      <c r="R31" s="920">
        <v>4244.1239999999998</v>
      </c>
      <c r="S31" s="920">
        <v>4303.1000000000004</v>
      </c>
      <c r="T31" s="920">
        <v>4273.8879999999999</v>
      </c>
      <c r="U31" s="920">
        <v>4089.9639999999999</v>
      </c>
      <c r="V31" s="920">
        <v>3953.1849999999999</v>
      </c>
      <c r="W31" s="84"/>
      <c r="X31" s="84"/>
      <c r="Y31" s="566"/>
    </row>
    <row r="32" spans="1:25" ht="5" customHeight="1" thickBot="1">
      <c r="A32" s="8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X32" s="84"/>
      <c r="Y32" s="566"/>
    </row>
    <row r="33" spans="1:24" ht="9" customHeight="1">
      <c r="A33" s="449" t="s">
        <v>330</v>
      </c>
      <c r="B33" s="451"/>
      <c r="C33" s="469"/>
      <c r="D33" s="469"/>
      <c r="E33" s="469"/>
      <c r="F33" s="469"/>
      <c r="G33" s="469"/>
      <c r="H33" s="469"/>
      <c r="I33" s="198"/>
      <c r="J33" s="198"/>
      <c r="K33" s="198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X33" s="84"/>
    </row>
    <row r="34" spans="1:24" ht="9" customHeight="1">
      <c r="A34" s="449" t="s">
        <v>304</v>
      </c>
      <c r="B34" s="451"/>
      <c r="C34" s="469"/>
      <c r="D34" s="469"/>
      <c r="E34" s="469"/>
      <c r="F34" s="469"/>
      <c r="G34" s="469"/>
      <c r="H34" s="470"/>
      <c r="I34" s="205"/>
      <c r="J34" s="205"/>
      <c r="K34" s="205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</row>
    <row r="35" spans="1:24" ht="9" customHeight="1">
      <c r="A35" s="451" t="s">
        <v>303</v>
      </c>
      <c r="B35" s="456"/>
      <c r="C35" s="469"/>
      <c r="D35" s="469"/>
      <c r="E35" s="469"/>
      <c r="F35" s="469"/>
      <c r="G35" s="469"/>
      <c r="H35" s="470"/>
      <c r="I35" s="205"/>
      <c r="J35" s="205"/>
      <c r="K35" s="205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Hoja131">
    <tabColor theme="9" tint="0.59999389629810485"/>
  </sheetPr>
  <dimension ref="A2:Z35"/>
  <sheetViews>
    <sheetView showGridLines="0" zoomScaleNormal="100" workbookViewId="0">
      <selection activeCell="AA22" sqref="AA22"/>
    </sheetView>
  </sheetViews>
  <sheetFormatPr baseColWidth="10" defaultColWidth="7" defaultRowHeight="13.25" customHeight="1"/>
  <cols>
    <col min="1" max="1" width="0.796875" style="76" customWidth="1"/>
    <col min="2" max="2" width="10.3984375" style="76" customWidth="1"/>
    <col min="3" max="5" width="8" style="76" hidden="1" customWidth="1"/>
    <col min="6" max="22" width="7.3984375" style="76" customWidth="1"/>
    <col min="23" max="23" width="8.3984375" style="76" customWidth="1"/>
    <col min="24" max="16384" width="7" style="76"/>
  </cols>
  <sheetData>
    <row r="2" spans="1:26" ht="15" customHeight="1">
      <c r="A2" s="210" t="s">
        <v>565</v>
      </c>
      <c r="B2" s="211"/>
      <c r="C2" s="211"/>
      <c r="D2" s="211"/>
      <c r="E2" s="211"/>
      <c r="F2" s="211"/>
    </row>
    <row r="3" spans="1:26" ht="13.25" customHeight="1">
      <c r="A3" s="399" t="s">
        <v>283</v>
      </c>
      <c r="B3" s="211"/>
      <c r="C3" s="211"/>
      <c r="D3" s="211"/>
      <c r="E3" s="211"/>
      <c r="F3" s="211"/>
    </row>
    <row r="4" spans="1:26" ht="6" customHeight="1" thickBo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6" ht="18" customHeight="1">
      <c r="A5" s="1019" t="s">
        <v>16</v>
      </c>
      <c r="B5" s="1019"/>
      <c r="C5" s="722">
        <v>2005</v>
      </c>
      <c r="D5" s="722">
        <v>2006</v>
      </c>
      <c r="E5" s="722">
        <v>2007</v>
      </c>
      <c r="F5" s="722">
        <v>2008</v>
      </c>
      <c r="G5" s="722">
        <v>2009</v>
      </c>
      <c r="H5" s="722">
        <v>2010</v>
      </c>
      <c r="I5" s="722">
        <v>2011</v>
      </c>
      <c r="J5" s="722">
        <v>2012</v>
      </c>
      <c r="K5" s="722">
        <v>2013</v>
      </c>
      <c r="L5" s="722">
        <v>2014</v>
      </c>
      <c r="M5" s="722">
        <v>2015</v>
      </c>
      <c r="N5" s="722">
        <v>2016</v>
      </c>
      <c r="O5" s="722">
        <v>2017</v>
      </c>
      <c r="P5" s="722" t="s">
        <v>180</v>
      </c>
      <c r="Q5" s="722" t="s">
        <v>296</v>
      </c>
      <c r="R5" s="722">
        <v>2020</v>
      </c>
      <c r="S5" s="722">
        <v>2021</v>
      </c>
      <c r="T5" s="722" t="s">
        <v>385</v>
      </c>
      <c r="U5" s="722">
        <v>2023</v>
      </c>
      <c r="V5" s="722" t="s">
        <v>471</v>
      </c>
    </row>
    <row r="6" spans="1:26" ht="18" customHeight="1">
      <c r="A6" s="1055" t="s">
        <v>93</v>
      </c>
      <c r="B6" s="1055"/>
      <c r="C6" s="709">
        <f>(C8+C9+C10+C11+C12+C13+C14+C15+C16+C17+C18+C19+C20+C21+C22+C23+C24+C25+C26+C27+C28+C29+C30+C31)</f>
        <v>152496</v>
      </c>
      <c r="D6" s="709">
        <f>(D8+D9+D10+D11+D12+D13+D14+D15+D16+D17+D18+D19+D20+D21+D22+D23+D24+D25+D26+D27+D28+D29+D30+D31)</f>
        <v>161580</v>
      </c>
      <c r="E6" s="710">
        <v>770.4</v>
      </c>
      <c r="F6" s="923">
        <v>877.2</v>
      </c>
      <c r="G6" s="923">
        <v>964.4</v>
      </c>
      <c r="H6" s="923">
        <v>1019.9</v>
      </c>
      <c r="I6" s="923">
        <v>1108.3</v>
      </c>
      <c r="J6" s="923">
        <v>1211.0999999999999</v>
      </c>
      <c r="K6" s="923">
        <v>1254.3</v>
      </c>
      <c r="L6" s="923">
        <v>1317.4</v>
      </c>
      <c r="M6" s="923">
        <v>1423.6</v>
      </c>
      <c r="N6" s="923">
        <v>1513.9</v>
      </c>
      <c r="O6" s="923">
        <v>1569.3</v>
      </c>
      <c r="P6" s="923">
        <v>1687.6</v>
      </c>
      <c r="Q6" s="923">
        <f t="shared" ref="Q6:V6" si="0">SUM(Q8:Q31)</f>
        <v>1762.8570000000004</v>
      </c>
      <c r="R6" s="923">
        <f t="shared" si="0"/>
        <v>1723.5</v>
      </c>
      <c r="S6" s="923">
        <f t="shared" si="0"/>
        <v>1751.61</v>
      </c>
      <c r="T6" s="923">
        <f t="shared" si="0"/>
        <v>1801.7730000000001</v>
      </c>
      <c r="U6" s="923">
        <f t="shared" si="0"/>
        <v>1781.4729999999995</v>
      </c>
      <c r="V6" s="923">
        <f t="shared" si="0"/>
        <v>1859.2369999999996</v>
      </c>
    </row>
    <row r="7" spans="1:26" ht="4.25" customHeight="1">
      <c r="A7" s="77"/>
      <c r="B7" s="78"/>
      <c r="C7" s="85"/>
      <c r="D7" s="85"/>
      <c r="E7" s="85"/>
      <c r="F7" s="919"/>
      <c r="G7" s="919"/>
      <c r="H7" s="919"/>
      <c r="I7" s="919"/>
      <c r="J7" s="919"/>
      <c r="K7" s="919"/>
      <c r="L7" s="919"/>
      <c r="M7" s="919"/>
      <c r="N7" s="919"/>
      <c r="O7" s="919"/>
      <c r="P7" s="919"/>
      <c r="Q7" s="919"/>
      <c r="R7" s="919"/>
      <c r="S7" s="919"/>
      <c r="T7" s="919"/>
      <c r="U7" s="919"/>
      <c r="V7" s="919"/>
    </row>
    <row r="8" spans="1:26" ht="16" customHeight="1">
      <c r="A8" s="77"/>
      <c r="B8" s="21" t="s">
        <v>19</v>
      </c>
      <c r="C8" s="86">
        <v>356</v>
      </c>
      <c r="D8" s="86">
        <v>336</v>
      </c>
      <c r="E8" s="88">
        <v>0.1</v>
      </c>
      <c r="F8" s="920">
        <v>0.1</v>
      </c>
      <c r="G8" s="920">
        <v>0.1</v>
      </c>
      <c r="H8" s="920">
        <v>0.1</v>
      </c>
      <c r="I8" s="920">
        <v>0.1</v>
      </c>
      <c r="J8" s="920">
        <v>0.2</v>
      </c>
      <c r="K8" s="920">
        <v>0.2</v>
      </c>
      <c r="L8" s="920">
        <v>0.1</v>
      </c>
      <c r="M8" s="920">
        <v>0.3</v>
      </c>
      <c r="N8" s="920">
        <v>0.3</v>
      </c>
      <c r="O8" s="920">
        <v>0.2</v>
      </c>
      <c r="P8" s="920">
        <v>0.3</v>
      </c>
      <c r="Q8" s="920">
        <v>0.29399999999999998</v>
      </c>
      <c r="R8" s="920">
        <v>0.253</v>
      </c>
      <c r="S8" s="920">
        <v>0.246</v>
      </c>
      <c r="T8" s="920">
        <v>0.24299999999999999</v>
      </c>
      <c r="U8" s="920">
        <v>0.23200000000000001</v>
      </c>
      <c r="V8" s="920">
        <v>0.26300000000000001</v>
      </c>
      <c r="X8" s="567"/>
      <c r="Y8" s="567"/>
      <c r="Z8" s="567"/>
    </row>
    <row r="9" spans="1:26" ht="16" customHeight="1">
      <c r="A9" s="77"/>
      <c r="B9" s="21" t="s">
        <v>20</v>
      </c>
      <c r="C9" s="86">
        <v>10238</v>
      </c>
      <c r="D9" s="86">
        <v>10778</v>
      </c>
      <c r="E9" s="88">
        <v>10.5</v>
      </c>
      <c r="F9" s="920">
        <v>11.4</v>
      </c>
      <c r="G9" s="920">
        <v>13.2</v>
      </c>
      <c r="H9" s="920">
        <v>14.4</v>
      </c>
      <c r="I9" s="920">
        <v>17.100000000000001</v>
      </c>
      <c r="J9" s="920">
        <v>21.8</v>
      </c>
      <c r="K9" s="920">
        <v>25.6</v>
      </c>
      <c r="L9" s="920">
        <v>23.4</v>
      </c>
      <c r="M9" s="920">
        <v>29.8</v>
      </c>
      <c r="N9" s="920">
        <v>29.6</v>
      </c>
      <c r="O9" s="920">
        <v>28.9</v>
      </c>
      <c r="P9" s="920">
        <v>32.6</v>
      </c>
      <c r="Q9" s="920">
        <v>33.052999999999997</v>
      </c>
      <c r="R9" s="920">
        <v>32.603999999999999</v>
      </c>
      <c r="S9" s="920">
        <v>32.473999999999997</v>
      </c>
      <c r="T9" s="920">
        <v>32.372</v>
      </c>
      <c r="U9" s="920">
        <v>30.966000000000001</v>
      </c>
      <c r="V9" s="920">
        <v>31.027000000000001</v>
      </c>
      <c r="X9" s="567"/>
      <c r="Y9" s="567"/>
      <c r="Z9" s="567"/>
    </row>
    <row r="10" spans="1:26" ht="16" customHeight="1">
      <c r="A10" s="77"/>
      <c r="B10" s="21" t="s">
        <v>21</v>
      </c>
      <c r="C10" s="86">
        <v>2939</v>
      </c>
      <c r="D10" s="86">
        <v>3172</v>
      </c>
      <c r="E10" s="88">
        <v>2.7</v>
      </c>
      <c r="F10" s="920">
        <v>3.2</v>
      </c>
      <c r="G10" s="920">
        <v>4.4000000000000004</v>
      </c>
      <c r="H10" s="920">
        <v>5.0999999999999996</v>
      </c>
      <c r="I10" s="920">
        <v>7.3</v>
      </c>
      <c r="J10" s="920">
        <v>5.3</v>
      </c>
      <c r="K10" s="920">
        <v>12.9</v>
      </c>
      <c r="L10" s="920">
        <v>16.8</v>
      </c>
      <c r="M10" s="920">
        <v>18.600000000000001</v>
      </c>
      <c r="N10" s="920">
        <v>19.2</v>
      </c>
      <c r="O10" s="920">
        <v>22.7</v>
      </c>
      <c r="P10" s="920">
        <v>25.4</v>
      </c>
      <c r="Q10" s="920">
        <v>26.358000000000001</v>
      </c>
      <c r="R10" s="920">
        <v>25.696999999999999</v>
      </c>
      <c r="S10" s="920">
        <v>26.085999999999999</v>
      </c>
      <c r="T10" s="920">
        <v>26.527000000000001</v>
      </c>
      <c r="U10" s="920">
        <v>25.363</v>
      </c>
      <c r="V10" s="920">
        <v>25.242000000000001</v>
      </c>
      <c r="X10" s="567"/>
      <c r="Y10" s="567"/>
      <c r="Z10" s="567"/>
    </row>
    <row r="11" spans="1:26" ht="16" customHeight="1">
      <c r="A11" s="77"/>
      <c r="B11" s="21" t="s">
        <v>22</v>
      </c>
      <c r="C11" s="86">
        <v>5255</v>
      </c>
      <c r="D11" s="86">
        <v>5492</v>
      </c>
      <c r="E11" s="88">
        <v>150.1</v>
      </c>
      <c r="F11" s="920">
        <v>160.9</v>
      </c>
      <c r="G11" s="920">
        <v>180.5</v>
      </c>
      <c r="H11" s="920">
        <v>201</v>
      </c>
      <c r="I11" s="920">
        <v>215.8</v>
      </c>
      <c r="J11" s="920">
        <v>233</v>
      </c>
      <c r="K11" s="920">
        <v>244.6</v>
      </c>
      <c r="L11" s="920">
        <v>246.5</v>
      </c>
      <c r="M11" s="920">
        <v>272.10000000000002</v>
      </c>
      <c r="N11" s="920">
        <v>273</v>
      </c>
      <c r="O11" s="920">
        <v>273.8</v>
      </c>
      <c r="P11" s="920">
        <v>299</v>
      </c>
      <c r="Q11" s="920">
        <v>316.90699999999998</v>
      </c>
      <c r="R11" s="920">
        <v>309.577</v>
      </c>
      <c r="S11" s="920">
        <v>311.654</v>
      </c>
      <c r="T11" s="920">
        <v>319.75900000000001</v>
      </c>
      <c r="U11" s="920">
        <v>305.97199999999998</v>
      </c>
      <c r="V11" s="920">
        <v>305.18900000000002</v>
      </c>
      <c r="X11" s="567"/>
      <c r="Y11" s="567"/>
      <c r="Z11" s="567"/>
    </row>
    <row r="12" spans="1:26" ht="16" customHeight="1">
      <c r="A12" s="77"/>
      <c r="B12" s="21" t="s">
        <v>23</v>
      </c>
      <c r="C12" s="86">
        <v>20836</v>
      </c>
      <c r="D12" s="86">
        <v>24037</v>
      </c>
      <c r="E12" s="88">
        <v>2.1</v>
      </c>
      <c r="F12" s="920">
        <v>2.1</v>
      </c>
      <c r="G12" s="920">
        <v>2.1</v>
      </c>
      <c r="H12" s="920">
        <v>2.4</v>
      </c>
      <c r="I12" s="920">
        <v>2.5</v>
      </c>
      <c r="J12" s="920">
        <v>2.9</v>
      </c>
      <c r="K12" s="920">
        <v>2.4</v>
      </c>
      <c r="L12" s="920">
        <v>2.2999999999999998</v>
      </c>
      <c r="M12" s="920">
        <v>3.5</v>
      </c>
      <c r="N12" s="920">
        <v>3.6</v>
      </c>
      <c r="O12" s="920">
        <v>3.6</v>
      </c>
      <c r="P12" s="920">
        <v>3.5</v>
      </c>
      <c r="Q12" s="920">
        <v>3.6669999999999998</v>
      </c>
      <c r="R12" s="920">
        <v>3.68</v>
      </c>
      <c r="S12" s="920">
        <v>3.6890000000000001</v>
      </c>
      <c r="T12" s="920">
        <v>3.6389999999999998</v>
      </c>
      <c r="U12" s="920">
        <v>3.4950000000000001</v>
      </c>
      <c r="V12" s="920">
        <v>3.4380000000000002</v>
      </c>
      <c r="X12" s="567"/>
      <c r="Y12" s="567"/>
      <c r="Z12" s="567"/>
    </row>
    <row r="13" spans="1:26" ht="16" customHeight="1">
      <c r="A13" s="77"/>
      <c r="B13" s="21" t="s">
        <v>27</v>
      </c>
      <c r="C13" s="86">
        <v>5682</v>
      </c>
      <c r="D13" s="86">
        <v>6278</v>
      </c>
      <c r="E13" s="88">
        <v>0.4</v>
      </c>
      <c r="F13" s="920">
        <v>0.5</v>
      </c>
      <c r="G13" s="920">
        <v>0.5</v>
      </c>
      <c r="H13" s="920">
        <v>0.5</v>
      </c>
      <c r="I13" s="920">
        <v>0.4</v>
      </c>
      <c r="J13" s="920">
        <v>0.6</v>
      </c>
      <c r="K13" s="920">
        <v>0.5</v>
      </c>
      <c r="L13" s="920">
        <v>0.5</v>
      </c>
      <c r="M13" s="920">
        <v>0.6</v>
      </c>
      <c r="N13" s="920">
        <v>0.8</v>
      </c>
      <c r="O13" s="920">
        <v>0.7</v>
      </c>
      <c r="P13" s="920">
        <v>0.8</v>
      </c>
      <c r="Q13" s="920">
        <v>0.82</v>
      </c>
      <c r="R13" s="920">
        <v>0.81699999999999995</v>
      </c>
      <c r="S13" s="920">
        <v>0.80700000000000005</v>
      </c>
      <c r="T13" s="920">
        <v>0.79200000000000004</v>
      </c>
      <c r="U13" s="920">
        <v>0.76</v>
      </c>
      <c r="V13" s="920">
        <v>0.73899999999999999</v>
      </c>
      <c r="X13" s="567"/>
      <c r="Y13" s="567"/>
      <c r="Z13" s="567"/>
    </row>
    <row r="14" spans="1:26" ht="16" customHeight="1">
      <c r="A14" s="77"/>
      <c r="B14" s="21" t="s">
        <v>28</v>
      </c>
      <c r="C14" s="392">
        <v>6599</v>
      </c>
      <c r="D14" s="392">
        <v>6835</v>
      </c>
      <c r="E14" s="393">
        <v>18.5</v>
      </c>
      <c r="F14" s="920">
        <v>21.1</v>
      </c>
      <c r="G14" s="920">
        <v>20.8</v>
      </c>
      <c r="H14" s="920">
        <v>25.5</v>
      </c>
      <c r="I14" s="920">
        <v>28.2</v>
      </c>
      <c r="J14" s="920">
        <v>30.8</v>
      </c>
      <c r="K14" s="920">
        <v>31.1</v>
      </c>
      <c r="L14" s="920">
        <v>29.1</v>
      </c>
      <c r="M14" s="920">
        <v>32.700000000000003</v>
      </c>
      <c r="N14" s="920">
        <v>34</v>
      </c>
      <c r="O14" s="920">
        <v>39.4</v>
      </c>
      <c r="P14" s="920">
        <v>37.299999999999997</v>
      </c>
      <c r="Q14" s="920">
        <v>38.409999999999997</v>
      </c>
      <c r="R14" s="920">
        <v>37.252000000000002</v>
      </c>
      <c r="S14" s="920">
        <v>37.542999999999999</v>
      </c>
      <c r="T14" s="920">
        <v>39.267000000000003</v>
      </c>
      <c r="U14" s="920">
        <v>37.866</v>
      </c>
      <c r="V14" s="920">
        <v>37.406999999999996</v>
      </c>
      <c r="X14" s="567"/>
      <c r="Y14" s="567"/>
      <c r="Z14" s="567"/>
    </row>
    <row r="15" spans="1:26" ht="16" customHeight="1">
      <c r="A15" s="77"/>
      <c r="B15" s="21" t="s">
        <v>29</v>
      </c>
      <c r="C15" s="392">
        <v>19359</v>
      </c>
      <c r="D15" s="392">
        <v>20479</v>
      </c>
      <c r="E15" s="393">
        <v>439.9</v>
      </c>
      <c r="F15" s="920">
        <v>514.20000000000005</v>
      </c>
      <c r="G15" s="920">
        <v>562.1</v>
      </c>
      <c r="H15" s="920">
        <v>586.79999999999995</v>
      </c>
      <c r="I15" s="920">
        <v>625</v>
      </c>
      <c r="J15" s="920">
        <v>667.2</v>
      </c>
      <c r="K15" s="920">
        <v>657.6</v>
      </c>
      <c r="L15" s="920">
        <v>690.4</v>
      </c>
      <c r="M15" s="920">
        <v>725.4</v>
      </c>
      <c r="N15" s="920">
        <v>807.5</v>
      </c>
      <c r="O15" s="920">
        <v>848.2</v>
      </c>
      <c r="P15" s="920">
        <v>902.5</v>
      </c>
      <c r="Q15" s="920">
        <v>942.81299999999999</v>
      </c>
      <c r="R15" s="920">
        <v>920.32100000000003</v>
      </c>
      <c r="S15" s="920">
        <v>941.31299999999999</v>
      </c>
      <c r="T15" s="920">
        <v>976.90800000000002</v>
      </c>
      <c r="U15" s="920">
        <v>992.82299999999998</v>
      </c>
      <c r="V15" s="920">
        <v>1072.414</v>
      </c>
      <c r="X15" s="567"/>
      <c r="Y15" s="567"/>
      <c r="Z15" s="567"/>
    </row>
    <row r="16" spans="1:26" ht="16" customHeight="1">
      <c r="A16" s="77"/>
      <c r="B16" s="21" t="s">
        <v>30</v>
      </c>
      <c r="C16" s="392">
        <v>1092</v>
      </c>
      <c r="D16" s="392">
        <v>1134</v>
      </c>
      <c r="E16" s="393">
        <v>29.3</v>
      </c>
      <c r="F16" s="920">
        <v>33.9</v>
      </c>
      <c r="G16" s="920">
        <v>31.5</v>
      </c>
      <c r="H16" s="920">
        <v>33</v>
      </c>
      <c r="I16" s="920">
        <v>38.9</v>
      </c>
      <c r="J16" s="920">
        <v>49.5</v>
      </c>
      <c r="K16" s="920">
        <v>53.8</v>
      </c>
      <c r="L16" s="920">
        <v>68.3</v>
      </c>
      <c r="M16" s="920">
        <v>66.599999999999994</v>
      </c>
      <c r="N16" s="920">
        <v>69.599999999999994</v>
      </c>
      <c r="O16" s="920">
        <v>72.400000000000006</v>
      </c>
      <c r="P16" s="920">
        <v>88.8</v>
      </c>
      <c r="Q16" s="920">
        <v>95.536000000000001</v>
      </c>
      <c r="R16" s="920">
        <v>96.61</v>
      </c>
      <c r="S16" s="920">
        <v>97.956999999999994</v>
      </c>
      <c r="T16" s="920">
        <v>96.668000000000006</v>
      </c>
      <c r="U16" s="920">
        <v>95.971999999999994</v>
      </c>
      <c r="V16" s="920">
        <v>96.391000000000005</v>
      </c>
      <c r="X16" s="567"/>
      <c r="Y16" s="567"/>
      <c r="Z16" s="567"/>
    </row>
    <row r="17" spans="1:26" ht="16" customHeight="1">
      <c r="A17" s="77"/>
      <c r="B17" s="21" t="s">
        <v>31</v>
      </c>
      <c r="C17" s="86">
        <v>9010</v>
      </c>
      <c r="D17" s="86">
        <v>10026</v>
      </c>
      <c r="E17" s="88">
        <v>0.9</v>
      </c>
      <c r="F17" s="920">
        <v>0.9</v>
      </c>
      <c r="G17" s="920">
        <v>0.9</v>
      </c>
      <c r="H17" s="920">
        <v>0.9</v>
      </c>
      <c r="I17" s="920">
        <v>0.9</v>
      </c>
      <c r="J17" s="920">
        <v>1.3</v>
      </c>
      <c r="K17" s="920">
        <v>1.6</v>
      </c>
      <c r="L17" s="920">
        <v>1.2</v>
      </c>
      <c r="M17" s="920">
        <v>1.7</v>
      </c>
      <c r="N17" s="920">
        <v>1.6</v>
      </c>
      <c r="O17" s="920">
        <v>1.2</v>
      </c>
      <c r="P17" s="920">
        <v>1.3</v>
      </c>
      <c r="Q17" s="920">
        <v>1.32</v>
      </c>
      <c r="R17" s="920">
        <v>1.32</v>
      </c>
      <c r="S17" s="920">
        <v>1.298</v>
      </c>
      <c r="T17" s="920">
        <v>1.2849999999999999</v>
      </c>
      <c r="U17" s="920">
        <v>1.2430000000000001</v>
      </c>
      <c r="V17" s="920">
        <v>1.2150000000000001</v>
      </c>
      <c r="X17" s="567"/>
      <c r="Y17" s="567"/>
      <c r="Z17" s="567"/>
    </row>
    <row r="18" spans="1:26" ht="16" customHeight="1">
      <c r="A18" s="77"/>
      <c r="B18" s="21" t="s">
        <v>32</v>
      </c>
      <c r="C18" s="86">
        <v>3372</v>
      </c>
      <c r="D18" s="86">
        <v>3040</v>
      </c>
      <c r="E18" s="88">
        <v>0.3</v>
      </c>
      <c r="F18" s="920">
        <v>0.3</v>
      </c>
      <c r="G18" s="920">
        <v>0.2</v>
      </c>
      <c r="H18" s="920">
        <v>0.2</v>
      </c>
      <c r="I18" s="920">
        <v>0.7</v>
      </c>
      <c r="J18" s="920">
        <v>0.5</v>
      </c>
      <c r="K18" s="920">
        <v>0.9</v>
      </c>
      <c r="L18" s="920">
        <v>0.8</v>
      </c>
      <c r="M18" s="920">
        <v>1.1000000000000001</v>
      </c>
      <c r="N18" s="920">
        <v>1.1000000000000001</v>
      </c>
      <c r="O18" s="920">
        <v>0.4</v>
      </c>
      <c r="P18" s="920">
        <v>0.6</v>
      </c>
      <c r="Q18" s="920">
        <v>0.64200000000000002</v>
      </c>
      <c r="R18" s="920">
        <v>0.628</v>
      </c>
      <c r="S18" s="920">
        <v>0.60699999999999998</v>
      </c>
      <c r="T18" s="920">
        <v>0.58099999999999996</v>
      </c>
      <c r="U18" s="920">
        <v>0.55000000000000004</v>
      </c>
      <c r="V18" s="920">
        <v>0.53300000000000003</v>
      </c>
      <c r="X18" s="567"/>
      <c r="Y18" s="567"/>
      <c r="Z18" s="567"/>
    </row>
    <row r="19" spans="1:26" ht="16" customHeight="1">
      <c r="A19" s="77"/>
      <c r="B19" s="21" t="s">
        <v>33</v>
      </c>
      <c r="C19" s="86">
        <v>4781</v>
      </c>
      <c r="D19" s="86">
        <v>4782</v>
      </c>
      <c r="E19" s="88">
        <v>1.2</v>
      </c>
      <c r="F19" s="920">
        <v>5.8</v>
      </c>
      <c r="G19" s="920">
        <v>7.1</v>
      </c>
      <c r="H19" s="920">
        <v>8</v>
      </c>
      <c r="I19" s="920">
        <v>7.1</v>
      </c>
      <c r="J19" s="920">
        <v>8</v>
      </c>
      <c r="K19" s="920">
        <v>8.9</v>
      </c>
      <c r="L19" s="920">
        <v>8.6999999999999993</v>
      </c>
      <c r="M19" s="920">
        <v>11</v>
      </c>
      <c r="N19" s="920">
        <v>18.5</v>
      </c>
      <c r="O19" s="920">
        <v>12.1</v>
      </c>
      <c r="P19" s="920">
        <v>11</v>
      </c>
      <c r="Q19" s="920">
        <v>11.237</v>
      </c>
      <c r="R19" s="920">
        <v>11.113</v>
      </c>
      <c r="S19" s="920">
        <v>10.766</v>
      </c>
      <c r="T19" s="920">
        <v>10.502000000000001</v>
      </c>
      <c r="U19" s="920">
        <v>9.8360000000000003</v>
      </c>
      <c r="V19" s="920">
        <v>9.5690000000000008</v>
      </c>
      <c r="X19" s="567"/>
      <c r="Y19" s="567"/>
      <c r="Z19" s="567"/>
    </row>
    <row r="20" spans="1:26" ht="16" customHeight="1">
      <c r="A20" s="77"/>
      <c r="B20" s="21" t="s">
        <v>34</v>
      </c>
      <c r="C20" s="86">
        <v>2855</v>
      </c>
      <c r="D20" s="86">
        <v>2597</v>
      </c>
      <c r="E20" s="88">
        <v>0.6</v>
      </c>
      <c r="F20" s="920">
        <v>0.6</v>
      </c>
      <c r="G20" s="920">
        <v>0.6</v>
      </c>
      <c r="H20" s="920">
        <v>0.6</v>
      </c>
      <c r="I20" s="920">
        <v>0.6</v>
      </c>
      <c r="J20" s="920">
        <v>0.6</v>
      </c>
      <c r="K20" s="920">
        <v>0.6</v>
      </c>
      <c r="L20" s="920">
        <v>0.6</v>
      </c>
      <c r="M20" s="920">
        <v>0.9</v>
      </c>
      <c r="N20" s="920">
        <v>0.9</v>
      </c>
      <c r="O20" s="920">
        <v>0.9</v>
      </c>
      <c r="P20" s="920">
        <v>1</v>
      </c>
      <c r="Q20" s="920">
        <v>1.0089999999999999</v>
      </c>
      <c r="R20" s="920">
        <v>1.004</v>
      </c>
      <c r="S20" s="920">
        <v>0.98799999999999999</v>
      </c>
      <c r="T20" s="920">
        <v>0.96799999999999997</v>
      </c>
      <c r="U20" s="920">
        <v>0.94099999999999995</v>
      </c>
      <c r="V20" s="920">
        <v>0.91300000000000003</v>
      </c>
      <c r="X20" s="567"/>
      <c r="Y20" s="567"/>
      <c r="Z20" s="567"/>
    </row>
    <row r="21" spans="1:26" ht="16" customHeight="1">
      <c r="A21" s="77"/>
      <c r="B21" s="21" t="s">
        <v>35</v>
      </c>
      <c r="C21" s="86">
        <v>8733</v>
      </c>
      <c r="D21" s="86">
        <v>8763</v>
      </c>
      <c r="E21" s="88">
        <v>62.2</v>
      </c>
      <c r="F21" s="920">
        <v>70.8</v>
      </c>
      <c r="G21" s="920">
        <v>74.8</v>
      </c>
      <c r="H21" s="920">
        <v>73</v>
      </c>
      <c r="I21" s="920">
        <v>90.3</v>
      </c>
      <c r="J21" s="920">
        <v>106.4</v>
      </c>
      <c r="K21" s="920">
        <v>121.3</v>
      </c>
      <c r="L21" s="920">
        <v>129.19999999999999</v>
      </c>
      <c r="M21" s="920">
        <v>139.30000000000001</v>
      </c>
      <c r="N21" s="920">
        <v>145.9</v>
      </c>
      <c r="O21" s="920">
        <v>153.4</v>
      </c>
      <c r="P21" s="920">
        <v>165.7</v>
      </c>
      <c r="Q21" s="920">
        <v>168.941</v>
      </c>
      <c r="R21" s="920">
        <v>163.50700000000001</v>
      </c>
      <c r="S21" s="920">
        <v>167.13800000000001</v>
      </c>
      <c r="T21" s="920">
        <v>174.11500000000001</v>
      </c>
      <c r="U21" s="920">
        <v>162.11500000000001</v>
      </c>
      <c r="V21" s="920">
        <v>162.45400000000001</v>
      </c>
      <c r="X21" s="567"/>
      <c r="Y21" s="567"/>
      <c r="Z21" s="567"/>
    </row>
    <row r="22" spans="1:26" ht="16" customHeight="1">
      <c r="A22" s="77"/>
      <c r="B22" s="21" t="s">
        <v>36</v>
      </c>
      <c r="C22" s="86">
        <v>1355</v>
      </c>
      <c r="D22" s="86">
        <v>1429</v>
      </c>
      <c r="E22" s="88">
        <v>0.1</v>
      </c>
      <c r="F22" s="920">
        <v>0.2</v>
      </c>
      <c r="G22" s="920">
        <v>0.2</v>
      </c>
      <c r="H22" s="920">
        <v>0.2</v>
      </c>
      <c r="I22" s="920">
        <v>0.1</v>
      </c>
      <c r="J22" s="920">
        <v>0.1</v>
      </c>
      <c r="K22" s="920">
        <v>0.2</v>
      </c>
      <c r="L22" s="920">
        <v>0.2</v>
      </c>
      <c r="M22" s="920">
        <v>0.2</v>
      </c>
      <c r="N22" s="920">
        <v>0.2</v>
      </c>
      <c r="O22" s="920">
        <v>0.2</v>
      </c>
      <c r="P22" s="920">
        <v>0.2</v>
      </c>
      <c r="Q22" s="920">
        <v>0.19800000000000001</v>
      </c>
      <c r="R22" s="920">
        <v>0.2</v>
      </c>
      <c r="S22" s="920">
        <v>0.19800000000000001</v>
      </c>
      <c r="T22" s="920">
        <v>0.191</v>
      </c>
      <c r="U22" s="920">
        <v>0.183</v>
      </c>
      <c r="V22" s="920">
        <v>0.18099999999999999</v>
      </c>
      <c r="X22" s="567"/>
      <c r="Y22" s="567"/>
      <c r="Z22" s="567"/>
    </row>
    <row r="23" spans="1:26" ht="16" customHeight="1">
      <c r="A23" s="77"/>
      <c r="B23" s="21" t="s">
        <v>37</v>
      </c>
      <c r="C23" s="86">
        <v>1093</v>
      </c>
      <c r="D23" s="86">
        <v>1071</v>
      </c>
      <c r="E23" s="88">
        <v>8.6999999999999993</v>
      </c>
      <c r="F23" s="920">
        <v>6.2</v>
      </c>
      <c r="G23" s="920">
        <v>7.5</v>
      </c>
      <c r="H23" s="920">
        <v>9.6</v>
      </c>
      <c r="I23" s="920">
        <v>9.6999999999999993</v>
      </c>
      <c r="J23" s="920">
        <v>8.9</v>
      </c>
      <c r="K23" s="920">
        <v>14.8</v>
      </c>
      <c r="L23" s="920">
        <v>16</v>
      </c>
      <c r="M23" s="920">
        <v>24.7</v>
      </c>
      <c r="N23" s="920">
        <v>21.9</v>
      </c>
      <c r="O23" s="920">
        <v>20.6</v>
      </c>
      <c r="P23" s="920">
        <v>20.2</v>
      </c>
      <c r="Q23" s="920">
        <v>20.227</v>
      </c>
      <c r="R23" s="920">
        <v>20.026</v>
      </c>
      <c r="S23" s="920">
        <v>19.859000000000002</v>
      </c>
      <c r="T23" s="920">
        <v>19.292000000000002</v>
      </c>
      <c r="U23" s="920">
        <v>18.513000000000002</v>
      </c>
      <c r="V23" s="920">
        <v>18.18</v>
      </c>
      <c r="X23" s="567"/>
      <c r="Y23" s="567"/>
      <c r="Z23" s="567"/>
    </row>
    <row r="24" spans="1:26" ht="16" customHeight="1">
      <c r="A24" s="77"/>
      <c r="B24" s="21" t="s">
        <v>38</v>
      </c>
      <c r="C24" s="86">
        <v>9405</v>
      </c>
      <c r="D24" s="86">
        <v>8786</v>
      </c>
      <c r="E24" s="88">
        <v>0.6</v>
      </c>
      <c r="F24" s="920">
        <v>0.6</v>
      </c>
      <c r="G24" s="920">
        <v>0.6</v>
      </c>
      <c r="H24" s="920">
        <v>0.6</v>
      </c>
      <c r="I24" s="920">
        <v>0.7</v>
      </c>
      <c r="J24" s="920">
        <v>0.6</v>
      </c>
      <c r="K24" s="920">
        <v>0.7</v>
      </c>
      <c r="L24" s="920">
        <v>0.7</v>
      </c>
      <c r="M24" s="920">
        <v>1</v>
      </c>
      <c r="N24" s="920">
        <v>1</v>
      </c>
      <c r="O24" s="920">
        <v>1.1000000000000001</v>
      </c>
      <c r="P24" s="920">
        <v>1.1000000000000001</v>
      </c>
      <c r="Q24" s="920">
        <v>1.1040000000000001</v>
      </c>
      <c r="R24" s="920">
        <v>1.097</v>
      </c>
      <c r="S24" s="920">
        <v>1.073</v>
      </c>
      <c r="T24" s="920">
        <v>1.0509999999999999</v>
      </c>
      <c r="U24" s="920">
        <v>1.014</v>
      </c>
      <c r="V24" s="920">
        <v>1.03</v>
      </c>
      <c r="X24" s="567"/>
      <c r="Y24" s="567"/>
      <c r="Z24" s="567"/>
    </row>
    <row r="25" spans="1:26" ht="16" customHeight="1">
      <c r="A25" s="77"/>
      <c r="B25" s="21" t="s">
        <v>39</v>
      </c>
      <c r="C25" s="86">
        <v>3879</v>
      </c>
      <c r="D25" s="86">
        <v>4268</v>
      </c>
      <c r="E25" s="88">
        <v>0.5</v>
      </c>
      <c r="F25" s="920">
        <v>0.5</v>
      </c>
      <c r="G25" s="920">
        <v>0.5</v>
      </c>
      <c r="H25" s="920">
        <v>0.5</v>
      </c>
      <c r="I25" s="920">
        <v>0.6</v>
      </c>
      <c r="J25" s="920">
        <v>0.5</v>
      </c>
      <c r="K25" s="920">
        <v>0.5</v>
      </c>
      <c r="L25" s="920">
        <v>0.6</v>
      </c>
      <c r="M25" s="920">
        <v>0.8</v>
      </c>
      <c r="N25" s="920">
        <v>0.8</v>
      </c>
      <c r="O25" s="920">
        <v>0.8</v>
      </c>
      <c r="P25" s="920">
        <v>0.8</v>
      </c>
      <c r="Q25" s="920">
        <v>0.81399999999999995</v>
      </c>
      <c r="R25" s="920">
        <v>0.81299999999999994</v>
      </c>
      <c r="S25" s="920">
        <v>0.79400000000000004</v>
      </c>
      <c r="T25" s="920">
        <v>0.76100000000000001</v>
      </c>
      <c r="U25" s="920">
        <v>0.71199999999999997</v>
      </c>
      <c r="V25" s="920">
        <v>0.69699999999999995</v>
      </c>
      <c r="X25" s="567"/>
      <c r="Y25" s="567"/>
      <c r="Z25" s="567"/>
    </row>
    <row r="26" spans="1:26" ht="16" customHeight="1">
      <c r="A26" s="77"/>
      <c r="B26" s="21" t="s">
        <v>42</v>
      </c>
      <c r="C26" s="86">
        <v>10312</v>
      </c>
      <c r="D26" s="86">
        <v>11894</v>
      </c>
      <c r="E26" s="88">
        <v>2</v>
      </c>
      <c r="F26" s="920">
        <v>1.6</v>
      </c>
      <c r="G26" s="920">
        <v>1.6</v>
      </c>
      <c r="H26" s="920">
        <v>1.8</v>
      </c>
      <c r="I26" s="920">
        <v>2.8</v>
      </c>
      <c r="J26" s="920">
        <v>2.5</v>
      </c>
      <c r="K26" s="920">
        <v>2.5</v>
      </c>
      <c r="L26" s="920">
        <v>3.2</v>
      </c>
      <c r="M26" s="920">
        <v>4.7</v>
      </c>
      <c r="N26" s="920">
        <v>4.4000000000000004</v>
      </c>
      <c r="O26" s="920">
        <v>4.0999999999999996</v>
      </c>
      <c r="P26" s="920">
        <v>3.9</v>
      </c>
      <c r="Q26" s="920">
        <v>4.0579999999999998</v>
      </c>
      <c r="R26" s="920">
        <v>4.0170000000000003</v>
      </c>
      <c r="S26" s="920">
        <v>3.9769999999999999</v>
      </c>
      <c r="T26" s="920">
        <v>3.8610000000000002</v>
      </c>
      <c r="U26" s="920">
        <v>3.6930000000000001</v>
      </c>
      <c r="V26" s="920">
        <v>3.7050000000000001</v>
      </c>
      <c r="X26" s="567"/>
      <c r="Y26" s="567"/>
      <c r="Z26" s="567"/>
    </row>
    <row r="27" spans="1:26" ht="16" customHeight="1">
      <c r="A27" s="77"/>
      <c r="B27" s="21" t="s">
        <v>43</v>
      </c>
      <c r="C27" s="86">
        <v>17230</v>
      </c>
      <c r="D27" s="86">
        <v>17401</v>
      </c>
      <c r="E27" s="88">
        <v>1.7</v>
      </c>
      <c r="F27" s="920">
        <v>1.7</v>
      </c>
      <c r="G27" s="920">
        <v>1.7</v>
      </c>
      <c r="H27" s="920">
        <v>1.7</v>
      </c>
      <c r="I27" s="920">
        <v>1.7</v>
      </c>
      <c r="J27" s="920">
        <v>1.7</v>
      </c>
      <c r="K27" s="920">
        <v>1.7</v>
      </c>
      <c r="L27" s="920">
        <v>1.8</v>
      </c>
      <c r="M27" s="920">
        <v>2.5</v>
      </c>
      <c r="N27" s="920">
        <v>2.5</v>
      </c>
      <c r="O27" s="920">
        <v>2.5</v>
      </c>
      <c r="P27" s="920">
        <v>2.6</v>
      </c>
      <c r="Q27" s="920">
        <v>2.6859999999999999</v>
      </c>
      <c r="R27" s="920">
        <v>2.6840000000000002</v>
      </c>
      <c r="S27" s="920">
        <v>2.6680000000000001</v>
      </c>
      <c r="T27" s="920">
        <v>2.6619999999999999</v>
      </c>
      <c r="U27" s="920">
        <v>2.552</v>
      </c>
      <c r="V27" s="920">
        <v>2.508</v>
      </c>
      <c r="X27" s="567"/>
      <c r="Y27" s="567"/>
      <c r="Z27" s="567"/>
    </row>
    <row r="28" spans="1:26" ht="16" customHeight="1">
      <c r="A28" s="77"/>
      <c r="B28" s="76" t="s">
        <v>44</v>
      </c>
      <c r="C28" s="86">
        <v>4917</v>
      </c>
      <c r="D28" s="86">
        <v>5575</v>
      </c>
      <c r="E28" s="88">
        <v>14</v>
      </c>
      <c r="F28" s="920">
        <v>16</v>
      </c>
      <c r="G28" s="920">
        <v>19.600000000000001</v>
      </c>
      <c r="H28" s="920">
        <v>20</v>
      </c>
      <c r="I28" s="920">
        <v>24.3</v>
      </c>
      <c r="J28" s="920">
        <v>27.7</v>
      </c>
      <c r="K28" s="920">
        <v>27.8</v>
      </c>
      <c r="L28" s="920">
        <v>33.1</v>
      </c>
      <c r="M28" s="920">
        <v>35.200000000000003</v>
      </c>
      <c r="N28" s="920">
        <v>35.799999999999997</v>
      </c>
      <c r="O28" s="920">
        <v>38</v>
      </c>
      <c r="P28" s="920">
        <v>38.9</v>
      </c>
      <c r="Q28" s="920">
        <v>40.420999999999999</v>
      </c>
      <c r="R28" s="920">
        <v>39.499000000000002</v>
      </c>
      <c r="S28" s="920">
        <v>39.481999999999999</v>
      </c>
      <c r="T28" s="920">
        <v>39.408999999999999</v>
      </c>
      <c r="U28" s="920">
        <v>37.615000000000002</v>
      </c>
      <c r="V28" s="920">
        <v>37.82</v>
      </c>
      <c r="X28" s="567"/>
      <c r="Y28" s="567"/>
      <c r="Z28" s="567"/>
    </row>
    <row r="29" spans="1:26" ht="16" customHeight="1">
      <c r="A29" s="77"/>
      <c r="B29" s="21" t="s">
        <v>45</v>
      </c>
      <c r="C29" s="86">
        <v>520</v>
      </c>
      <c r="D29" s="86">
        <v>561</v>
      </c>
      <c r="E29" s="88">
        <v>11.9</v>
      </c>
      <c r="F29" s="920">
        <v>12.9</v>
      </c>
      <c r="G29" s="920">
        <v>20.2</v>
      </c>
      <c r="H29" s="920">
        <v>20.9</v>
      </c>
      <c r="I29" s="920">
        <v>18.399999999999999</v>
      </c>
      <c r="J29" s="920">
        <v>21.6</v>
      </c>
      <c r="K29" s="920">
        <v>21.6</v>
      </c>
      <c r="L29" s="920">
        <v>21.6</v>
      </c>
      <c r="M29" s="920">
        <v>25.6</v>
      </c>
      <c r="N29" s="920">
        <v>23.9</v>
      </c>
      <c r="O29" s="920">
        <v>23.7</v>
      </c>
      <c r="P29" s="920">
        <v>26.1</v>
      </c>
      <c r="Q29" s="920">
        <v>26.873000000000001</v>
      </c>
      <c r="R29" s="920">
        <v>26.128</v>
      </c>
      <c r="S29" s="920">
        <v>26.003</v>
      </c>
      <c r="T29" s="920">
        <v>26.244</v>
      </c>
      <c r="U29" s="920">
        <v>25.393999999999998</v>
      </c>
      <c r="V29" s="920">
        <v>24.983000000000001</v>
      </c>
      <c r="X29" s="567"/>
      <c r="Y29" s="567"/>
      <c r="Z29" s="567"/>
    </row>
    <row r="30" spans="1:26" ht="16" customHeight="1">
      <c r="A30" s="77"/>
      <c r="B30" s="21" t="s">
        <v>46</v>
      </c>
      <c r="C30" s="86">
        <v>1585</v>
      </c>
      <c r="D30" s="86">
        <v>1581</v>
      </c>
      <c r="E30" s="88">
        <v>10.3</v>
      </c>
      <c r="F30" s="920">
        <v>9.8000000000000007</v>
      </c>
      <c r="G30" s="920">
        <v>10.6</v>
      </c>
      <c r="H30" s="920">
        <v>10.1</v>
      </c>
      <c r="I30" s="920">
        <v>11.7</v>
      </c>
      <c r="J30" s="920">
        <v>14.7</v>
      </c>
      <c r="K30" s="920">
        <v>17</v>
      </c>
      <c r="L30" s="920">
        <v>16.7</v>
      </c>
      <c r="M30" s="920">
        <v>18.600000000000001</v>
      </c>
      <c r="N30" s="920">
        <v>10.4</v>
      </c>
      <c r="O30" s="920">
        <v>12</v>
      </c>
      <c r="P30" s="920">
        <v>14.7</v>
      </c>
      <c r="Q30" s="920">
        <v>15.75</v>
      </c>
      <c r="R30" s="920">
        <v>15.241</v>
      </c>
      <c r="S30" s="920">
        <v>15.499000000000001</v>
      </c>
      <c r="T30" s="920">
        <v>15.263</v>
      </c>
      <c r="U30" s="920">
        <v>14.647</v>
      </c>
      <c r="V30" s="920">
        <v>14.538</v>
      </c>
      <c r="X30" s="567"/>
      <c r="Y30" s="567"/>
      <c r="Z30" s="567"/>
    </row>
    <row r="31" spans="1:26" ht="16" customHeight="1">
      <c r="A31" s="77"/>
      <c r="B31" s="21" t="s">
        <v>47</v>
      </c>
      <c r="C31" s="86">
        <v>1093</v>
      </c>
      <c r="D31" s="86">
        <v>1265</v>
      </c>
      <c r="E31" s="88">
        <v>1.7</v>
      </c>
      <c r="F31" s="920">
        <v>2.1</v>
      </c>
      <c r="G31" s="920">
        <v>2.9</v>
      </c>
      <c r="H31" s="920">
        <v>2.9</v>
      </c>
      <c r="I31" s="920">
        <v>3.3</v>
      </c>
      <c r="J31" s="920">
        <v>4.7</v>
      </c>
      <c r="K31" s="920">
        <v>5.6</v>
      </c>
      <c r="L31" s="920">
        <v>5.6</v>
      </c>
      <c r="M31" s="920">
        <v>6.7</v>
      </c>
      <c r="N31" s="920">
        <v>7.4</v>
      </c>
      <c r="O31" s="920">
        <v>8.4</v>
      </c>
      <c r="P31" s="920">
        <v>9.3000000000000007</v>
      </c>
      <c r="Q31" s="920">
        <v>9.7189999999999994</v>
      </c>
      <c r="R31" s="920">
        <v>9.4120000000000008</v>
      </c>
      <c r="S31" s="920">
        <v>9.4909999999999997</v>
      </c>
      <c r="T31" s="920">
        <v>9.4130000000000003</v>
      </c>
      <c r="U31" s="920">
        <v>9.016</v>
      </c>
      <c r="V31" s="920">
        <v>8.8010000000000002</v>
      </c>
      <c r="X31" s="567"/>
      <c r="Y31" s="567"/>
      <c r="Z31" s="567"/>
    </row>
    <row r="32" spans="1:26" ht="5" customHeight="1" thickBot="1">
      <c r="A32" s="8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1:22" ht="9" customHeight="1">
      <c r="A33" s="449" t="s">
        <v>330</v>
      </c>
      <c r="B33" s="451"/>
      <c r="C33" s="469"/>
      <c r="D33" s="469"/>
      <c r="E33" s="469"/>
      <c r="F33" s="469"/>
      <c r="G33" s="469"/>
      <c r="H33" s="469"/>
      <c r="I33" s="198"/>
      <c r="J33" s="198"/>
      <c r="K33" s="198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spans="1:22" ht="9" customHeight="1">
      <c r="A34" s="449" t="s">
        <v>304</v>
      </c>
      <c r="B34" s="451"/>
      <c r="C34" s="469"/>
      <c r="D34" s="469"/>
      <c r="E34" s="469"/>
      <c r="F34" s="469"/>
      <c r="G34" s="469"/>
      <c r="H34" s="470"/>
      <c r="I34" s="205"/>
      <c r="J34" s="205"/>
      <c r="K34" s="205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</row>
    <row r="35" spans="1:22" ht="9" customHeight="1">
      <c r="A35" s="451" t="s">
        <v>303</v>
      </c>
      <c r="B35" s="456"/>
      <c r="C35" s="469"/>
      <c r="D35" s="469"/>
      <c r="E35" s="469"/>
      <c r="F35" s="469"/>
      <c r="G35" s="469"/>
      <c r="H35" s="470"/>
      <c r="I35" s="205"/>
      <c r="J35" s="205"/>
      <c r="K35" s="205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P5:T5" numberStoredAsText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Hoja132">
    <tabColor theme="9" tint="0.59999389629810485"/>
  </sheetPr>
  <dimension ref="A2:X37"/>
  <sheetViews>
    <sheetView showGridLines="0" zoomScaleNormal="100" workbookViewId="0">
      <selection activeCell="D13" sqref="D13:T13"/>
    </sheetView>
  </sheetViews>
  <sheetFormatPr baseColWidth="10" defaultColWidth="7" defaultRowHeight="13.25" customHeight="1"/>
  <cols>
    <col min="1" max="1" width="0.796875" style="76" customWidth="1"/>
    <col min="2" max="2" width="11.59765625" style="76" customWidth="1"/>
    <col min="3" max="3" width="2.3984375" style="76" hidden="1" customWidth="1"/>
    <col min="4" max="20" width="7.19921875" style="76" customWidth="1"/>
    <col min="21" max="22" width="8" style="76" customWidth="1"/>
    <col min="23" max="16384" width="7" style="76"/>
  </cols>
  <sheetData>
    <row r="2" spans="1:24" ht="13.25" customHeight="1">
      <c r="A2" s="201" t="s">
        <v>564</v>
      </c>
      <c r="B2" s="199"/>
      <c r="C2" s="199"/>
      <c r="D2" s="199"/>
      <c r="E2" s="199"/>
      <c r="F2" s="199"/>
      <c r="G2" s="199"/>
      <c r="H2" s="199"/>
      <c r="I2" s="199"/>
      <c r="J2" s="199"/>
    </row>
    <row r="3" spans="1:24" ht="13.25" customHeight="1">
      <c r="A3" s="200" t="s">
        <v>358</v>
      </c>
      <c r="B3" s="200"/>
      <c r="C3" s="199"/>
      <c r="D3" s="199"/>
      <c r="E3" s="199"/>
      <c r="F3" s="199"/>
      <c r="G3" s="199"/>
      <c r="H3" s="199"/>
      <c r="I3" s="199"/>
      <c r="J3" s="199"/>
    </row>
    <row r="4" spans="1:24" ht="6" customHeight="1" thickBo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4" ht="18" customHeight="1">
      <c r="A5" s="1056" t="s">
        <v>16</v>
      </c>
      <c r="B5" s="1056"/>
      <c r="C5" s="775">
        <v>2007</v>
      </c>
      <c r="D5" s="776">
        <v>2008</v>
      </c>
      <c r="E5" s="776">
        <v>2009</v>
      </c>
      <c r="F5" s="776">
        <v>2010</v>
      </c>
      <c r="G5" s="776">
        <v>2011</v>
      </c>
      <c r="H5" s="776">
        <v>2012</v>
      </c>
      <c r="I5" s="776">
        <v>2013</v>
      </c>
      <c r="J5" s="776">
        <v>2014</v>
      </c>
      <c r="K5" s="776">
        <v>2015</v>
      </c>
      <c r="L5" s="776">
        <v>2016</v>
      </c>
      <c r="M5" s="776">
        <v>2017</v>
      </c>
      <c r="N5" s="776" t="s">
        <v>180</v>
      </c>
      <c r="O5" s="776" t="s">
        <v>296</v>
      </c>
      <c r="P5" s="776">
        <v>2020</v>
      </c>
      <c r="Q5" s="776">
        <v>2021</v>
      </c>
      <c r="R5" s="776" t="s">
        <v>385</v>
      </c>
      <c r="S5" s="722">
        <v>2023</v>
      </c>
      <c r="T5" s="722" t="s">
        <v>471</v>
      </c>
    </row>
    <row r="6" spans="1:24" ht="18" customHeight="1">
      <c r="A6" s="1020" t="s">
        <v>93</v>
      </c>
      <c r="B6" s="1020"/>
      <c r="C6" s="925">
        <v>3.63</v>
      </c>
      <c r="D6" s="926">
        <v>4.18</v>
      </c>
      <c r="E6" s="926">
        <v>4.33</v>
      </c>
      <c r="F6" s="926">
        <v>4.6399999999999997</v>
      </c>
      <c r="G6" s="926">
        <v>4.67</v>
      </c>
      <c r="H6" s="926">
        <v>4.7</v>
      </c>
      <c r="I6" s="926">
        <v>4.75</v>
      </c>
      <c r="J6" s="926">
        <v>4.78</v>
      </c>
      <c r="K6" s="926">
        <v>4.82</v>
      </c>
      <c r="L6" s="926">
        <v>4.84</v>
      </c>
      <c r="M6" s="926">
        <v>4.84</v>
      </c>
      <c r="N6" s="926">
        <v>4.8600000000000003</v>
      </c>
      <c r="O6" s="926">
        <v>4.6500000000000004</v>
      </c>
      <c r="P6" s="926">
        <v>5.0199999999999996</v>
      </c>
      <c r="Q6" s="926">
        <v>5.85</v>
      </c>
      <c r="R6" s="926">
        <v>6.33</v>
      </c>
      <c r="S6" s="926">
        <v>6.99</v>
      </c>
      <c r="T6" s="926">
        <v>7.1117354259506538</v>
      </c>
      <c r="U6" s="921"/>
      <c r="V6" s="921"/>
    </row>
    <row r="7" spans="1:24" ht="4.25" customHeight="1">
      <c r="A7" s="77"/>
      <c r="B7" s="78"/>
      <c r="C7" s="79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921"/>
      <c r="V7" s="921"/>
    </row>
    <row r="8" spans="1:24" ht="16" customHeight="1">
      <c r="A8" s="77"/>
      <c r="B8" s="21" t="s">
        <v>19</v>
      </c>
      <c r="C8" s="80">
        <v>3.79</v>
      </c>
      <c r="D8" s="218">
        <v>4.08</v>
      </c>
      <c r="E8" s="218">
        <v>4.21</v>
      </c>
      <c r="F8" s="218">
        <v>4.1100000000000003</v>
      </c>
      <c r="G8" s="218">
        <v>4.1100000000000003</v>
      </c>
      <c r="H8" s="218">
        <v>4.2300000000000004</v>
      </c>
      <c r="I8" s="218">
        <v>4.12</v>
      </c>
      <c r="J8" s="218">
        <v>4.51</v>
      </c>
      <c r="K8" s="218">
        <v>4.95</v>
      </c>
      <c r="L8" s="218">
        <v>4.8600000000000003</v>
      </c>
      <c r="M8" s="218">
        <v>4.6500000000000004</v>
      </c>
      <c r="N8" s="218">
        <v>4.8499999999999996</v>
      </c>
      <c r="O8" s="218">
        <v>4.7699999999999996</v>
      </c>
      <c r="P8" s="218">
        <v>4.93</v>
      </c>
      <c r="Q8" s="218">
        <v>5.35</v>
      </c>
      <c r="R8" s="218">
        <v>5.91</v>
      </c>
      <c r="S8" s="218">
        <v>6.55</v>
      </c>
      <c r="T8" s="218">
        <v>6.6379227236516485</v>
      </c>
      <c r="U8" s="921"/>
      <c r="V8" s="921"/>
      <c r="W8" s="152"/>
      <c r="X8" s="152"/>
    </row>
    <row r="9" spans="1:24" ht="16" customHeight="1">
      <c r="A9" s="77"/>
      <c r="B9" s="21" t="s">
        <v>20</v>
      </c>
      <c r="C9" s="80">
        <v>3.83</v>
      </c>
      <c r="D9" s="218">
        <v>3.87</v>
      </c>
      <c r="E9" s="218">
        <v>4.18</v>
      </c>
      <c r="F9" s="218">
        <v>4.25</v>
      </c>
      <c r="G9" s="218">
        <v>3.84</v>
      </c>
      <c r="H9" s="218">
        <v>4.33</v>
      </c>
      <c r="I9" s="218">
        <v>4.33</v>
      </c>
      <c r="J9" s="218">
        <v>4.59</v>
      </c>
      <c r="K9" s="218">
        <v>5</v>
      </c>
      <c r="L9" s="218">
        <v>4.9400000000000004</v>
      </c>
      <c r="M9" s="218">
        <v>4.83</v>
      </c>
      <c r="N9" s="218">
        <v>4.92</v>
      </c>
      <c r="O9" s="218">
        <v>4.79</v>
      </c>
      <c r="P9" s="218">
        <v>5.14</v>
      </c>
      <c r="Q9" s="218">
        <v>5.79</v>
      </c>
      <c r="R9" s="218">
        <v>6.21</v>
      </c>
      <c r="S9" s="218">
        <v>6.98</v>
      </c>
      <c r="T9" s="218">
        <v>7.1348148921429697</v>
      </c>
      <c r="U9" s="921"/>
      <c r="V9" s="921"/>
      <c r="W9" s="152"/>
      <c r="X9" s="152"/>
    </row>
    <row r="10" spans="1:24" ht="16" customHeight="1">
      <c r="A10" s="77"/>
      <c r="B10" s="21" t="s">
        <v>21</v>
      </c>
      <c r="C10" s="80">
        <v>3.67</v>
      </c>
      <c r="D10" s="218">
        <v>3.92</v>
      </c>
      <c r="E10" s="218">
        <v>4.18</v>
      </c>
      <c r="F10" s="218">
        <v>4.3099999999999996</v>
      </c>
      <c r="G10" s="218">
        <v>4.28</v>
      </c>
      <c r="H10" s="218">
        <v>4.53</v>
      </c>
      <c r="I10" s="218">
        <v>4.58</v>
      </c>
      <c r="J10" s="218">
        <v>4.71</v>
      </c>
      <c r="K10" s="218">
        <v>5.0199999999999996</v>
      </c>
      <c r="L10" s="218">
        <v>4.97</v>
      </c>
      <c r="M10" s="218">
        <v>4.9400000000000004</v>
      </c>
      <c r="N10" s="218">
        <v>4.92</v>
      </c>
      <c r="O10" s="218">
        <v>4.7699999999999996</v>
      </c>
      <c r="P10" s="218">
        <v>5.17</v>
      </c>
      <c r="Q10" s="218">
        <v>5.91</v>
      </c>
      <c r="R10" s="218">
        <v>6.3</v>
      </c>
      <c r="S10" s="218">
        <v>6.99</v>
      </c>
      <c r="T10" s="218">
        <v>7.1341410963599001</v>
      </c>
      <c r="U10" s="921"/>
      <c r="V10" s="921"/>
      <c r="W10" s="152"/>
      <c r="X10" s="152"/>
    </row>
    <row r="11" spans="1:24" ht="16" customHeight="1">
      <c r="A11" s="77"/>
      <c r="B11" s="21" t="s">
        <v>22</v>
      </c>
      <c r="C11" s="81">
        <v>3.97</v>
      </c>
      <c r="D11" s="218">
        <v>4.1500000000000004</v>
      </c>
      <c r="E11" s="218">
        <v>5.03</v>
      </c>
      <c r="F11" s="218">
        <v>4.66</v>
      </c>
      <c r="G11" s="218">
        <v>4.8499999999999996</v>
      </c>
      <c r="H11" s="218">
        <v>4.74</v>
      </c>
      <c r="I11" s="218">
        <v>4.72</v>
      </c>
      <c r="J11" s="218">
        <v>4.74</v>
      </c>
      <c r="K11" s="218">
        <v>5.04</v>
      </c>
      <c r="L11" s="218">
        <v>4.9400000000000004</v>
      </c>
      <c r="M11" s="218">
        <v>4.91</v>
      </c>
      <c r="N11" s="218">
        <v>4.91</v>
      </c>
      <c r="O11" s="218">
        <v>4.75</v>
      </c>
      <c r="P11" s="218">
        <v>5.18</v>
      </c>
      <c r="Q11" s="218">
        <v>5.93</v>
      </c>
      <c r="R11" s="218">
        <v>6.33</v>
      </c>
      <c r="S11" s="218">
        <v>7.09</v>
      </c>
      <c r="T11" s="218">
        <v>7.1590979175680038</v>
      </c>
      <c r="U11" s="921"/>
      <c r="V11" s="921"/>
      <c r="W11" s="152"/>
      <c r="X11" s="152"/>
    </row>
    <row r="12" spans="1:24" ht="16" customHeight="1">
      <c r="A12" s="77"/>
      <c r="B12" s="21" t="s">
        <v>23</v>
      </c>
      <c r="C12" s="80">
        <v>3.71</v>
      </c>
      <c r="D12" s="218">
        <v>3.88</v>
      </c>
      <c r="E12" s="218">
        <v>4.04</v>
      </c>
      <c r="F12" s="218">
        <v>4.7699999999999996</v>
      </c>
      <c r="G12" s="218">
        <v>4.2300000000000004</v>
      </c>
      <c r="H12" s="218">
        <v>4.3499999999999996</v>
      </c>
      <c r="I12" s="218">
        <v>4.5999999999999996</v>
      </c>
      <c r="J12" s="218">
        <v>4.79</v>
      </c>
      <c r="K12" s="218">
        <v>5.0599999999999996</v>
      </c>
      <c r="L12" s="218">
        <v>4.9400000000000004</v>
      </c>
      <c r="M12" s="218">
        <v>4.8600000000000003</v>
      </c>
      <c r="N12" s="218">
        <v>4.87</v>
      </c>
      <c r="O12" s="218">
        <v>4.9000000000000004</v>
      </c>
      <c r="P12" s="218">
        <v>5.29</v>
      </c>
      <c r="Q12" s="218">
        <v>5.91</v>
      </c>
      <c r="R12" s="218">
        <v>6.33</v>
      </c>
      <c r="S12" s="218">
        <v>6.93</v>
      </c>
      <c r="T12" s="218">
        <v>6.9798144689968815</v>
      </c>
      <c r="U12" s="921"/>
      <c r="V12" s="921"/>
      <c r="W12" s="152"/>
      <c r="X12" s="152"/>
    </row>
    <row r="13" spans="1:24" ht="16" customHeight="1">
      <c r="A13" s="77"/>
      <c r="B13" s="21" t="s">
        <v>27</v>
      </c>
      <c r="C13" s="80">
        <v>3.8</v>
      </c>
      <c r="D13" s="218">
        <v>3.96</v>
      </c>
      <c r="E13" s="218">
        <v>4.2</v>
      </c>
      <c r="F13" s="218">
        <v>4.09</v>
      </c>
      <c r="G13" s="218">
        <v>4.38</v>
      </c>
      <c r="H13" s="218">
        <v>4.63</v>
      </c>
      <c r="I13" s="218">
        <v>4.59</v>
      </c>
      <c r="J13" s="218">
        <v>4.8499999999999996</v>
      </c>
      <c r="K13" s="218">
        <v>4.95</v>
      </c>
      <c r="L13" s="218">
        <v>4.91</v>
      </c>
      <c r="M13" s="218">
        <v>4.83</v>
      </c>
      <c r="N13" s="218">
        <v>4.84</v>
      </c>
      <c r="O13" s="218">
        <v>4.84</v>
      </c>
      <c r="P13" s="218">
        <v>5.26</v>
      </c>
      <c r="Q13" s="218">
        <v>5.92</v>
      </c>
      <c r="R13" s="218">
        <v>6.28</v>
      </c>
      <c r="S13" s="218">
        <v>6.99</v>
      </c>
      <c r="T13" s="218">
        <v>7.1195145601672563</v>
      </c>
      <c r="U13" s="921"/>
      <c r="V13" s="921"/>
      <c r="W13" s="152"/>
      <c r="X13" s="152"/>
    </row>
    <row r="14" spans="1:24" ht="16" customHeight="1">
      <c r="A14" s="77"/>
      <c r="B14" s="21" t="s">
        <v>28</v>
      </c>
      <c r="C14" s="81">
        <v>3.63</v>
      </c>
      <c r="D14" s="218">
        <v>3.74</v>
      </c>
      <c r="E14" s="218">
        <v>4.46</v>
      </c>
      <c r="F14" s="218">
        <v>4.32</v>
      </c>
      <c r="G14" s="218">
        <v>4.3899999999999997</v>
      </c>
      <c r="H14" s="218">
        <v>4.66</v>
      </c>
      <c r="I14" s="218">
        <v>4.71</v>
      </c>
      <c r="J14" s="218">
        <v>4.99</v>
      </c>
      <c r="K14" s="218">
        <v>5.08</v>
      </c>
      <c r="L14" s="218">
        <v>4.91</v>
      </c>
      <c r="M14" s="218">
        <v>4.76</v>
      </c>
      <c r="N14" s="218">
        <v>4.8099999999999996</v>
      </c>
      <c r="O14" s="218">
        <v>4.76</v>
      </c>
      <c r="P14" s="218">
        <v>5.15</v>
      </c>
      <c r="Q14" s="218">
        <v>5.95</v>
      </c>
      <c r="R14" s="218">
        <v>6.26</v>
      </c>
      <c r="S14" s="218">
        <v>6.92</v>
      </c>
      <c r="T14" s="218">
        <v>7.0458743047697086</v>
      </c>
      <c r="U14" s="921"/>
      <c r="V14" s="921"/>
      <c r="W14" s="152"/>
      <c r="X14" s="152"/>
    </row>
    <row r="15" spans="1:24" ht="16" customHeight="1">
      <c r="A15" s="77"/>
      <c r="B15" s="21" t="s">
        <v>29</v>
      </c>
      <c r="C15" s="81">
        <v>3.5</v>
      </c>
      <c r="D15" s="218">
        <v>4.25</v>
      </c>
      <c r="E15" s="218">
        <v>4.04</v>
      </c>
      <c r="F15" s="218">
        <v>4.71</v>
      </c>
      <c r="G15" s="218">
        <v>4.7</v>
      </c>
      <c r="H15" s="218">
        <v>4.6500000000000004</v>
      </c>
      <c r="I15" s="218">
        <v>4.7</v>
      </c>
      <c r="J15" s="218">
        <v>4.7</v>
      </c>
      <c r="K15" s="218">
        <v>4.8499999999999996</v>
      </c>
      <c r="L15" s="218">
        <v>4.8</v>
      </c>
      <c r="M15" s="218">
        <v>4.83</v>
      </c>
      <c r="N15" s="218">
        <v>4.8600000000000003</v>
      </c>
      <c r="O15" s="218">
        <v>4.55</v>
      </c>
      <c r="P15" s="218">
        <v>4.8499999999999996</v>
      </c>
      <c r="Q15" s="218">
        <v>5.78</v>
      </c>
      <c r="R15" s="218">
        <v>6.39</v>
      </c>
      <c r="S15" s="218">
        <v>7.02</v>
      </c>
      <c r="T15" s="218">
        <v>7.1466897839317429</v>
      </c>
      <c r="U15" s="921"/>
      <c r="V15" s="921"/>
      <c r="W15" s="152"/>
      <c r="X15" s="152"/>
    </row>
    <row r="16" spans="1:24" ht="16" customHeight="1">
      <c r="A16" s="77"/>
      <c r="B16" s="21" t="s">
        <v>30</v>
      </c>
      <c r="C16" s="80">
        <v>3.85</v>
      </c>
      <c r="D16" s="218">
        <v>4.3099999999999996</v>
      </c>
      <c r="E16" s="218">
        <v>4.26</v>
      </c>
      <c r="F16" s="218">
        <v>4.66</v>
      </c>
      <c r="G16" s="218">
        <v>4.6100000000000003</v>
      </c>
      <c r="H16" s="218">
        <v>4.67</v>
      </c>
      <c r="I16" s="218">
        <v>4.6399999999999997</v>
      </c>
      <c r="J16" s="218">
        <v>4.79</v>
      </c>
      <c r="K16" s="218">
        <v>4.9000000000000004</v>
      </c>
      <c r="L16" s="218">
        <v>4.8600000000000003</v>
      </c>
      <c r="M16" s="218">
        <v>4.79</v>
      </c>
      <c r="N16" s="218">
        <v>4.74</v>
      </c>
      <c r="O16" s="218">
        <v>4.5999999999999996</v>
      </c>
      <c r="P16" s="218">
        <v>4.91</v>
      </c>
      <c r="Q16" s="218">
        <v>6.38</v>
      </c>
      <c r="R16" s="218">
        <v>6.11</v>
      </c>
      <c r="S16" s="218">
        <v>6.73</v>
      </c>
      <c r="T16" s="218">
        <v>6.848998701529645</v>
      </c>
      <c r="U16" s="921"/>
      <c r="V16" s="921"/>
      <c r="W16" s="152"/>
      <c r="X16" s="152"/>
    </row>
    <row r="17" spans="1:24" ht="16" customHeight="1">
      <c r="A17" s="77"/>
      <c r="B17" s="21" t="s">
        <v>31</v>
      </c>
      <c r="C17" s="80">
        <v>3.66</v>
      </c>
      <c r="D17" s="218">
        <v>3.9</v>
      </c>
      <c r="E17" s="218">
        <v>4.13</v>
      </c>
      <c r="F17" s="218">
        <v>4.08</v>
      </c>
      <c r="G17" s="218">
        <v>4.55</v>
      </c>
      <c r="H17" s="218">
        <v>4.55</v>
      </c>
      <c r="I17" s="218">
        <v>4.6100000000000003</v>
      </c>
      <c r="J17" s="218">
        <v>4.99</v>
      </c>
      <c r="K17" s="218">
        <v>5.0199999999999996</v>
      </c>
      <c r="L17" s="218">
        <v>4.8899999999999997</v>
      </c>
      <c r="M17" s="218">
        <v>4.8</v>
      </c>
      <c r="N17" s="218">
        <v>4.8099999999999996</v>
      </c>
      <c r="O17" s="218">
        <v>4.87</v>
      </c>
      <c r="P17" s="218">
        <v>5.4</v>
      </c>
      <c r="Q17" s="218">
        <v>5.95</v>
      </c>
      <c r="R17" s="218">
        <v>6.34</v>
      </c>
      <c r="S17" s="218">
        <v>6.88</v>
      </c>
      <c r="T17" s="218">
        <v>6.7008868002245645</v>
      </c>
      <c r="U17" s="921"/>
      <c r="V17" s="921"/>
      <c r="W17" s="152"/>
      <c r="X17" s="152"/>
    </row>
    <row r="18" spans="1:24" ht="16" customHeight="1">
      <c r="A18" s="77"/>
      <c r="B18" s="21" t="s">
        <v>32</v>
      </c>
      <c r="C18" s="81">
        <v>3.87</v>
      </c>
      <c r="D18" s="218">
        <v>3.84</v>
      </c>
      <c r="E18" s="218">
        <v>3.94</v>
      </c>
      <c r="F18" s="218">
        <v>4.04</v>
      </c>
      <c r="G18" s="218">
        <v>4.3600000000000003</v>
      </c>
      <c r="H18" s="218">
        <v>4.51</v>
      </c>
      <c r="I18" s="218">
        <v>4.54</v>
      </c>
      <c r="J18" s="218">
        <v>4.9000000000000004</v>
      </c>
      <c r="K18" s="218">
        <v>5</v>
      </c>
      <c r="L18" s="218">
        <v>4.92</v>
      </c>
      <c r="M18" s="218">
        <v>4.8099999999999996</v>
      </c>
      <c r="N18" s="218">
        <v>4.8600000000000003</v>
      </c>
      <c r="O18" s="218">
        <v>4.95</v>
      </c>
      <c r="P18" s="218">
        <v>5.48</v>
      </c>
      <c r="Q18" s="218">
        <v>5.85</v>
      </c>
      <c r="R18" s="218">
        <v>6.21</v>
      </c>
      <c r="S18" s="218">
        <v>6.94</v>
      </c>
      <c r="T18" s="218">
        <v>6.5085468457160385</v>
      </c>
      <c r="U18" s="921"/>
      <c r="V18" s="921"/>
      <c r="W18" s="152"/>
      <c r="X18" s="152"/>
    </row>
    <row r="19" spans="1:24" ht="16" customHeight="1">
      <c r="A19" s="77"/>
      <c r="B19" s="21" t="s">
        <v>33</v>
      </c>
      <c r="C19" s="81">
        <v>3.82</v>
      </c>
      <c r="D19" s="218">
        <v>3.93</v>
      </c>
      <c r="E19" s="218">
        <v>4.1100000000000003</v>
      </c>
      <c r="F19" s="218">
        <v>4.66</v>
      </c>
      <c r="G19" s="218">
        <v>4.58</v>
      </c>
      <c r="H19" s="218">
        <v>4.79</v>
      </c>
      <c r="I19" s="218">
        <v>4.71</v>
      </c>
      <c r="J19" s="218">
        <v>5.0999999999999996</v>
      </c>
      <c r="K19" s="218">
        <v>5.13</v>
      </c>
      <c r="L19" s="218">
        <v>4.96</v>
      </c>
      <c r="M19" s="218">
        <v>4.79</v>
      </c>
      <c r="N19" s="218">
        <v>4.88</v>
      </c>
      <c r="O19" s="218">
        <v>4.95</v>
      </c>
      <c r="P19" s="218">
        <v>5.41</v>
      </c>
      <c r="Q19" s="218">
        <v>5.89</v>
      </c>
      <c r="R19" s="218">
        <v>6.25</v>
      </c>
      <c r="S19" s="218">
        <v>6.97</v>
      </c>
      <c r="T19" s="218">
        <v>7.0116222975818063</v>
      </c>
      <c r="U19" s="921"/>
      <c r="V19" s="921"/>
      <c r="W19" s="152"/>
      <c r="X19" s="152"/>
    </row>
    <row r="20" spans="1:24" ht="16" customHeight="1">
      <c r="A20" s="77"/>
      <c r="B20" s="21" t="s">
        <v>34</v>
      </c>
      <c r="C20" s="81">
        <v>3.92</v>
      </c>
      <c r="D20" s="218">
        <v>3.88</v>
      </c>
      <c r="E20" s="218">
        <v>4.21</v>
      </c>
      <c r="F20" s="218">
        <v>4.09</v>
      </c>
      <c r="G20" s="218">
        <v>4.4000000000000004</v>
      </c>
      <c r="H20" s="218">
        <v>4.55</v>
      </c>
      <c r="I20" s="218">
        <v>4.62</v>
      </c>
      <c r="J20" s="218">
        <v>4.91</v>
      </c>
      <c r="K20" s="218">
        <v>5.09</v>
      </c>
      <c r="L20" s="218">
        <v>4.95</v>
      </c>
      <c r="M20" s="218">
        <v>4.66</v>
      </c>
      <c r="N20" s="218">
        <v>4.7300000000000004</v>
      </c>
      <c r="O20" s="218">
        <v>4.87</v>
      </c>
      <c r="P20" s="218">
        <v>5.37</v>
      </c>
      <c r="Q20" s="218">
        <v>5.71</v>
      </c>
      <c r="R20" s="218">
        <v>6.72</v>
      </c>
      <c r="S20" s="218">
        <v>6.92</v>
      </c>
      <c r="T20" s="218">
        <v>6.4138627092202318</v>
      </c>
      <c r="U20" s="921"/>
      <c r="V20" s="921"/>
      <c r="W20" s="152"/>
      <c r="X20" s="152"/>
    </row>
    <row r="21" spans="1:24" ht="16" customHeight="1">
      <c r="A21" s="77"/>
      <c r="B21" s="21" t="s">
        <v>35</v>
      </c>
      <c r="C21" s="81">
        <v>3.41</v>
      </c>
      <c r="D21" s="218">
        <v>4</v>
      </c>
      <c r="E21" s="218">
        <v>4.79</v>
      </c>
      <c r="F21" s="218">
        <v>4.41</v>
      </c>
      <c r="G21" s="218">
        <v>4.25</v>
      </c>
      <c r="H21" s="218">
        <v>4.62</v>
      </c>
      <c r="I21" s="218">
        <v>4.72</v>
      </c>
      <c r="J21" s="218">
        <v>4.74</v>
      </c>
      <c r="K21" s="218">
        <v>4.82</v>
      </c>
      <c r="L21" s="218">
        <v>4.96</v>
      </c>
      <c r="M21" s="218">
        <v>4.93</v>
      </c>
      <c r="N21" s="218">
        <v>4.9400000000000004</v>
      </c>
      <c r="O21" s="218">
        <v>4.76</v>
      </c>
      <c r="P21" s="218">
        <v>5.31</v>
      </c>
      <c r="Q21" s="218">
        <v>5.8</v>
      </c>
      <c r="R21" s="218">
        <v>6.32</v>
      </c>
      <c r="S21" s="218">
        <v>6.92</v>
      </c>
      <c r="T21" s="218">
        <v>7.0449857532653253</v>
      </c>
      <c r="U21" s="921"/>
      <c r="V21" s="921"/>
      <c r="W21" s="152"/>
      <c r="X21" s="152"/>
    </row>
    <row r="22" spans="1:24" ht="16" customHeight="1">
      <c r="A22" s="77"/>
      <c r="B22" s="21" t="s">
        <v>36</v>
      </c>
      <c r="C22" s="81">
        <v>3.6</v>
      </c>
      <c r="D22" s="218">
        <v>3.86</v>
      </c>
      <c r="E22" s="218">
        <v>4.2300000000000004</v>
      </c>
      <c r="F22" s="218">
        <v>4.16</v>
      </c>
      <c r="G22" s="218">
        <v>4.13</v>
      </c>
      <c r="H22" s="218">
        <v>4.53</v>
      </c>
      <c r="I22" s="218">
        <v>4.7</v>
      </c>
      <c r="J22" s="218">
        <v>4.57</v>
      </c>
      <c r="K22" s="218">
        <v>4.82</v>
      </c>
      <c r="L22" s="218">
        <v>4.82</v>
      </c>
      <c r="M22" s="218">
        <v>4.74</v>
      </c>
      <c r="N22" s="218">
        <v>4.8499999999999996</v>
      </c>
      <c r="O22" s="218">
        <v>4.9400000000000004</v>
      </c>
      <c r="P22" s="218">
        <v>5.41</v>
      </c>
      <c r="Q22" s="218">
        <v>5.79</v>
      </c>
      <c r="R22" s="218">
        <v>5.64</v>
      </c>
      <c r="S22" s="218">
        <v>6.17</v>
      </c>
      <c r="T22" s="218">
        <v>6.5374500425065465</v>
      </c>
      <c r="U22" s="921"/>
      <c r="V22" s="921"/>
      <c r="W22" s="152"/>
      <c r="X22" s="152"/>
    </row>
    <row r="23" spans="1:24" ht="16" customHeight="1">
      <c r="A23" s="77"/>
      <c r="B23" s="21" t="s">
        <v>37</v>
      </c>
      <c r="C23" s="81">
        <v>3.54</v>
      </c>
      <c r="D23" s="218">
        <v>3.93</v>
      </c>
      <c r="E23" s="218">
        <v>4.46</v>
      </c>
      <c r="F23" s="218">
        <v>4.3099999999999996</v>
      </c>
      <c r="G23" s="218">
        <v>4.38</v>
      </c>
      <c r="H23" s="218">
        <v>4.68</v>
      </c>
      <c r="I23" s="218">
        <v>4.7300000000000004</v>
      </c>
      <c r="J23" s="218">
        <v>5.03</v>
      </c>
      <c r="K23" s="218">
        <v>5.12</v>
      </c>
      <c r="L23" s="218">
        <v>4.96</v>
      </c>
      <c r="M23" s="218">
        <v>4.8</v>
      </c>
      <c r="N23" s="218">
        <v>4.88</v>
      </c>
      <c r="O23" s="218">
        <v>4.87</v>
      </c>
      <c r="P23" s="218">
        <v>5.31</v>
      </c>
      <c r="Q23" s="218">
        <v>5.78</v>
      </c>
      <c r="R23" s="218">
        <v>6.04</v>
      </c>
      <c r="S23" s="218">
        <v>6.49</v>
      </c>
      <c r="T23" s="218">
        <v>6.6342596373491141</v>
      </c>
      <c r="U23" s="921"/>
      <c r="V23" s="921"/>
      <c r="W23" s="152"/>
      <c r="X23" s="152"/>
    </row>
    <row r="24" spans="1:24" ht="16" customHeight="1">
      <c r="A24" s="77"/>
      <c r="B24" s="21" t="s">
        <v>38</v>
      </c>
      <c r="C24" s="81">
        <v>3.71</v>
      </c>
      <c r="D24" s="218">
        <v>3.91</v>
      </c>
      <c r="E24" s="218">
        <v>4.24</v>
      </c>
      <c r="F24" s="218">
        <v>4.4400000000000004</v>
      </c>
      <c r="G24" s="218">
        <v>4.58</v>
      </c>
      <c r="H24" s="218">
        <v>4.87</v>
      </c>
      <c r="I24" s="218">
        <v>4.68</v>
      </c>
      <c r="J24" s="218">
        <v>5.1100000000000003</v>
      </c>
      <c r="K24" s="218">
        <v>5.3</v>
      </c>
      <c r="L24" s="218">
        <v>5</v>
      </c>
      <c r="M24" s="218">
        <v>4.82</v>
      </c>
      <c r="N24" s="218">
        <v>4.87</v>
      </c>
      <c r="O24" s="218">
        <v>4.8600000000000003</v>
      </c>
      <c r="P24" s="218">
        <v>5.4</v>
      </c>
      <c r="Q24" s="218">
        <v>5.67</v>
      </c>
      <c r="R24" s="218">
        <v>5.92</v>
      </c>
      <c r="S24" s="218">
        <v>6.59</v>
      </c>
      <c r="T24" s="218">
        <v>6.6140411057804878</v>
      </c>
      <c r="U24" s="921"/>
      <c r="V24" s="921"/>
      <c r="W24" s="152"/>
      <c r="X24" s="152"/>
    </row>
    <row r="25" spans="1:24" ht="16" customHeight="1">
      <c r="A25" s="77"/>
      <c r="B25" s="21" t="s">
        <v>39</v>
      </c>
      <c r="C25" s="81">
        <v>3.61</v>
      </c>
      <c r="D25" s="218">
        <v>3.82</v>
      </c>
      <c r="E25" s="218">
        <v>4.18</v>
      </c>
      <c r="F25" s="218">
        <v>4.12</v>
      </c>
      <c r="G25" s="218">
        <v>4.6500000000000004</v>
      </c>
      <c r="H25" s="218">
        <v>4.9400000000000004</v>
      </c>
      <c r="I25" s="218">
        <v>4.79</v>
      </c>
      <c r="J25" s="218">
        <v>5.0599999999999996</v>
      </c>
      <c r="K25" s="218">
        <v>4.93</v>
      </c>
      <c r="L25" s="218">
        <v>4.8600000000000003</v>
      </c>
      <c r="M25" s="218">
        <v>4.75</v>
      </c>
      <c r="N25" s="218">
        <v>4.84</v>
      </c>
      <c r="O25" s="218">
        <v>4.97</v>
      </c>
      <c r="P25" s="218">
        <v>5.4</v>
      </c>
      <c r="Q25" s="218">
        <v>5.83</v>
      </c>
      <c r="R25" s="218">
        <v>6.15</v>
      </c>
      <c r="S25" s="218">
        <v>6.55</v>
      </c>
      <c r="T25" s="218">
        <v>6.6293998235900613</v>
      </c>
      <c r="U25" s="921"/>
      <c r="V25" s="921"/>
      <c r="W25" s="152"/>
      <c r="X25" s="152"/>
    </row>
    <row r="26" spans="1:24" ht="16" customHeight="1">
      <c r="A26" s="77"/>
      <c r="B26" s="21" t="s">
        <v>42</v>
      </c>
      <c r="C26" s="81">
        <v>3.68</v>
      </c>
      <c r="D26" s="218">
        <v>3.86</v>
      </c>
      <c r="E26" s="218">
        <v>4.3</v>
      </c>
      <c r="F26" s="218">
        <v>4.53</v>
      </c>
      <c r="G26" s="218">
        <v>5.44</v>
      </c>
      <c r="H26" s="218">
        <v>5.13</v>
      </c>
      <c r="I26" s="218">
        <v>4.79</v>
      </c>
      <c r="J26" s="218">
        <v>5.07</v>
      </c>
      <c r="K26" s="218">
        <v>5.43</v>
      </c>
      <c r="L26" s="218">
        <v>5.31</v>
      </c>
      <c r="M26" s="218">
        <v>4.9400000000000004</v>
      </c>
      <c r="N26" s="218">
        <v>4.9400000000000004</v>
      </c>
      <c r="O26" s="218">
        <v>4.8899999999999997</v>
      </c>
      <c r="P26" s="218">
        <v>5.5</v>
      </c>
      <c r="Q26" s="218">
        <v>5.87</v>
      </c>
      <c r="R26" s="218">
        <v>6.3</v>
      </c>
      <c r="S26" s="218">
        <v>7.02</v>
      </c>
      <c r="T26" s="218">
        <v>6.9988834257871924</v>
      </c>
      <c r="U26" s="921"/>
      <c r="V26" s="921"/>
      <c r="W26" s="152"/>
      <c r="X26" s="152"/>
    </row>
    <row r="27" spans="1:24" ht="16" customHeight="1">
      <c r="A27" s="77"/>
      <c r="B27" s="21" t="s">
        <v>43</v>
      </c>
      <c r="C27" s="80">
        <v>3.64</v>
      </c>
      <c r="D27" s="218">
        <v>3.87</v>
      </c>
      <c r="E27" s="218">
        <v>4.1399999999999997</v>
      </c>
      <c r="F27" s="218">
        <v>4.3600000000000003</v>
      </c>
      <c r="G27" s="218">
        <v>4.8</v>
      </c>
      <c r="H27" s="218">
        <v>4.91</v>
      </c>
      <c r="I27" s="218">
        <v>4.9800000000000004</v>
      </c>
      <c r="J27" s="218">
        <v>5.19</v>
      </c>
      <c r="K27" s="218">
        <v>5.26</v>
      </c>
      <c r="L27" s="218">
        <v>5.14</v>
      </c>
      <c r="M27" s="218">
        <v>4.9000000000000004</v>
      </c>
      <c r="N27" s="218">
        <v>4.8899999999999997</v>
      </c>
      <c r="O27" s="218">
        <v>4.9800000000000004</v>
      </c>
      <c r="P27" s="218">
        <v>5.43</v>
      </c>
      <c r="Q27" s="218">
        <v>5.84</v>
      </c>
      <c r="R27" s="218">
        <v>6.21</v>
      </c>
      <c r="S27" s="218">
        <v>6.88</v>
      </c>
      <c r="T27" s="218">
        <v>6.9483193784598001</v>
      </c>
      <c r="U27" s="921"/>
      <c r="V27" s="921"/>
      <c r="W27" s="152"/>
      <c r="X27" s="152"/>
    </row>
    <row r="28" spans="1:24" ht="16" customHeight="1">
      <c r="A28" s="77"/>
      <c r="B28" s="76" t="s">
        <v>44</v>
      </c>
      <c r="C28" s="80">
        <v>3.39</v>
      </c>
      <c r="D28" s="218">
        <v>3.84</v>
      </c>
      <c r="E28" s="218">
        <v>4.1399999999999997</v>
      </c>
      <c r="F28" s="218">
        <v>4.3499999999999996</v>
      </c>
      <c r="G28" s="218">
        <v>5.04</v>
      </c>
      <c r="H28" s="218">
        <v>5.4</v>
      </c>
      <c r="I28" s="218">
        <v>5.16</v>
      </c>
      <c r="J28" s="218">
        <v>5.3</v>
      </c>
      <c r="K28" s="218">
        <v>5.37</v>
      </c>
      <c r="L28" s="218">
        <v>5.48</v>
      </c>
      <c r="M28" s="218">
        <v>4.95</v>
      </c>
      <c r="N28" s="218">
        <v>4.9400000000000004</v>
      </c>
      <c r="O28" s="218">
        <v>4.8099999999999996</v>
      </c>
      <c r="P28" s="218">
        <v>5.45</v>
      </c>
      <c r="Q28" s="218">
        <v>5.86</v>
      </c>
      <c r="R28" s="218">
        <v>6.24</v>
      </c>
      <c r="S28" s="218">
        <v>6.9</v>
      </c>
      <c r="T28" s="218">
        <v>7.0263326275668518</v>
      </c>
      <c r="U28" s="921"/>
      <c r="V28" s="921"/>
      <c r="W28" s="152"/>
      <c r="X28" s="152"/>
    </row>
    <row r="29" spans="1:24" ht="16" customHeight="1">
      <c r="A29" s="77"/>
      <c r="B29" s="21" t="s">
        <v>45</v>
      </c>
      <c r="C29" s="80">
        <v>4.29</v>
      </c>
      <c r="D29" s="218">
        <v>4.25</v>
      </c>
      <c r="E29" s="218">
        <v>4.57</v>
      </c>
      <c r="F29" s="218">
        <v>4.46</v>
      </c>
      <c r="G29" s="218">
        <v>4.8499999999999996</v>
      </c>
      <c r="H29" s="218">
        <v>5.26</v>
      </c>
      <c r="I29" s="218">
        <v>6.61</v>
      </c>
      <c r="J29" s="218">
        <v>5.55</v>
      </c>
      <c r="K29" s="218">
        <v>5.5</v>
      </c>
      <c r="L29" s="218">
        <v>5.56</v>
      </c>
      <c r="M29" s="218">
        <v>5.09</v>
      </c>
      <c r="N29" s="218">
        <v>5.07</v>
      </c>
      <c r="O29" s="218">
        <v>5.03</v>
      </c>
      <c r="P29" s="218">
        <v>5.5</v>
      </c>
      <c r="Q29" s="218">
        <v>5.88</v>
      </c>
      <c r="R29" s="218">
        <v>6.27</v>
      </c>
      <c r="S29" s="218">
        <v>7.08</v>
      </c>
      <c r="T29" s="218">
        <v>7.237597514493733</v>
      </c>
      <c r="U29" s="921"/>
      <c r="V29" s="921"/>
      <c r="W29" s="152"/>
      <c r="X29" s="152"/>
    </row>
    <row r="30" spans="1:24" ht="16" customHeight="1">
      <c r="A30" s="77"/>
      <c r="B30" s="21" t="s">
        <v>46</v>
      </c>
      <c r="C30" s="80">
        <v>4.1500000000000004</v>
      </c>
      <c r="D30" s="218">
        <v>4.38</v>
      </c>
      <c r="E30" s="218">
        <v>4.54</v>
      </c>
      <c r="F30" s="218">
        <v>4.55</v>
      </c>
      <c r="G30" s="218">
        <v>4.82</v>
      </c>
      <c r="H30" s="218">
        <v>5.16</v>
      </c>
      <c r="I30" s="218">
        <v>5.37</v>
      </c>
      <c r="J30" s="218">
        <v>5.67</v>
      </c>
      <c r="K30" s="218">
        <v>5.54</v>
      </c>
      <c r="L30" s="218">
        <v>5.6</v>
      </c>
      <c r="M30" s="218">
        <v>5.0999999999999996</v>
      </c>
      <c r="N30" s="218">
        <v>5.1100000000000003</v>
      </c>
      <c r="O30" s="218">
        <v>5.05</v>
      </c>
      <c r="P30" s="218">
        <v>5.47</v>
      </c>
      <c r="Q30" s="218">
        <v>5.87</v>
      </c>
      <c r="R30" s="218">
        <v>6.22</v>
      </c>
      <c r="S30" s="218">
        <v>6.99</v>
      </c>
      <c r="T30" s="218">
        <v>7.1198274749443895</v>
      </c>
      <c r="U30" s="921"/>
      <c r="V30" s="921"/>
      <c r="W30" s="152"/>
      <c r="X30" s="152"/>
    </row>
    <row r="31" spans="1:24" ht="16" customHeight="1">
      <c r="A31" s="77"/>
      <c r="B31" s="21" t="s">
        <v>47</v>
      </c>
      <c r="C31" s="80">
        <v>4.28</v>
      </c>
      <c r="D31" s="218">
        <v>4.09</v>
      </c>
      <c r="E31" s="218">
        <v>4.59</v>
      </c>
      <c r="F31" s="218">
        <v>4.6100000000000003</v>
      </c>
      <c r="G31" s="218">
        <v>4.95</v>
      </c>
      <c r="H31" s="218">
        <v>5.14</v>
      </c>
      <c r="I31" s="218">
        <v>5.36</v>
      </c>
      <c r="J31" s="218">
        <v>5.64</v>
      </c>
      <c r="K31" s="218">
        <v>5.57</v>
      </c>
      <c r="L31" s="218">
        <v>5.54</v>
      </c>
      <c r="M31" s="218">
        <v>5.14</v>
      </c>
      <c r="N31" s="218">
        <v>5.14</v>
      </c>
      <c r="O31" s="218">
        <v>5.1100000000000003</v>
      </c>
      <c r="P31" s="218">
        <v>5.54</v>
      </c>
      <c r="Q31" s="218">
        <v>5.83</v>
      </c>
      <c r="R31" s="218">
        <v>6.2</v>
      </c>
      <c r="S31" s="218">
        <v>6.98</v>
      </c>
      <c r="T31" s="218">
        <v>7.1095728893199031</v>
      </c>
      <c r="U31" s="921"/>
      <c r="V31" s="921"/>
      <c r="W31" s="152"/>
      <c r="X31" s="152"/>
    </row>
    <row r="32" spans="1:24" ht="4.25" customHeight="1" thickBot="1">
      <c r="A32" s="82"/>
      <c r="B32" s="36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</row>
    <row r="33" spans="1:20" ht="9" customHeight="1">
      <c r="A33" s="449" t="s">
        <v>330</v>
      </c>
      <c r="B33" s="451"/>
      <c r="C33" s="469"/>
      <c r="D33" s="469"/>
      <c r="E33" s="469"/>
      <c r="F33" s="469"/>
      <c r="G33" s="469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</row>
    <row r="34" spans="1:20" ht="9" customHeight="1">
      <c r="A34" s="449" t="s">
        <v>304</v>
      </c>
      <c r="B34" s="451"/>
      <c r="C34" s="469"/>
      <c r="D34" s="469"/>
      <c r="E34" s="469"/>
      <c r="F34" s="470"/>
      <c r="G34" s="470"/>
      <c r="H34" s="78"/>
      <c r="I34" s="78"/>
      <c r="J34" s="78"/>
      <c r="K34" s="78"/>
      <c r="L34" s="78"/>
      <c r="M34" s="78"/>
    </row>
    <row r="35" spans="1:20" ht="9" customHeight="1">
      <c r="A35" s="451" t="s">
        <v>303</v>
      </c>
      <c r="B35" s="456"/>
      <c r="C35" s="469"/>
      <c r="D35" s="469"/>
      <c r="E35" s="469"/>
      <c r="F35" s="470"/>
      <c r="G35" s="470"/>
      <c r="H35" s="78"/>
      <c r="I35" s="78"/>
      <c r="J35" s="78"/>
      <c r="K35" s="78"/>
      <c r="L35" s="78"/>
      <c r="M35" s="78"/>
    </row>
    <row r="37" spans="1:20" ht="13.25" customHeight="1"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N5:R5" numberStoredAsText="1"/>
  </ignoredError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Hoja133">
    <tabColor theme="9" tint="0.59999389629810485"/>
  </sheetPr>
  <dimension ref="A2:U36"/>
  <sheetViews>
    <sheetView showGridLines="0" zoomScaleNormal="100" workbookViewId="0">
      <selection activeCell="M13" sqref="M13"/>
    </sheetView>
  </sheetViews>
  <sheetFormatPr baseColWidth="10" defaultColWidth="7" defaultRowHeight="13.25" customHeight="1"/>
  <cols>
    <col min="1" max="1" width="0.796875" style="76" customWidth="1"/>
    <col min="2" max="2" width="10.3984375" style="76" customWidth="1"/>
    <col min="3" max="3" width="8" style="76" hidden="1" customWidth="1"/>
    <col min="4" max="20" width="7.3984375" style="76" customWidth="1"/>
    <col min="21" max="21" width="8" style="76" customWidth="1"/>
    <col min="22" max="16384" width="7" style="76"/>
  </cols>
  <sheetData>
    <row r="2" spans="1:21" ht="13.25" customHeight="1">
      <c r="A2" s="210" t="s">
        <v>563</v>
      </c>
      <c r="B2" s="211"/>
      <c r="C2" s="211"/>
      <c r="D2" s="211"/>
      <c r="E2" s="211"/>
      <c r="F2" s="211"/>
      <c r="G2" s="211"/>
      <c r="H2" s="211"/>
      <c r="I2" s="211"/>
      <c r="J2" s="211"/>
    </row>
    <row r="3" spans="1:21" ht="13.25" customHeight="1">
      <c r="A3" s="212" t="s">
        <v>282</v>
      </c>
      <c r="B3" s="212"/>
      <c r="C3" s="211"/>
      <c r="D3" s="211"/>
      <c r="E3" s="211"/>
      <c r="F3" s="211"/>
      <c r="G3" s="211"/>
      <c r="H3" s="211"/>
      <c r="I3" s="211"/>
      <c r="J3" s="211"/>
    </row>
    <row r="4" spans="1:21" ht="6" customHeight="1" thickBo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1" ht="18" customHeight="1">
      <c r="A5" s="1057" t="s">
        <v>16</v>
      </c>
      <c r="B5" s="1057"/>
      <c r="C5" s="777">
        <v>2007</v>
      </c>
      <c r="D5" s="778">
        <v>2008</v>
      </c>
      <c r="E5" s="778">
        <v>2009</v>
      </c>
      <c r="F5" s="778">
        <v>2010</v>
      </c>
      <c r="G5" s="778">
        <v>2011</v>
      </c>
      <c r="H5" s="778">
        <v>2012</v>
      </c>
      <c r="I5" s="778">
        <v>2013</v>
      </c>
      <c r="J5" s="778">
        <v>2014</v>
      </c>
      <c r="K5" s="778">
        <v>2015</v>
      </c>
      <c r="L5" s="778">
        <v>2016</v>
      </c>
      <c r="M5" s="778">
        <v>2017</v>
      </c>
      <c r="N5" s="778" t="s">
        <v>180</v>
      </c>
      <c r="O5" s="778" t="s">
        <v>296</v>
      </c>
      <c r="P5" s="778">
        <v>2020</v>
      </c>
      <c r="Q5" s="778">
        <v>2021</v>
      </c>
      <c r="R5" s="778" t="s">
        <v>385</v>
      </c>
      <c r="S5" s="722">
        <v>2023</v>
      </c>
      <c r="T5" s="722" t="s">
        <v>471</v>
      </c>
    </row>
    <row r="6" spans="1:21" ht="18" customHeight="1">
      <c r="A6" s="1055" t="s">
        <v>93</v>
      </c>
      <c r="B6" s="1055"/>
      <c r="C6" s="918">
        <v>16572.3</v>
      </c>
      <c r="D6" s="924">
        <v>17048.7</v>
      </c>
      <c r="E6" s="924">
        <v>17206.400000000001</v>
      </c>
      <c r="F6" s="924">
        <v>18156.7</v>
      </c>
      <c r="G6" s="924">
        <v>19950.7</v>
      </c>
      <c r="H6" s="924">
        <v>19846.400000000001</v>
      </c>
      <c r="I6" s="924">
        <v>21805.599999999999</v>
      </c>
      <c r="J6" s="924">
        <v>22353.3</v>
      </c>
      <c r="K6" s="924">
        <v>23883.3</v>
      </c>
      <c r="L6" s="924">
        <v>24752.1</v>
      </c>
      <c r="M6" s="924">
        <v>25559.8</v>
      </c>
      <c r="N6" s="924">
        <v>27705.7</v>
      </c>
      <c r="O6" s="923">
        <f t="shared" ref="O6:T6" si="0">SUM(O8:O31)</f>
        <v>29468.986999999994</v>
      </c>
      <c r="P6" s="923">
        <f t="shared" si="0"/>
        <v>29325.847000000005</v>
      </c>
      <c r="Q6" s="923">
        <f t="shared" si="0"/>
        <v>28938.924999999999</v>
      </c>
      <c r="R6" s="923">
        <f t="shared" si="0"/>
        <v>29494.58</v>
      </c>
      <c r="S6" s="923">
        <f t="shared" si="0"/>
        <v>28261.111000000004</v>
      </c>
      <c r="T6" s="923">
        <f t="shared" si="0"/>
        <v>27770.625000000004</v>
      </c>
      <c r="U6" s="921"/>
    </row>
    <row r="7" spans="1:21" ht="4.25" customHeight="1">
      <c r="A7" s="77"/>
      <c r="B7" s="78"/>
      <c r="C7" s="85"/>
      <c r="D7" s="922"/>
      <c r="E7" s="922"/>
      <c r="F7" s="922"/>
      <c r="G7" s="922"/>
      <c r="H7" s="922"/>
      <c r="I7" s="922"/>
      <c r="J7" s="922"/>
      <c r="K7" s="922"/>
      <c r="L7" s="922"/>
      <c r="M7" s="922"/>
      <c r="N7" s="922"/>
      <c r="O7" s="922"/>
      <c r="P7" s="922"/>
      <c r="Q7" s="922"/>
      <c r="R7" s="922"/>
      <c r="S7" s="922"/>
      <c r="T7" s="922"/>
      <c r="U7" s="921"/>
    </row>
    <row r="8" spans="1:21" ht="16" customHeight="1">
      <c r="A8" s="77"/>
      <c r="B8" s="21" t="s">
        <v>19</v>
      </c>
      <c r="C8" s="88">
        <v>13.5</v>
      </c>
      <c r="D8" s="920">
        <v>13.6</v>
      </c>
      <c r="E8" s="920">
        <v>13.6</v>
      </c>
      <c r="F8" s="920">
        <v>13.8</v>
      </c>
      <c r="G8" s="920">
        <v>13.9</v>
      </c>
      <c r="H8" s="920">
        <v>14.1</v>
      </c>
      <c r="I8" s="920">
        <v>14.2</v>
      </c>
      <c r="J8" s="920">
        <v>14.6</v>
      </c>
      <c r="K8" s="920">
        <v>15</v>
      </c>
      <c r="L8" s="920">
        <v>16.100000000000001</v>
      </c>
      <c r="M8" s="920">
        <v>17.8</v>
      </c>
      <c r="N8" s="920">
        <v>15</v>
      </c>
      <c r="O8" s="920">
        <v>15.503</v>
      </c>
      <c r="P8" s="920">
        <v>15.260999999999999</v>
      </c>
      <c r="Q8" s="920">
        <v>11.313000000000001</v>
      </c>
      <c r="R8" s="920">
        <v>12.593</v>
      </c>
      <c r="S8" s="920">
        <v>6.3979999999999997</v>
      </c>
      <c r="T8" s="920">
        <v>6.9550000000000001</v>
      </c>
      <c r="U8" s="921"/>
    </row>
    <row r="9" spans="1:21" ht="16" customHeight="1">
      <c r="A9" s="77"/>
      <c r="B9" s="21" t="s">
        <v>20</v>
      </c>
      <c r="C9" s="88">
        <v>352.9</v>
      </c>
      <c r="D9" s="920">
        <v>373</v>
      </c>
      <c r="E9" s="920">
        <v>330.1</v>
      </c>
      <c r="F9" s="920">
        <v>226</v>
      </c>
      <c r="G9" s="920">
        <v>286.39999999999998</v>
      </c>
      <c r="H9" s="920">
        <v>380.6</v>
      </c>
      <c r="I9" s="920">
        <v>321</v>
      </c>
      <c r="J9" s="920">
        <v>337.9</v>
      </c>
      <c r="K9" s="920">
        <v>402.2</v>
      </c>
      <c r="L9" s="920">
        <v>390.6</v>
      </c>
      <c r="M9" s="920">
        <v>359.4</v>
      </c>
      <c r="N9" s="920">
        <v>373.4</v>
      </c>
      <c r="O9" s="920">
        <v>394.72899999999998</v>
      </c>
      <c r="P9" s="920">
        <v>391.27300000000002</v>
      </c>
      <c r="Q9" s="920">
        <v>391.49599999999998</v>
      </c>
      <c r="R9" s="920">
        <v>373.40300000000002</v>
      </c>
      <c r="S9" s="920">
        <v>313.95100000000002</v>
      </c>
      <c r="T9" s="920">
        <v>340.57799999999997</v>
      </c>
      <c r="U9" s="921"/>
    </row>
    <row r="10" spans="1:21" ht="16" customHeight="1">
      <c r="A10" s="77"/>
      <c r="B10" s="21" t="s">
        <v>21</v>
      </c>
      <c r="C10" s="88">
        <v>429.6</v>
      </c>
      <c r="D10" s="920">
        <v>464.2</v>
      </c>
      <c r="E10" s="920">
        <v>532.70000000000005</v>
      </c>
      <c r="F10" s="920">
        <v>809.7</v>
      </c>
      <c r="G10" s="920">
        <v>1011.5</v>
      </c>
      <c r="H10" s="920">
        <v>744.6</v>
      </c>
      <c r="I10" s="920">
        <v>796.6</v>
      </c>
      <c r="J10" s="920">
        <v>609.20000000000005</v>
      </c>
      <c r="K10" s="920">
        <v>502.7</v>
      </c>
      <c r="L10" s="920">
        <v>460.5</v>
      </c>
      <c r="M10" s="920">
        <v>469.9</v>
      </c>
      <c r="N10" s="920">
        <v>470.6</v>
      </c>
      <c r="O10" s="920">
        <v>498.47199999999998</v>
      </c>
      <c r="P10" s="920">
        <v>499.45600000000002</v>
      </c>
      <c r="Q10" s="920">
        <v>453.90100000000001</v>
      </c>
      <c r="R10" s="920">
        <v>435.49</v>
      </c>
      <c r="S10" s="920">
        <v>426.13299999999998</v>
      </c>
      <c r="T10" s="920">
        <v>433.92500000000001</v>
      </c>
      <c r="U10" s="921"/>
    </row>
    <row r="11" spans="1:21" ht="16" customHeight="1">
      <c r="A11" s="77"/>
      <c r="B11" s="21" t="s">
        <v>22</v>
      </c>
      <c r="C11" s="88">
        <v>2528.1</v>
      </c>
      <c r="D11" s="920">
        <v>3170.4</v>
      </c>
      <c r="E11" s="920">
        <v>3070</v>
      </c>
      <c r="F11" s="920">
        <v>3050</v>
      </c>
      <c r="G11" s="920">
        <v>3079.9</v>
      </c>
      <c r="H11" s="920">
        <v>2983</v>
      </c>
      <c r="I11" s="920">
        <v>3529.2</v>
      </c>
      <c r="J11" s="920">
        <v>3415.5</v>
      </c>
      <c r="K11" s="920">
        <v>4056</v>
      </c>
      <c r="L11" s="920">
        <v>4066.5</v>
      </c>
      <c r="M11" s="920">
        <v>3960.6</v>
      </c>
      <c r="N11" s="920">
        <v>4415.8999999999996</v>
      </c>
      <c r="O11" s="920">
        <v>4838.79</v>
      </c>
      <c r="P11" s="920">
        <v>4899.576</v>
      </c>
      <c r="Q11" s="920">
        <v>4766.95</v>
      </c>
      <c r="R11" s="920">
        <v>4832.616</v>
      </c>
      <c r="S11" s="920">
        <v>4786.6279999999997</v>
      </c>
      <c r="T11" s="920">
        <v>4660.3130000000001</v>
      </c>
      <c r="U11" s="921"/>
    </row>
    <row r="12" spans="1:21" ht="16" customHeight="1">
      <c r="A12" s="77"/>
      <c r="B12" s="21" t="s">
        <v>23</v>
      </c>
      <c r="C12" s="88">
        <v>380.6</v>
      </c>
      <c r="D12" s="920">
        <v>360.1</v>
      </c>
      <c r="E12" s="920">
        <v>363.5</v>
      </c>
      <c r="F12" s="920">
        <v>372.2</v>
      </c>
      <c r="G12" s="920">
        <v>386.1</v>
      </c>
      <c r="H12" s="920">
        <v>421.1</v>
      </c>
      <c r="I12" s="920">
        <v>422.3</v>
      </c>
      <c r="J12" s="920">
        <v>415.2</v>
      </c>
      <c r="K12" s="920">
        <v>417.8</v>
      </c>
      <c r="L12" s="920">
        <v>428.8</v>
      </c>
      <c r="M12" s="920">
        <v>408</v>
      </c>
      <c r="N12" s="920">
        <v>413.8</v>
      </c>
      <c r="O12" s="920">
        <v>429.01</v>
      </c>
      <c r="P12" s="920">
        <v>425.47199999999998</v>
      </c>
      <c r="Q12" s="920">
        <v>411.01100000000002</v>
      </c>
      <c r="R12" s="920">
        <v>401.613</v>
      </c>
      <c r="S12" s="920">
        <v>202.18799999999999</v>
      </c>
      <c r="T12" s="920">
        <v>219.67400000000001</v>
      </c>
      <c r="U12" s="921"/>
    </row>
    <row r="13" spans="1:21" ht="16" customHeight="1">
      <c r="A13" s="77"/>
      <c r="B13" s="21" t="s">
        <v>27</v>
      </c>
      <c r="C13" s="88">
        <v>75.5</v>
      </c>
      <c r="D13" s="920">
        <v>75.900000000000006</v>
      </c>
      <c r="E13" s="920">
        <v>76.3</v>
      </c>
      <c r="F13" s="920">
        <v>77</v>
      </c>
      <c r="G13" s="920">
        <v>77.8</v>
      </c>
      <c r="H13" s="920">
        <v>98.4</v>
      </c>
      <c r="I13" s="920">
        <v>114.4</v>
      </c>
      <c r="J13" s="920">
        <v>91.4</v>
      </c>
      <c r="K13" s="920">
        <v>86.7</v>
      </c>
      <c r="L13" s="920">
        <v>105.7</v>
      </c>
      <c r="M13" s="920">
        <v>111.7</v>
      </c>
      <c r="N13" s="920">
        <v>143.5</v>
      </c>
      <c r="O13" s="920">
        <v>137.75299999999999</v>
      </c>
      <c r="P13" s="920">
        <v>129.17699999999999</v>
      </c>
      <c r="Q13" s="920">
        <v>129.59299999999999</v>
      </c>
      <c r="R13" s="920">
        <v>127.83799999999999</v>
      </c>
      <c r="S13" s="920">
        <v>89.4</v>
      </c>
      <c r="T13" s="920">
        <v>110.12</v>
      </c>
      <c r="U13" s="921"/>
    </row>
    <row r="14" spans="1:21" ht="16" customHeight="1">
      <c r="A14" s="77"/>
      <c r="B14" s="21" t="s">
        <v>28</v>
      </c>
      <c r="C14" s="88">
        <v>262.39999999999998</v>
      </c>
      <c r="D14" s="920">
        <v>293.89999999999998</v>
      </c>
      <c r="E14" s="920">
        <v>338</v>
      </c>
      <c r="F14" s="920">
        <v>603.5</v>
      </c>
      <c r="G14" s="920">
        <v>546.4</v>
      </c>
      <c r="H14" s="920">
        <v>281.3</v>
      </c>
      <c r="I14" s="920">
        <v>265.8</v>
      </c>
      <c r="J14" s="920">
        <v>198</v>
      </c>
      <c r="K14" s="920">
        <v>192.1</v>
      </c>
      <c r="L14" s="920">
        <v>195.2</v>
      </c>
      <c r="M14" s="920">
        <v>197.9</v>
      </c>
      <c r="N14" s="920">
        <v>201.1</v>
      </c>
      <c r="O14" s="920">
        <v>206.001</v>
      </c>
      <c r="P14" s="920">
        <v>207.27500000000001</v>
      </c>
      <c r="Q14" s="920">
        <v>207.4</v>
      </c>
      <c r="R14" s="920">
        <v>200.928</v>
      </c>
      <c r="S14" s="920">
        <v>150.48099999999999</v>
      </c>
      <c r="T14" s="920">
        <v>108.196</v>
      </c>
      <c r="U14" s="921"/>
    </row>
    <row r="15" spans="1:21" ht="16" customHeight="1">
      <c r="A15" s="77"/>
      <c r="B15" s="21" t="s">
        <v>29</v>
      </c>
      <c r="C15" s="88">
        <v>4749.5</v>
      </c>
      <c r="D15" s="920">
        <v>4605.5</v>
      </c>
      <c r="E15" s="920">
        <v>4332.5</v>
      </c>
      <c r="F15" s="920">
        <v>4096.3</v>
      </c>
      <c r="G15" s="920">
        <v>5452.2</v>
      </c>
      <c r="H15" s="920">
        <v>5265.5</v>
      </c>
      <c r="I15" s="920">
        <v>5941.7</v>
      </c>
      <c r="J15" s="920">
        <v>6304.8</v>
      </c>
      <c r="K15" s="920">
        <v>6242.4</v>
      </c>
      <c r="L15" s="920">
        <v>5956.7</v>
      </c>
      <c r="M15" s="920">
        <v>6673.7</v>
      </c>
      <c r="N15" s="920">
        <v>7076.9</v>
      </c>
      <c r="O15" s="920">
        <v>7383.0510000000004</v>
      </c>
      <c r="P15" s="920">
        <v>7463.067</v>
      </c>
      <c r="Q15" s="920">
        <v>7647.6090000000004</v>
      </c>
      <c r="R15" s="920">
        <v>7901.6559999999999</v>
      </c>
      <c r="S15" s="920">
        <v>7571.6620000000003</v>
      </c>
      <c r="T15" s="920">
        <v>7581.8370000000004</v>
      </c>
      <c r="U15" s="921"/>
    </row>
    <row r="16" spans="1:21" ht="16" customHeight="1">
      <c r="A16" s="77"/>
      <c r="B16" s="21" t="s">
        <v>30</v>
      </c>
      <c r="C16" s="88">
        <v>4557</v>
      </c>
      <c r="D16" s="920">
        <v>4375.8999999999996</v>
      </c>
      <c r="E16" s="920">
        <v>4705.8</v>
      </c>
      <c r="F16" s="920">
        <v>4964.1000000000004</v>
      </c>
      <c r="G16" s="920">
        <v>5015.7</v>
      </c>
      <c r="H16" s="920">
        <v>5738.5</v>
      </c>
      <c r="I16" s="920">
        <v>6436.2</v>
      </c>
      <c r="J16" s="920">
        <v>7183.4</v>
      </c>
      <c r="K16" s="920">
        <v>7925.5</v>
      </c>
      <c r="L16" s="920">
        <v>8904.7999999999993</v>
      </c>
      <c r="M16" s="920">
        <v>9208.5</v>
      </c>
      <c r="N16" s="920">
        <v>10108.4</v>
      </c>
      <c r="O16" s="920">
        <v>10940.573</v>
      </c>
      <c r="P16" s="920">
        <v>10644.513000000001</v>
      </c>
      <c r="Q16" s="920">
        <v>10336.665999999999</v>
      </c>
      <c r="R16" s="920">
        <v>10866.393</v>
      </c>
      <c r="S16" s="920">
        <v>11181.755999999999</v>
      </c>
      <c r="T16" s="920">
        <v>10857.565000000001</v>
      </c>
      <c r="U16" s="921"/>
    </row>
    <row r="17" spans="1:21" ht="16" customHeight="1">
      <c r="A17" s="77"/>
      <c r="B17" s="21" t="s">
        <v>31</v>
      </c>
      <c r="C17" s="88">
        <v>157</v>
      </c>
      <c r="D17" s="920">
        <v>155.69999999999999</v>
      </c>
      <c r="E17" s="920">
        <v>155.4</v>
      </c>
      <c r="F17" s="920">
        <v>156.80000000000001</v>
      </c>
      <c r="G17" s="920">
        <v>158.4</v>
      </c>
      <c r="H17" s="920">
        <v>164.2</v>
      </c>
      <c r="I17" s="920">
        <v>180</v>
      </c>
      <c r="J17" s="920">
        <v>188.6</v>
      </c>
      <c r="K17" s="920">
        <v>179.4</v>
      </c>
      <c r="L17" s="920">
        <v>189.3</v>
      </c>
      <c r="M17" s="920">
        <v>190.1</v>
      </c>
      <c r="N17" s="920">
        <v>199.2</v>
      </c>
      <c r="O17" s="920">
        <v>202.67599999999999</v>
      </c>
      <c r="P17" s="920">
        <v>199.02</v>
      </c>
      <c r="Q17" s="920">
        <v>180.00800000000001</v>
      </c>
      <c r="R17" s="920">
        <v>171.809</v>
      </c>
      <c r="S17" s="920">
        <v>112.732</v>
      </c>
      <c r="T17" s="920">
        <v>103.95</v>
      </c>
      <c r="U17" s="921"/>
    </row>
    <row r="18" spans="1:21" ht="16" customHeight="1">
      <c r="A18" s="77"/>
      <c r="B18" s="21" t="s">
        <v>32</v>
      </c>
      <c r="C18" s="88">
        <v>34.5</v>
      </c>
      <c r="D18" s="920">
        <v>34.6</v>
      </c>
      <c r="E18" s="920">
        <v>34.799999999999997</v>
      </c>
      <c r="F18" s="920">
        <v>35.200000000000003</v>
      </c>
      <c r="G18" s="920">
        <v>35.5</v>
      </c>
      <c r="H18" s="920">
        <v>35.9</v>
      </c>
      <c r="I18" s="920">
        <v>36.6</v>
      </c>
      <c r="J18" s="920">
        <v>36.700000000000003</v>
      </c>
      <c r="K18" s="920">
        <v>36.9</v>
      </c>
      <c r="L18" s="920">
        <v>37.4</v>
      </c>
      <c r="M18" s="920">
        <v>36.9</v>
      </c>
      <c r="N18" s="920">
        <v>37.799999999999997</v>
      </c>
      <c r="O18" s="920">
        <v>38.808999999999997</v>
      </c>
      <c r="P18" s="920">
        <v>37.311</v>
      </c>
      <c r="Q18" s="920">
        <v>34.994</v>
      </c>
      <c r="R18" s="920">
        <v>32.811999999999998</v>
      </c>
      <c r="S18" s="920">
        <v>14.045999999999999</v>
      </c>
      <c r="T18" s="920">
        <v>12.789</v>
      </c>
      <c r="U18" s="921"/>
    </row>
    <row r="19" spans="1:21" ht="16" customHeight="1">
      <c r="A19" s="77"/>
      <c r="B19" s="21" t="s">
        <v>33</v>
      </c>
      <c r="C19" s="88">
        <v>136.9</v>
      </c>
      <c r="D19" s="920">
        <v>138.1</v>
      </c>
      <c r="E19" s="920">
        <v>134.69999999999999</v>
      </c>
      <c r="F19" s="920">
        <v>136.6</v>
      </c>
      <c r="G19" s="920">
        <v>149.5</v>
      </c>
      <c r="H19" s="920">
        <v>168.2</v>
      </c>
      <c r="I19" s="920">
        <v>178</v>
      </c>
      <c r="J19" s="920">
        <v>168.4</v>
      </c>
      <c r="K19" s="920">
        <v>191.6</v>
      </c>
      <c r="L19" s="920">
        <v>183.3</v>
      </c>
      <c r="M19" s="920">
        <v>167.2</v>
      </c>
      <c r="N19" s="920">
        <v>169.9</v>
      </c>
      <c r="O19" s="920">
        <v>170.10300000000001</v>
      </c>
      <c r="P19" s="920">
        <v>166.68100000000001</v>
      </c>
      <c r="Q19" s="920">
        <v>159.119</v>
      </c>
      <c r="R19" s="920">
        <v>132.42099999999999</v>
      </c>
      <c r="S19" s="920">
        <v>86.472999999999999</v>
      </c>
      <c r="T19" s="920">
        <v>100.34399999999999</v>
      </c>
      <c r="U19" s="921"/>
    </row>
    <row r="20" spans="1:21" ht="16" customHeight="1">
      <c r="A20" s="77"/>
      <c r="B20" s="21" t="s">
        <v>34</v>
      </c>
      <c r="C20" s="88">
        <v>127.9</v>
      </c>
      <c r="D20" s="920">
        <v>128.6</v>
      </c>
      <c r="E20" s="920">
        <v>129.19999999999999</v>
      </c>
      <c r="F20" s="920">
        <v>130.5</v>
      </c>
      <c r="G20" s="920">
        <v>131.80000000000001</v>
      </c>
      <c r="H20" s="920">
        <v>133.1</v>
      </c>
      <c r="I20" s="920">
        <v>134.4</v>
      </c>
      <c r="J20" s="920">
        <v>135.19999999999999</v>
      </c>
      <c r="K20" s="920">
        <v>135.19999999999999</v>
      </c>
      <c r="L20" s="920">
        <v>137.80000000000001</v>
      </c>
      <c r="M20" s="920">
        <v>139.9</v>
      </c>
      <c r="N20" s="920">
        <v>140.1</v>
      </c>
      <c r="O20" s="920">
        <v>142.81800000000001</v>
      </c>
      <c r="P20" s="920">
        <v>142.65100000000001</v>
      </c>
      <c r="Q20" s="920">
        <v>141.565</v>
      </c>
      <c r="R20" s="920">
        <v>135.40600000000001</v>
      </c>
      <c r="S20" s="920">
        <v>54.968000000000004</v>
      </c>
      <c r="T20" s="920">
        <v>51.603000000000002</v>
      </c>
      <c r="U20" s="921"/>
    </row>
    <row r="21" spans="1:21" ht="16" customHeight="1">
      <c r="A21" s="77"/>
      <c r="B21" s="21" t="s">
        <v>35</v>
      </c>
      <c r="C21" s="88">
        <v>411</v>
      </c>
      <c r="D21" s="920">
        <v>437.1</v>
      </c>
      <c r="E21" s="920">
        <v>555.70000000000005</v>
      </c>
      <c r="F21" s="920">
        <v>831.2</v>
      </c>
      <c r="G21" s="920">
        <v>839.4</v>
      </c>
      <c r="H21" s="920">
        <v>654.70000000000005</v>
      </c>
      <c r="I21" s="920">
        <v>523.6</v>
      </c>
      <c r="J21" s="920">
        <v>658.8</v>
      </c>
      <c r="K21" s="920">
        <v>732.2</v>
      </c>
      <c r="L21" s="920">
        <v>747.3</v>
      </c>
      <c r="M21" s="920">
        <v>675.7</v>
      </c>
      <c r="N21" s="920">
        <v>973.3</v>
      </c>
      <c r="O21" s="920">
        <v>1050.3340000000001</v>
      </c>
      <c r="P21" s="920">
        <v>1068.9079999999999</v>
      </c>
      <c r="Q21" s="920">
        <v>1088.5070000000001</v>
      </c>
      <c r="R21" s="920">
        <v>1154.7940000000001</v>
      </c>
      <c r="S21" s="920">
        <v>1136.32</v>
      </c>
      <c r="T21" s="920">
        <v>1083.7049999999999</v>
      </c>
      <c r="U21" s="921"/>
    </row>
    <row r="22" spans="1:21" ht="16" customHeight="1">
      <c r="A22" s="77"/>
      <c r="B22" s="21" t="s">
        <v>36</v>
      </c>
      <c r="C22" s="88">
        <v>43</v>
      </c>
      <c r="D22" s="920">
        <v>42.9</v>
      </c>
      <c r="E22" s="920">
        <v>31.7</v>
      </c>
      <c r="F22" s="920">
        <v>56.3</v>
      </c>
      <c r="G22" s="920">
        <v>45.3</v>
      </c>
      <c r="H22" s="920">
        <v>42.9</v>
      </c>
      <c r="I22" s="920">
        <v>57.2</v>
      </c>
      <c r="J22" s="920">
        <v>62.9</v>
      </c>
      <c r="K22" s="920">
        <v>51.2</v>
      </c>
      <c r="L22" s="920">
        <v>27.7</v>
      </c>
      <c r="M22" s="920">
        <v>25.3</v>
      </c>
      <c r="N22" s="920">
        <v>35</v>
      </c>
      <c r="O22" s="920">
        <v>33.14</v>
      </c>
      <c r="P22" s="920">
        <v>32.127000000000002</v>
      </c>
      <c r="Q22" s="920">
        <v>31.481999999999999</v>
      </c>
      <c r="R22" s="920">
        <v>32.011000000000003</v>
      </c>
      <c r="S22" s="920">
        <v>23.448</v>
      </c>
      <c r="T22" s="920">
        <v>18.489000000000001</v>
      </c>
      <c r="U22" s="921"/>
    </row>
    <row r="23" spans="1:21" ht="16" customHeight="1">
      <c r="A23" s="77"/>
      <c r="B23" s="21" t="s">
        <v>37</v>
      </c>
      <c r="C23" s="88">
        <v>183.9</v>
      </c>
      <c r="D23" s="920">
        <v>193.1</v>
      </c>
      <c r="E23" s="920">
        <v>219.5</v>
      </c>
      <c r="F23" s="920">
        <v>289.2</v>
      </c>
      <c r="G23" s="920">
        <v>305</v>
      </c>
      <c r="H23" s="920">
        <v>266.39999999999998</v>
      </c>
      <c r="I23" s="920">
        <v>272.10000000000002</v>
      </c>
      <c r="J23" s="920">
        <v>231.2</v>
      </c>
      <c r="K23" s="920">
        <v>282.2</v>
      </c>
      <c r="L23" s="920">
        <v>327.5</v>
      </c>
      <c r="M23" s="920">
        <v>308.7</v>
      </c>
      <c r="N23" s="920">
        <v>321.89999999999998</v>
      </c>
      <c r="O23" s="920">
        <v>333.26799999999997</v>
      </c>
      <c r="P23" s="920">
        <v>332.79899999999998</v>
      </c>
      <c r="Q23" s="920">
        <v>323.053</v>
      </c>
      <c r="R23" s="920">
        <v>311.57499999999999</v>
      </c>
      <c r="S23" s="920">
        <v>304.858</v>
      </c>
      <c r="T23" s="920">
        <v>299.72000000000003</v>
      </c>
      <c r="U23" s="921"/>
    </row>
    <row r="24" spans="1:21" ht="16" customHeight="1">
      <c r="A24" s="77"/>
      <c r="B24" s="21" t="s">
        <v>38</v>
      </c>
      <c r="C24" s="88">
        <v>137.69999999999999</v>
      </c>
      <c r="D24" s="920">
        <v>137.9</v>
      </c>
      <c r="E24" s="920">
        <v>138.6</v>
      </c>
      <c r="F24" s="920">
        <v>140</v>
      </c>
      <c r="G24" s="920">
        <v>141.5</v>
      </c>
      <c r="H24" s="920">
        <v>146.9</v>
      </c>
      <c r="I24" s="920">
        <v>148.69999999999999</v>
      </c>
      <c r="J24" s="920">
        <v>151.19999999999999</v>
      </c>
      <c r="K24" s="920">
        <v>151</v>
      </c>
      <c r="L24" s="920">
        <v>166</v>
      </c>
      <c r="M24" s="920">
        <v>160</v>
      </c>
      <c r="N24" s="920">
        <v>161.30000000000001</v>
      </c>
      <c r="O24" s="920">
        <v>162.89099999999999</v>
      </c>
      <c r="P24" s="920">
        <v>160.71600000000001</v>
      </c>
      <c r="Q24" s="920">
        <v>157.65299999999999</v>
      </c>
      <c r="R24" s="920">
        <v>117.762</v>
      </c>
      <c r="S24" s="920">
        <v>62.406999999999996</v>
      </c>
      <c r="T24" s="920">
        <v>68.655000000000001</v>
      </c>
      <c r="U24" s="921"/>
    </row>
    <row r="25" spans="1:21" ht="16" customHeight="1">
      <c r="A25" s="77"/>
      <c r="B25" s="21" t="s">
        <v>39</v>
      </c>
      <c r="C25" s="88">
        <v>102.9</v>
      </c>
      <c r="D25" s="920">
        <v>103.1</v>
      </c>
      <c r="E25" s="920">
        <v>103.6</v>
      </c>
      <c r="F25" s="920">
        <v>104.6</v>
      </c>
      <c r="G25" s="920">
        <v>106.8</v>
      </c>
      <c r="H25" s="920">
        <v>118.6</v>
      </c>
      <c r="I25" s="920">
        <v>131.69999999999999</v>
      </c>
      <c r="J25" s="920">
        <v>114.3</v>
      </c>
      <c r="K25" s="920">
        <v>111.6</v>
      </c>
      <c r="L25" s="920">
        <v>111.6</v>
      </c>
      <c r="M25" s="920">
        <v>112.3</v>
      </c>
      <c r="N25" s="920">
        <v>112.3</v>
      </c>
      <c r="O25" s="920">
        <v>114.81</v>
      </c>
      <c r="P25" s="920">
        <v>114.09099999999999</v>
      </c>
      <c r="Q25" s="920">
        <v>106.379</v>
      </c>
      <c r="R25" s="920">
        <v>100.11799999999999</v>
      </c>
      <c r="S25" s="920">
        <v>43.862000000000002</v>
      </c>
      <c r="T25" s="920">
        <v>40.505000000000003</v>
      </c>
      <c r="U25" s="921"/>
    </row>
    <row r="26" spans="1:21" ht="16" customHeight="1">
      <c r="A26" s="77"/>
      <c r="B26" s="21" t="s">
        <v>42</v>
      </c>
      <c r="C26" s="88">
        <v>246.4</v>
      </c>
      <c r="D26" s="920">
        <v>219.4</v>
      </c>
      <c r="E26" s="920">
        <v>215.3</v>
      </c>
      <c r="F26" s="920">
        <v>217.5</v>
      </c>
      <c r="G26" s="920">
        <v>224.1</v>
      </c>
      <c r="H26" s="920">
        <v>244.7</v>
      </c>
      <c r="I26" s="920">
        <v>267</v>
      </c>
      <c r="J26" s="920">
        <v>257.3</v>
      </c>
      <c r="K26" s="920">
        <v>269</v>
      </c>
      <c r="L26" s="920">
        <v>269.10000000000002</v>
      </c>
      <c r="M26" s="920">
        <v>249.1</v>
      </c>
      <c r="N26" s="920">
        <v>243.9</v>
      </c>
      <c r="O26" s="920">
        <v>247.387</v>
      </c>
      <c r="P26" s="920">
        <v>237.565</v>
      </c>
      <c r="Q26" s="920">
        <v>228.92099999999999</v>
      </c>
      <c r="R26" s="920">
        <v>251.61799999999999</v>
      </c>
      <c r="S26" s="920">
        <v>66.266999999999996</v>
      </c>
      <c r="T26" s="920">
        <v>70.174000000000007</v>
      </c>
      <c r="U26" s="921"/>
    </row>
    <row r="27" spans="1:21" ht="16" customHeight="1">
      <c r="A27" s="77"/>
      <c r="B27" s="21" t="s">
        <v>43</v>
      </c>
      <c r="C27" s="88">
        <v>341.9</v>
      </c>
      <c r="D27" s="920">
        <v>341.1</v>
      </c>
      <c r="E27" s="920">
        <v>342.6</v>
      </c>
      <c r="F27" s="920">
        <v>346</v>
      </c>
      <c r="G27" s="920">
        <v>349.5</v>
      </c>
      <c r="H27" s="920">
        <v>355.1</v>
      </c>
      <c r="I27" s="920">
        <v>368.5</v>
      </c>
      <c r="J27" s="920">
        <v>394.3</v>
      </c>
      <c r="K27" s="920">
        <v>396.5</v>
      </c>
      <c r="L27" s="920">
        <v>376.7</v>
      </c>
      <c r="M27" s="920">
        <v>368</v>
      </c>
      <c r="N27" s="920">
        <v>374.2</v>
      </c>
      <c r="O27" s="920">
        <v>382.35</v>
      </c>
      <c r="P27" s="920">
        <v>379.69200000000001</v>
      </c>
      <c r="Q27" s="920">
        <v>371.55399999999997</v>
      </c>
      <c r="R27" s="920">
        <v>341.82799999999997</v>
      </c>
      <c r="S27" s="920">
        <v>133.09</v>
      </c>
      <c r="T27" s="920">
        <v>132.64699999999999</v>
      </c>
      <c r="U27" s="921"/>
    </row>
    <row r="28" spans="1:21" ht="16" customHeight="1">
      <c r="A28" s="77"/>
      <c r="B28" s="76" t="s">
        <v>44</v>
      </c>
      <c r="C28" s="88">
        <v>592.9</v>
      </c>
      <c r="D28" s="920">
        <v>623.4</v>
      </c>
      <c r="E28" s="920">
        <v>658.5</v>
      </c>
      <c r="F28" s="920">
        <v>618.6</v>
      </c>
      <c r="G28" s="920">
        <v>711.6</v>
      </c>
      <c r="H28" s="920">
        <v>780.3</v>
      </c>
      <c r="I28" s="920">
        <v>857.2</v>
      </c>
      <c r="J28" s="920">
        <v>650.79999999999995</v>
      </c>
      <c r="K28" s="920">
        <v>747.3</v>
      </c>
      <c r="L28" s="920">
        <v>856.2</v>
      </c>
      <c r="M28" s="920">
        <v>851.5</v>
      </c>
      <c r="N28" s="920">
        <v>864.5</v>
      </c>
      <c r="O28" s="920">
        <v>880.52700000000004</v>
      </c>
      <c r="P28" s="920">
        <v>897.04200000000003</v>
      </c>
      <c r="Q28" s="920">
        <v>926.86400000000003</v>
      </c>
      <c r="R28" s="920">
        <v>770.68100000000004</v>
      </c>
      <c r="S28" s="920">
        <v>846.71799999999996</v>
      </c>
      <c r="T28" s="920">
        <v>823.43</v>
      </c>
      <c r="U28" s="921"/>
    </row>
    <row r="29" spans="1:21" ht="16" customHeight="1">
      <c r="A29" s="77"/>
      <c r="B29" s="21" t="s">
        <v>45</v>
      </c>
      <c r="C29" s="88">
        <v>358.9</v>
      </c>
      <c r="D29" s="920">
        <v>441</v>
      </c>
      <c r="E29" s="920">
        <v>429.5</v>
      </c>
      <c r="F29" s="920">
        <v>546</v>
      </c>
      <c r="G29" s="920">
        <v>549.4</v>
      </c>
      <c r="H29" s="920">
        <v>394.7</v>
      </c>
      <c r="I29" s="920">
        <v>357.7</v>
      </c>
      <c r="J29" s="920">
        <v>337.6</v>
      </c>
      <c r="K29" s="920">
        <v>329.1</v>
      </c>
      <c r="L29" s="920">
        <v>364.6</v>
      </c>
      <c r="M29" s="920">
        <v>389.7</v>
      </c>
      <c r="N29" s="920">
        <v>393.9</v>
      </c>
      <c r="O29" s="920">
        <v>399.74400000000003</v>
      </c>
      <c r="P29" s="920">
        <v>404.39699999999999</v>
      </c>
      <c r="Q29" s="920">
        <v>376.09399999999999</v>
      </c>
      <c r="R29" s="920">
        <v>335.06099999999998</v>
      </c>
      <c r="S29" s="920">
        <v>268.59800000000001</v>
      </c>
      <c r="T29" s="920">
        <v>263.923</v>
      </c>
      <c r="U29" s="921"/>
    </row>
    <row r="30" spans="1:21" ht="16" customHeight="1">
      <c r="A30" s="77"/>
      <c r="B30" s="21" t="s">
        <v>46</v>
      </c>
      <c r="C30" s="88">
        <v>304.7</v>
      </c>
      <c r="D30" s="920">
        <v>271.60000000000002</v>
      </c>
      <c r="E30" s="920">
        <v>226.4</v>
      </c>
      <c r="F30" s="920">
        <v>242.4</v>
      </c>
      <c r="G30" s="920">
        <v>241.8</v>
      </c>
      <c r="H30" s="920">
        <v>287.39999999999998</v>
      </c>
      <c r="I30" s="920">
        <v>330.4</v>
      </c>
      <c r="J30" s="920">
        <v>286.3</v>
      </c>
      <c r="K30" s="920">
        <v>276.7</v>
      </c>
      <c r="L30" s="920">
        <v>271.7</v>
      </c>
      <c r="M30" s="920">
        <v>282.60000000000002</v>
      </c>
      <c r="N30" s="920">
        <v>248.3</v>
      </c>
      <c r="O30" s="920">
        <v>256.34199999999998</v>
      </c>
      <c r="P30" s="920">
        <v>265.39699999999999</v>
      </c>
      <c r="Q30" s="920">
        <v>253.64400000000001</v>
      </c>
      <c r="R30" s="920">
        <v>250.96799999999999</v>
      </c>
      <c r="S30" s="920">
        <v>194.51900000000001</v>
      </c>
      <c r="T30" s="920">
        <v>199.76900000000001</v>
      </c>
      <c r="U30" s="921"/>
    </row>
    <row r="31" spans="1:21" ht="16" customHeight="1">
      <c r="A31" s="77"/>
      <c r="B31" s="21" t="s">
        <v>47</v>
      </c>
      <c r="C31" s="88">
        <v>43.8</v>
      </c>
      <c r="D31" s="920">
        <v>48.6</v>
      </c>
      <c r="E31" s="920">
        <v>68.3</v>
      </c>
      <c r="F31" s="920">
        <v>93</v>
      </c>
      <c r="G31" s="920">
        <v>91</v>
      </c>
      <c r="H31" s="920">
        <v>126</v>
      </c>
      <c r="I31" s="920">
        <v>121.3</v>
      </c>
      <c r="J31" s="920">
        <v>109.6</v>
      </c>
      <c r="K31" s="920">
        <v>153</v>
      </c>
      <c r="L31" s="920">
        <v>161.19999999999999</v>
      </c>
      <c r="M31" s="920">
        <v>195</v>
      </c>
      <c r="N31" s="920">
        <v>211.3</v>
      </c>
      <c r="O31" s="920">
        <v>209.90600000000001</v>
      </c>
      <c r="P31" s="920">
        <v>212.38</v>
      </c>
      <c r="Q31" s="920">
        <v>203.149</v>
      </c>
      <c r="R31" s="920">
        <v>203.18600000000001</v>
      </c>
      <c r="S31" s="920">
        <v>184.208</v>
      </c>
      <c r="T31" s="920">
        <v>181.75899999999999</v>
      </c>
      <c r="U31" s="921"/>
    </row>
    <row r="32" spans="1:21" ht="4.25" customHeight="1" thickBot="1">
      <c r="A32" s="8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566"/>
    </row>
    <row r="33" spans="1:20" ht="9" customHeight="1">
      <c r="A33" s="449" t="s">
        <v>330</v>
      </c>
      <c r="B33" s="451"/>
      <c r="C33" s="469"/>
      <c r="D33" s="469"/>
      <c r="E33" s="469"/>
      <c r="F33" s="469"/>
      <c r="G33" s="469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</row>
    <row r="34" spans="1:20" ht="9" customHeight="1">
      <c r="A34" s="449" t="s">
        <v>304</v>
      </c>
      <c r="B34" s="451"/>
      <c r="C34" s="469"/>
      <c r="D34" s="469"/>
      <c r="E34" s="469"/>
      <c r="F34" s="470"/>
      <c r="G34" s="470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</row>
    <row r="35" spans="1:20" ht="9" customHeight="1">
      <c r="A35" s="451" t="s">
        <v>303</v>
      </c>
      <c r="B35" s="456"/>
      <c r="C35" s="469"/>
      <c r="D35" s="469"/>
      <c r="E35" s="469"/>
      <c r="F35" s="470"/>
      <c r="G35" s="470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</row>
    <row r="36" spans="1:20" ht="13.25" customHeight="1">
      <c r="A36" s="471"/>
      <c r="B36" s="471"/>
      <c r="C36" s="471"/>
      <c r="D36" s="471"/>
      <c r="E36" s="471"/>
      <c r="F36" s="471"/>
      <c r="G36" s="47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scale="110" orientation="portrait" r:id="rId1"/>
  <headerFooter scaleWithDoc="0" alignWithMargins="0"/>
  <ignoredErrors>
    <ignoredError sqref="N5:R5" numberStoredAsText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Hoja134">
    <tabColor theme="9" tint="0.59999389629810485"/>
  </sheetPr>
  <dimension ref="A2:Y35"/>
  <sheetViews>
    <sheetView showGridLines="0" zoomScaleNormal="100" zoomScaleSheetLayoutView="100" workbookViewId="0">
      <selection activeCell="R20" sqref="R20"/>
    </sheetView>
  </sheetViews>
  <sheetFormatPr baseColWidth="10" defaultColWidth="7" defaultRowHeight="13.25" customHeight="1"/>
  <cols>
    <col min="1" max="1" width="0.796875" style="76" customWidth="1"/>
    <col min="2" max="2" width="10.3984375" style="76" customWidth="1"/>
    <col min="3" max="3" width="8" style="76" hidden="1" customWidth="1"/>
    <col min="4" max="5" width="9" style="76" hidden="1" customWidth="1"/>
    <col min="6" max="22" width="7.3984375" style="76" customWidth="1"/>
    <col min="23" max="23" width="8.59765625" style="76" customWidth="1"/>
    <col min="24" max="16384" width="7" style="76"/>
  </cols>
  <sheetData>
    <row r="2" spans="1:25" ht="15" customHeight="1">
      <c r="A2" s="210" t="s">
        <v>562</v>
      </c>
      <c r="B2" s="211"/>
      <c r="C2" s="211"/>
      <c r="D2" s="211"/>
      <c r="E2" s="211"/>
      <c r="F2" s="211"/>
    </row>
    <row r="3" spans="1:25" ht="13.25" customHeight="1">
      <c r="A3" s="399" t="s">
        <v>259</v>
      </c>
      <c r="B3" s="211"/>
      <c r="C3" s="211"/>
      <c r="D3" s="211"/>
      <c r="E3" s="211"/>
      <c r="F3" s="211"/>
    </row>
    <row r="4" spans="1:25" ht="6" customHeight="1" thickBo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5" ht="18" customHeight="1">
      <c r="A5" s="1056" t="s">
        <v>16</v>
      </c>
      <c r="B5" s="1056"/>
      <c r="C5" s="776">
        <v>2005</v>
      </c>
      <c r="D5" s="776">
        <v>2006</v>
      </c>
      <c r="E5" s="776">
        <v>2007</v>
      </c>
      <c r="F5" s="776">
        <v>2008</v>
      </c>
      <c r="G5" s="776">
        <v>2009</v>
      </c>
      <c r="H5" s="776">
        <v>2010</v>
      </c>
      <c r="I5" s="776">
        <v>2011</v>
      </c>
      <c r="J5" s="776">
        <v>2012</v>
      </c>
      <c r="K5" s="776">
        <v>2013</v>
      </c>
      <c r="L5" s="776">
        <v>2014</v>
      </c>
      <c r="M5" s="776">
        <v>2015</v>
      </c>
      <c r="N5" s="776">
        <v>2016</v>
      </c>
      <c r="O5" s="776">
        <v>2017</v>
      </c>
      <c r="P5" s="776" t="s">
        <v>180</v>
      </c>
      <c r="Q5" s="776" t="s">
        <v>296</v>
      </c>
      <c r="R5" s="776">
        <v>2020</v>
      </c>
      <c r="S5" s="776">
        <v>2021</v>
      </c>
      <c r="T5" s="776" t="s">
        <v>385</v>
      </c>
      <c r="U5" s="722">
        <v>2023</v>
      </c>
      <c r="V5" s="722" t="s">
        <v>471</v>
      </c>
    </row>
    <row r="6" spans="1:25" ht="18" customHeight="1">
      <c r="A6" s="1055" t="s">
        <v>93</v>
      </c>
      <c r="B6" s="1055"/>
      <c r="C6" s="709">
        <f>(C8+C9+C10+C11+C12+C13+C14+C15+C16+C17+C18+C19+C20+C21+C22+C23+C24+C25+C26+C27+C28+C29+C30+C31)</f>
        <v>1236833</v>
      </c>
      <c r="D6" s="709">
        <f>(D8+D9+D10+D11+D12+D13+D14+D15+D16+D17+D18+D19+D20+D21+D22+D23+D24+D25+D26+D27+D28+D29+D30+D31)</f>
        <v>1346991</v>
      </c>
      <c r="E6" s="710">
        <v>257621</v>
      </c>
      <c r="F6" s="991">
        <v>266541</v>
      </c>
      <c r="G6" s="991">
        <v>268707</v>
      </c>
      <c r="H6" s="991">
        <v>285102</v>
      </c>
      <c r="I6" s="991">
        <v>317654</v>
      </c>
      <c r="J6" s="991">
        <v>314024</v>
      </c>
      <c r="K6" s="991">
        <v>349791</v>
      </c>
      <c r="L6" s="991">
        <v>358630</v>
      </c>
      <c r="M6" s="991">
        <v>386255</v>
      </c>
      <c r="N6" s="991">
        <v>400980</v>
      </c>
      <c r="O6" s="991">
        <v>415336</v>
      </c>
      <c r="P6" s="991">
        <v>452234</v>
      </c>
      <c r="Q6" s="991">
        <v>488484</v>
      </c>
      <c r="R6" s="991">
        <f>SUM(R8:R31)</f>
        <v>497525.38000000006</v>
      </c>
      <c r="S6" s="991">
        <f>SUM(S8:S31)</f>
        <v>504112.04999999993</v>
      </c>
      <c r="T6" s="991">
        <f>SUM(T8:T31)</f>
        <v>510961.6</v>
      </c>
      <c r="U6" s="991">
        <f>SUM(U8:U31)</f>
        <v>510630.00299999991</v>
      </c>
      <c r="V6" s="991">
        <f>SUM(V8:V31)</f>
        <v>508591.81500000012</v>
      </c>
    </row>
    <row r="7" spans="1:25" ht="4.25" customHeight="1">
      <c r="A7" s="77"/>
      <c r="B7" s="78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</row>
    <row r="8" spans="1:25" ht="16" customHeight="1">
      <c r="A8" s="77"/>
      <c r="B8" s="21" t="s">
        <v>19</v>
      </c>
      <c r="C8" s="86">
        <v>362</v>
      </c>
      <c r="D8" s="86">
        <v>397</v>
      </c>
      <c r="E8" s="88">
        <v>87</v>
      </c>
      <c r="F8" s="87">
        <v>87</v>
      </c>
      <c r="G8" s="87">
        <v>87</v>
      </c>
      <c r="H8" s="87">
        <v>88</v>
      </c>
      <c r="I8" s="87">
        <v>89</v>
      </c>
      <c r="J8" s="87">
        <v>90</v>
      </c>
      <c r="K8" s="87">
        <v>91</v>
      </c>
      <c r="L8" s="87">
        <v>97</v>
      </c>
      <c r="M8" s="87">
        <v>105</v>
      </c>
      <c r="N8" s="87">
        <v>124</v>
      </c>
      <c r="O8" s="87">
        <v>153</v>
      </c>
      <c r="P8" s="87">
        <v>98</v>
      </c>
      <c r="Q8" s="87">
        <v>103</v>
      </c>
      <c r="R8" s="87">
        <v>100.77</v>
      </c>
      <c r="S8" s="87">
        <v>101.94</v>
      </c>
      <c r="T8" s="87">
        <v>96.41</v>
      </c>
      <c r="U8" s="87">
        <v>92.668000000000006</v>
      </c>
      <c r="V8" s="87">
        <v>89.337999999999994</v>
      </c>
      <c r="W8" s="562"/>
      <c r="X8" s="562"/>
      <c r="Y8" s="562"/>
    </row>
    <row r="9" spans="1:25" ht="16" customHeight="1">
      <c r="A9" s="77"/>
      <c r="B9" s="21" t="s">
        <v>20</v>
      </c>
      <c r="C9" s="86">
        <v>29012</v>
      </c>
      <c r="D9" s="86">
        <v>33615</v>
      </c>
      <c r="E9" s="88">
        <v>4254</v>
      </c>
      <c r="F9" s="87">
        <v>4618</v>
      </c>
      <c r="G9" s="87">
        <v>3899</v>
      </c>
      <c r="H9" s="87">
        <v>1942</v>
      </c>
      <c r="I9" s="87">
        <v>2981</v>
      </c>
      <c r="J9" s="87">
        <v>4676</v>
      </c>
      <c r="K9" s="87">
        <v>3572</v>
      </c>
      <c r="L9" s="87">
        <v>3952</v>
      </c>
      <c r="M9" s="87">
        <v>5019</v>
      </c>
      <c r="N9" s="87">
        <v>4814</v>
      </c>
      <c r="O9" s="87">
        <v>4248</v>
      </c>
      <c r="P9" s="87">
        <v>4422</v>
      </c>
      <c r="Q9" s="87">
        <v>4739</v>
      </c>
      <c r="R9" s="87">
        <v>4715.95</v>
      </c>
      <c r="S9" s="87">
        <v>4859.87</v>
      </c>
      <c r="T9" s="87">
        <v>4838.59</v>
      </c>
      <c r="U9" s="87">
        <v>4656.8230000000003</v>
      </c>
      <c r="V9" s="87">
        <v>4570.9359999999997</v>
      </c>
      <c r="W9" s="562"/>
      <c r="X9" s="562"/>
      <c r="Y9" s="562"/>
    </row>
    <row r="10" spans="1:25" ht="16" customHeight="1">
      <c r="A10" s="77"/>
      <c r="B10" s="21" t="s">
        <v>21</v>
      </c>
      <c r="C10" s="86">
        <v>29656</v>
      </c>
      <c r="D10" s="86">
        <v>28602</v>
      </c>
      <c r="E10" s="88">
        <v>6548</v>
      </c>
      <c r="F10" s="87">
        <v>7190</v>
      </c>
      <c r="G10" s="87">
        <v>8261</v>
      </c>
      <c r="H10" s="87">
        <v>13328</v>
      </c>
      <c r="I10" s="87">
        <v>17064</v>
      </c>
      <c r="J10" s="87">
        <v>12065</v>
      </c>
      <c r="K10" s="87">
        <v>13116</v>
      </c>
      <c r="L10" s="87">
        <v>9427</v>
      </c>
      <c r="M10" s="87">
        <v>7815</v>
      </c>
      <c r="N10" s="87">
        <v>7068</v>
      </c>
      <c r="O10" s="87">
        <v>7233</v>
      </c>
      <c r="P10" s="87">
        <v>7173</v>
      </c>
      <c r="Q10" s="87">
        <v>7663</v>
      </c>
      <c r="R10" s="87">
        <v>7811.07</v>
      </c>
      <c r="S10" s="87">
        <v>7410.39</v>
      </c>
      <c r="T10" s="87">
        <v>7320.03</v>
      </c>
      <c r="U10" s="87">
        <v>7015.9449999999997</v>
      </c>
      <c r="V10" s="87">
        <v>6868.3289999999997</v>
      </c>
      <c r="W10" s="562"/>
      <c r="X10" s="562"/>
      <c r="Y10" s="562"/>
    </row>
    <row r="11" spans="1:25" ht="16" customHeight="1">
      <c r="A11" s="77"/>
      <c r="B11" s="21" t="s">
        <v>22</v>
      </c>
      <c r="C11" s="86">
        <v>79695</v>
      </c>
      <c r="D11" s="86">
        <v>90775</v>
      </c>
      <c r="E11" s="88">
        <v>42798</v>
      </c>
      <c r="F11" s="87">
        <v>54478</v>
      </c>
      <c r="G11" s="87">
        <v>52555</v>
      </c>
      <c r="H11" s="87">
        <v>52259</v>
      </c>
      <c r="I11" s="87">
        <v>52879</v>
      </c>
      <c r="J11" s="87">
        <v>50781</v>
      </c>
      <c r="K11" s="87">
        <v>60891</v>
      </c>
      <c r="L11" s="87">
        <v>58496</v>
      </c>
      <c r="M11" s="87">
        <v>70267</v>
      </c>
      <c r="N11" s="87">
        <v>70027</v>
      </c>
      <c r="O11" s="87">
        <v>68536</v>
      </c>
      <c r="P11" s="87">
        <v>76210</v>
      </c>
      <c r="Q11" s="87">
        <v>84438</v>
      </c>
      <c r="R11" s="87">
        <v>86530.85</v>
      </c>
      <c r="S11" s="87">
        <v>87763.02</v>
      </c>
      <c r="T11" s="87">
        <v>88835.6</v>
      </c>
      <c r="U11" s="87">
        <v>85696.811000000002</v>
      </c>
      <c r="V11" s="87">
        <v>84400.650999999998</v>
      </c>
      <c r="W11" s="562"/>
      <c r="X11" s="562"/>
      <c r="Y11" s="562"/>
    </row>
    <row r="12" spans="1:25" ht="16" customHeight="1">
      <c r="A12" s="77"/>
      <c r="B12" s="21" t="s">
        <v>23</v>
      </c>
      <c r="C12" s="86">
        <v>225648</v>
      </c>
      <c r="D12" s="86">
        <v>239969</v>
      </c>
      <c r="E12" s="88">
        <v>2179</v>
      </c>
      <c r="F12" s="87">
        <v>1782</v>
      </c>
      <c r="G12" s="87">
        <v>1792</v>
      </c>
      <c r="H12" s="87">
        <v>1931</v>
      </c>
      <c r="I12" s="87">
        <v>2128</v>
      </c>
      <c r="J12" s="87">
        <v>2708</v>
      </c>
      <c r="K12" s="87">
        <v>2706</v>
      </c>
      <c r="L12" s="87">
        <v>2526</v>
      </c>
      <c r="M12" s="87">
        <v>2590</v>
      </c>
      <c r="N12" s="87">
        <v>2762</v>
      </c>
      <c r="O12" s="87">
        <v>2354</v>
      </c>
      <c r="P12" s="87">
        <v>2318</v>
      </c>
      <c r="Q12" s="87">
        <v>2392</v>
      </c>
      <c r="R12" s="87">
        <v>2364.84</v>
      </c>
      <c r="S12" s="87">
        <v>2307.5700000000002</v>
      </c>
      <c r="T12" s="87">
        <v>2203.92</v>
      </c>
      <c r="U12" s="87">
        <v>2087.4850000000001</v>
      </c>
      <c r="V12" s="87">
        <v>2004.317</v>
      </c>
      <c r="W12" s="562"/>
      <c r="X12" s="562"/>
      <c r="Y12" s="562"/>
    </row>
    <row r="13" spans="1:25" ht="16" customHeight="1">
      <c r="A13" s="77"/>
      <c r="B13" s="21" t="s">
        <v>27</v>
      </c>
      <c r="C13" s="86">
        <v>58117</v>
      </c>
      <c r="D13" s="86">
        <v>59002</v>
      </c>
      <c r="E13" s="88">
        <v>357</v>
      </c>
      <c r="F13" s="87">
        <v>359</v>
      </c>
      <c r="G13" s="87">
        <v>361</v>
      </c>
      <c r="H13" s="87">
        <v>364</v>
      </c>
      <c r="I13" s="87">
        <v>368</v>
      </c>
      <c r="J13" s="87">
        <v>704</v>
      </c>
      <c r="K13" s="87">
        <v>957</v>
      </c>
      <c r="L13" s="87">
        <v>537</v>
      </c>
      <c r="M13" s="87">
        <v>498</v>
      </c>
      <c r="N13" s="87">
        <v>840</v>
      </c>
      <c r="O13" s="87">
        <v>915</v>
      </c>
      <c r="P13" s="87">
        <v>1474</v>
      </c>
      <c r="Q13" s="87">
        <v>1458</v>
      </c>
      <c r="R13" s="87">
        <v>1446.18</v>
      </c>
      <c r="S13" s="87">
        <v>1423.71</v>
      </c>
      <c r="T13" s="87">
        <v>1374.58</v>
      </c>
      <c r="U13" s="87">
        <v>1296.549</v>
      </c>
      <c r="V13" s="87">
        <v>1250.424</v>
      </c>
      <c r="W13" s="562"/>
      <c r="X13" s="562"/>
      <c r="Y13" s="562"/>
    </row>
    <row r="14" spans="1:25" ht="16" customHeight="1">
      <c r="A14" s="77"/>
      <c r="B14" s="21" t="s">
        <v>28</v>
      </c>
      <c r="C14" s="392">
        <v>17683</v>
      </c>
      <c r="D14" s="392">
        <v>17603</v>
      </c>
      <c r="E14" s="393">
        <v>2555</v>
      </c>
      <c r="F14" s="87">
        <v>3117</v>
      </c>
      <c r="G14" s="87">
        <v>3687</v>
      </c>
      <c r="H14" s="87">
        <v>8627</v>
      </c>
      <c r="I14" s="87">
        <v>7608</v>
      </c>
      <c r="J14" s="87">
        <v>2814</v>
      </c>
      <c r="K14" s="87">
        <v>2554</v>
      </c>
      <c r="L14" s="87">
        <v>1080</v>
      </c>
      <c r="M14" s="87">
        <v>1197</v>
      </c>
      <c r="N14" s="87">
        <v>1236</v>
      </c>
      <c r="O14" s="87">
        <v>1271</v>
      </c>
      <c r="P14" s="87">
        <v>1270</v>
      </c>
      <c r="Q14" s="87">
        <v>1324</v>
      </c>
      <c r="R14" s="87">
        <v>1354.99</v>
      </c>
      <c r="S14" s="87">
        <v>1339.48</v>
      </c>
      <c r="T14" s="87">
        <v>1309.96</v>
      </c>
      <c r="U14" s="87">
        <v>1225.2149999999999</v>
      </c>
      <c r="V14" s="87">
        <v>1188.732</v>
      </c>
      <c r="W14" s="562"/>
      <c r="X14" s="562"/>
      <c r="Y14" s="562"/>
    </row>
    <row r="15" spans="1:25" ht="16" customHeight="1">
      <c r="A15" s="77"/>
      <c r="B15" s="21" t="s">
        <v>29</v>
      </c>
      <c r="C15" s="392">
        <v>222553</v>
      </c>
      <c r="D15" s="392">
        <v>238193</v>
      </c>
      <c r="E15" s="393">
        <v>83226</v>
      </c>
      <c r="F15" s="87">
        <v>80710</v>
      </c>
      <c r="G15" s="87">
        <v>76004</v>
      </c>
      <c r="H15" s="87">
        <v>71616</v>
      </c>
      <c r="I15" s="87">
        <v>96060</v>
      </c>
      <c r="J15" s="87">
        <v>92103</v>
      </c>
      <c r="K15" s="87">
        <v>104779</v>
      </c>
      <c r="L15" s="87">
        <v>111433</v>
      </c>
      <c r="M15" s="87">
        <v>109786</v>
      </c>
      <c r="N15" s="87">
        <v>104632</v>
      </c>
      <c r="O15" s="87">
        <v>117504</v>
      </c>
      <c r="P15" s="87">
        <v>124540</v>
      </c>
      <c r="Q15" s="87">
        <v>131293</v>
      </c>
      <c r="R15" s="87">
        <v>134863.95000000001</v>
      </c>
      <c r="S15" s="87">
        <v>138207.82</v>
      </c>
      <c r="T15" s="87">
        <v>139738.71</v>
      </c>
      <c r="U15" s="87">
        <v>139696.429</v>
      </c>
      <c r="V15" s="87">
        <v>141289.397</v>
      </c>
      <c r="W15" s="562"/>
      <c r="X15" s="562"/>
      <c r="Y15" s="562"/>
    </row>
    <row r="16" spans="1:25" ht="16" customHeight="1">
      <c r="A16" s="77"/>
      <c r="B16" s="21" t="s">
        <v>30</v>
      </c>
      <c r="C16" s="392">
        <v>17112</v>
      </c>
      <c r="D16" s="392">
        <v>18626</v>
      </c>
      <c r="E16" s="393">
        <v>80717</v>
      </c>
      <c r="F16" s="87">
        <v>77445</v>
      </c>
      <c r="G16" s="87">
        <v>83572</v>
      </c>
      <c r="H16" s="87">
        <v>88097</v>
      </c>
      <c r="I16" s="87">
        <v>88875</v>
      </c>
      <c r="J16" s="87">
        <v>101697</v>
      </c>
      <c r="K16" s="87">
        <v>114131</v>
      </c>
      <c r="L16" s="87">
        <v>127638</v>
      </c>
      <c r="M16" s="87">
        <v>140610</v>
      </c>
      <c r="N16" s="87">
        <v>158326</v>
      </c>
      <c r="O16" s="87">
        <v>163569</v>
      </c>
      <c r="P16" s="87">
        <v>179607</v>
      </c>
      <c r="Q16" s="87">
        <v>197407</v>
      </c>
      <c r="R16" s="87">
        <v>200811.02</v>
      </c>
      <c r="S16" s="87">
        <v>203352.31</v>
      </c>
      <c r="T16" s="87">
        <v>208428.29</v>
      </c>
      <c r="U16" s="87">
        <v>214456.33600000001</v>
      </c>
      <c r="V16" s="87">
        <v>213706.576</v>
      </c>
      <c r="W16" s="562"/>
      <c r="X16" s="562"/>
      <c r="Y16" s="562"/>
    </row>
    <row r="17" spans="1:25" ht="16" customHeight="1">
      <c r="A17" s="77"/>
      <c r="B17" s="21" t="s">
        <v>31</v>
      </c>
      <c r="C17" s="86">
        <v>21338</v>
      </c>
      <c r="D17" s="86">
        <v>25715</v>
      </c>
      <c r="E17" s="88">
        <v>788</v>
      </c>
      <c r="F17" s="87">
        <v>752</v>
      </c>
      <c r="G17" s="87">
        <v>736</v>
      </c>
      <c r="H17" s="87">
        <v>742</v>
      </c>
      <c r="I17" s="87">
        <v>749</v>
      </c>
      <c r="J17" s="87">
        <v>829</v>
      </c>
      <c r="K17" s="87">
        <v>1093</v>
      </c>
      <c r="L17" s="87">
        <v>1236</v>
      </c>
      <c r="M17" s="87">
        <v>1069</v>
      </c>
      <c r="N17" s="87">
        <v>1255</v>
      </c>
      <c r="O17" s="87">
        <v>1238</v>
      </c>
      <c r="P17" s="87">
        <v>1344</v>
      </c>
      <c r="Q17" s="87">
        <v>1376</v>
      </c>
      <c r="R17" s="87">
        <v>1363.94</v>
      </c>
      <c r="S17" s="87">
        <v>1289.04</v>
      </c>
      <c r="T17" s="87">
        <v>1237.52</v>
      </c>
      <c r="U17" s="87">
        <v>1160.2950000000001</v>
      </c>
      <c r="V17" s="87">
        <v>1115.1790000000001</v>
      </c>
      <c r="W17" s="562"/>
      <c r="X17" s="562"/>
      <c r="Y17" s="562"/>
    </row>
    <row r="18" spans="1:25" ht="16" customHeight="1">
      <c r="A18" s="77"/>
      <c r="B18" s="21" t="s">
        <v>32</v>
      </c>
      <c r="C18" s="86">
        <v>18055</v>
      </c>
      <c r="D18" s="86">
        <v>18298</v>
      </c>
      <c r="E18" s="88">
        <v>163</v>
      </c>
      <c r="F18" s="87">
        <v>164</v>
      </c>
      <c r="G18" s="87">
        <v>165</v>
      </c>
      <c r="H18" s="87">
        <v>166</v>
      </c>
      <c r="I18" s="87">
        <v>168</v>
      </c>
      <c r="J18" s="87">
        <v>170</v>
      </c>
      <c r="K18" s="87">
        <v>177</v>
      </c>
      <c r="L18" s="87">
        <v>177</v>
      </c>
      <c r="M18" s="87">
        <v>182</v>
      </c>
      <c r="N18" s="87">
        <v>187</v>
      </c>
      <c r="O18" s="87">
        <v>178</v>
      </c>
      <c r="P18" s="87">
        <v>179</v>
      </c>
      <c r="Q18" s="87">
        <v>183</v>
      </c>
      <c r="R18" s="87">
        <v>178.94</v>
      </c>
      <c r="S18" s="87">
        <v>166.88</v>
      </c>
      <c r="T18" s="87">
        <v>152.12</v>
      </c>
      <c r="U18" s="87">
        <v>142.977</v>
      </c>
      <c r="V18" s="87">
        <v>135.01</v>
      </c>
      <c r="W18" s="562"/>
      <c r="X18" s="562"/>
      <c r="Y18" s="562"/>
    </row>
    <row r="19" spans="1:25" ht="16" customHeight="1">
      <c r="A19" s="77"/>
      <c r="B19" s="21" t="s">
        <v>33</v>
      </c>
      <c r="C19" s="86">
        <v>18612</v>
      </c>
      <c r="D19" s="86">
        <v>19206</v>
      </c>
      <c r="E19" s="88">
        <v>702</v>
      </c>
      <c r="F19" s="87">
        <v>715</v>
      </c>
      <c r="G19" s="87">
        <v>643</v>
      </c>
      <c r="H19" s="87">
        <v>659</v>
      </c>
      <c r="I19" s="87">
        <v>866</v>
      </c>
      <c r="J19" s="87">
        <v>1191</v>
      </c>
      <c r="K19" s="87">
        <v>1350</v>
      </c>
      <c r="L19" s="87">
        <v>1155</v>
      </c>
      <c r="M19" s="87">
        <v>1586</v>
      </c>
      <c r="N19" s="87">
        <v>1429</v>
      </c>
      <c r="O19" s="87">
        <v>1129</v>
      </c>
      <c r="P19" s="87">
        <v>1124</v>
      </c>
      <c r="Q19" s="87">
        <v>1112</v>
      </c>
      <c r="R19" s="87">
        <v>1095.96</v>
      </c>
      <c r="S19" s="87">
        <v>1065.6600000000001</v>
      </c>
      <c r="T19" s="87">
        <v>1024.8599999999999</v>
      </c>
      <c r="U19" s="87">
        <v>977.86300000000006</v>
      </c>
      <c r="V19" s="87">
        <v>946.72900000000004</v>
      </c>
      <c r="W19" s="562"/>
      <c r="X19" s="562"/>
      <c r="Y19" s="562"/>
    </row>
    <row r="20" spans="1:25" ht="16" customHeight="1">
      <c r="A20" s="77"/>
      <c r="B20" s="21" t="s">
        <v>34</v>
      </c>
      <c r="C20" s="86">
        <v>13276</v>
      </c>
      <c r="D20" s="86">
        <v>14808</v>
      </c>
      <c r="E20" s="88">
        <v>605</v>
      </c>
      <c r="F20" s="87">
        <v>608</v>
      </c>
      <c r="G20" s="87">
        <v>611</v>
      </c>
      <c r="H20" s="87">
        <v>617</v>
      </c>
      <c r="I20" s="87">
        <v>623</v>
      </c>
      <c r="J20" s="87">
        <v>629</v>
      </c>
      <c r="K20" s="87">
        <v>635</v>
      </c>
      <c r="L20" s="87">
        <v>639</v>
      </c>
      <c r="M20" s="87">
        <v>643</v>
      </c>
      <c r="N20" s="87">
        <v>680</v>
      </c>
      <c r="O20" s="87">
        <v>710</v>
      </c>
      <c r="P20" s="87">
        <v>662</v>
      </c>
      <c r="Q20" s="87">
        <v>670</v>
      </c>
      <c r="R20" s="87">
        <v>657.39</v>
      </c>
      <c r="S20" s="87">
        <v>619.77</v>
      </c>
      <c r="T20" s="87">
        <v>589.72</v>
      </c>
      <c r="U20" s="87">
        <v>555.02700000000004</v>
      </c>
      <c r="V20" s="87">
        <v>523.71500000000003</v>
      </c>
      <c r="W20" s="562"/>
      <c r="X20" s="562"/>
      <c r="Y20" s="562"/>
    </row>
    <row r="21" spans="1:25" ht="16" customHeight="1">
      <c r="A21" s="77"/>
      <c r="B21" s="21" t="s">
        <v>35</v>
      </c>
      <c r="C21" s="86">
        <v>296833</v>
      </c>
      <c r="D21" s="86">
        <v>328025</v>
      </c>
      <c r="E21" s="88">
        <v>6432</v>
      </c>
      <c r="F21" s="87">
        <v>6915</v>
      </c>
      <c r="G21" s="87">
        <v>8763</v>
      </c>
      <c r="H21" s="87">
        <v>13918</v>
      </c>
      <c r="I21" s="87">
        <v>14119</v>
      </c>
      <c r="J21" s="87">
        <v>10772</v>
      </c>
      <c r="K21" s="87">
        <v>8349</v>
      </c>
      <c r="L21" s="87">
        <v>10806</v>
      </c>
      <c r="M21" s="87">
        <v>12132</v>
      </c>
      <c r="N21" s="87">
        <v>12407</v>
      </c>
      <c r="O21" s="87">
        <v>11007</v>
      </c>
      <c r="P21" s="87">
        <v>16454</v>
      </c>
      <c r="Q21" s="87">
        <v>17890</v>
      </c>
      <c r="R21" s="87">
        <v>17795.97</v>
      </c>
      <c r="S21" s="87">
        <v>18131.349999999999</v>
      </c>
      <c r="T21" s="87">
        <v>18219.45</v>
      </c>
      <c r="U21" s="87">
        <v>17769.918000000001</v>
      </c>
      <c r="V21" s="87">
        <v>17512.274000000001</v>
      </c>
      <c r="W21" s="562"/>
      <c r="X21" s="562"/>
      <c r="Y21" s="562"/>
    </row>
    <row r="22" spans="1:25" ht="16" customHeight="1">
      <c r="A22" s="77"/>
      <c r="B22" s="21" t="s">
        <v>36</v>
      </c>
      <c r="C22" s="86">
        <v>16361</v>
      </c>
      <c r="D22" s="86">
        <v>16034</v>
      </c>
      <c r="E22" s="88">
        <v>519</v>
      </c>
      <c r="F22" s="87">
        <v>681</v>
      </c>
      <c r="G22" s="87">
        <v>522</v>
      </c>
      <c r="H22" s="87">
        <v>398</v>
      </c>
      <c r="I22" s="87">
        <v>506</v>
      </c>
      <c r="J22" s="87">
        <v>521</v>
      </c>
      <c r="K22" s="87">
        <v>773</v>
      </c>
      <c r="L22" s="87">
        <v>876</v>
      </c>
      <c r="M22" s="87">
        <v>667</v>
      </c>
      <c r="N22" s="87">
        <v>242</v>
      </c>
      <c r="O22" s="87">
        <v>196</v>
      </c>
      <c r="P22" s="87">
        <v>370</v>
      </c>
      <c r="Q22" s="87">
        <v>355</v>
      </c>
      <c r="R22" s="87">
        <v>350.36</v>
      </c>
      <c r="S22" s="87">
        <v>342.01</v>
      </c>
      <c r="T22" s="87">
        <v>331.77</v>
      </c>
      <c r="U22" s="87">
        <v>309.29000000000002</v>
      </c>
      <c r="V22" s="87">
        <v>294.73700000000002</v>
      </c>
      <c r="W22" s="562"/>
      <c r="X22" s="562"/>
      <c r="Y22" s="562"/>
    </row>
    <row r="23" spans="1:25" ht="16" customHeight="1">
      <c r="A23" s="77"/>
      <c r="B23" s="21" t="s">
        <v>37</v>
      </c>
      <c r="C23" s="86">
        <v>21868</v>
      </c>
      <c r="D23" s="86">
        <v>22100</v>
      </c>
      <c r="E23" s="88">
        <v>2971</v>
      </c>
      <c r="F23" s="87">
        <v>3150</v>
      </c>
      <c r="G23" s="87">
        <v>3454</v>
      </c>
      <c r="H23" s="87">
        <v>4770</v>
      </c>
      <c r="I23" s="87">
        <v>5139</v>
      </c>
      <c r="J23" s="87">
        <v>4422</v>
      </c>
      <c r="K23" s="87">
        <v>4520</v>
      </c>
      <c r="L23" s="87">
        <v>3919</v>
      </c>
      <c r="M23" s="87">
        <v>4712</v>
      </c>
      <c r="N23" s="87">
        <v>5535</v>
      </c>
      <c r="O23" s="87">
        <v>5182</v>
      </c>
      <c r="P23" s="87">
        <v>5404</v>
      </c>
      <c r="Q23" s="87">
        <v>5674</v>
      </c>
      <c r="R23" s="87">
        <v>5672.27</v>
      </c>
      <c r="S23" s="87">
        <v>5486.54</v>
      </c>
      <c r="T23" s="87">
        <v>5267.25</v>
      </c>
      <c r="U23" s="87">
        <v>4951.8720000000003</v>
      </c>
      <c r="V23" s="87">
        <v>4864.4070000000002</v>
      </c>
      <c r="W23" s="562"/>
      <c r="X23" s="562"/>
      <c r="Y23" s="562"/>
    </row>
    <row r="24" spans="1:25" ht="16" customHeight="1">
      <c r="A24" s="77"/>
      <c r="B24" s="21" t="s">
        <v>38</v>
      </c>
      <c r="C24" s="86">
        <v>22805</v>
      </c>
      <c r="D24" s="86">
        <v>22700</v>
      </c>
      <c r="E24" s="88">
        <v>658</v>
      </c>
      <c r="F24" s="87">
        <v>652</v>
      </c>
      <c r="G24" s="87">
        <v>655</v>
      </c>
      <c r="H24" s="87">
        <v>662</v>
      </c>
      <c r="I24" s="87">
        <v>670</v>
      </c>
      <c r="J24" s="87">
        <v>750</v>
      </c>
      <c r="K24" s="87">
        <v>762</v>
      </c>
      <c r="L24" s="87">
        <v>797</v>
      </c>
      <c r="M24" s="87">
        <v>795</v>
      </c>
      <c r="N24" s="87">
        <v>1058</v>
      </c>
      <c r="O24" s="87">
        <v>934</v>
      </c>
      <c r="P24" s="87">
        <v>907</v>
      </c>
      <c r="Q24" s="87">
        <v>895</v>
      </c>
      <c r="R24" s="87">
        <v>882.08</v>
      </c>
      <c r="S24" s="87">
        <v>842.02</v>
      </c>
      <c r="T24" s="87">
        <v>784.91</v>
      </c>
      <c r="U24" s="87">
        <v>725.87199999999996</v>
      </c>
      <c r="V24" s="87">
        <v>697.09199999999998</v>
      </c>
      <c r="W24" s="562"/>
      <c r="X24" s="562"/>
      <c r="Y24" s="562"/>
    </row>
    <row r="25" spans="1:25" ht="16" customHeight="1">
      <c r="A25" s="77"/>
      <c r="B25" s="21" t="s">
        <v>39</v>
      </c>
      <c r="C25" s="86">
        <v>29143</v>
      </c>
      <c r="D25" s="86">
        <v>34380</v>
      </c>
      <c r="E25" s="88">
        <v>492</v>
      </c>
      <c r="F25" s="87">
        <v>487</v>
      </c>
      <c r="G25" s="87">
        <v>490</v>
      </c>
      <c r="H25" s="87">
        <v>495</v>
      </c>
      <c r="I25" s="87">
        <v>517</v>
      </c>
      <c r="J25" s="87">
        <v>703</v>
      </c>
      <c r="K25" s="87">
        <v>918</v>
      </c>
      <c r="L25" s="87">
        <v>590</v>
      </c>
      <c r="M25" s="87">
        <v>545</v>
      </c>
      <c r="N25" s="87">
        <v>536</v>
      </c>
      <c r="O25" s="87">
        <v>542</v>
      </c>
      <c r="P25" s="87">
        <v>565</v>
      </c>
      <c r="Q25" s="87">
        <v>587</v>
      </c>
      <c r="R25" s="87">
        <v>579.21</v>
      </c>
      <c r="S25" s="87">
        <v>527.69000000000005</v>
      </c>
      <c r="T25" s="87">
        <v>481.3</v>
      </c>
      <c r="U25" s="87">
        <v>440.21800000000002</v>
      </c>
      <c r="V25" s="87">
        <v>412.87900000000002</v>
      </c>
      <c r="W25" s="562"/>
      <c r="X25" s="562"/>
      <c r="Y25" s="562"/>
    </row>
    <row r="26" spans="1:25" ht="16" customHeight="1">
      <c r="A26" s="77"/>
      <c r="B26" s="21" t="s">
        <v>42</v>
      </c>
      <c r="C26" s="86">
        <v>30479</v>
      </c>
      <c r="D26" s="86">
        <v>35953</v>
      </c>
      <c r="E26" s="88">
        <v>1608</v>
      </c>
      <c r="F26" s="87">
        <v>1101</v>
      </c>
      <c r="G26" s="87">
        <v>1018</v>
      </c>
      <c r="H26" s="87">
        <v>1028</v>
      </c>
      <c r="I26" s="87">
        <v>1117</v>
      </c>
      <c r="J26" s="87">
        <v>1433</v>
      </c>
      <c r="K26" s="87">
        <v>1798</v>
      </c>
      <c r="L26" s="87">
        <v>1632</v>
      </c>
      <c r="M26" s="87">
        <v>1854</v>
      </c>
      <c r="N26" s="87">
        <v>1459</v>
      </c>
      <c r="O26" s="87">
        <v>1075</v>
      </c>
      <c r="P26" s="87">
        <v>899</v>
      </c>
      <c r="Q26" s="87">
        <v>905</v>
      </c>
      <c r="R26" s="87">
        <v>889</v>
      </c>
      <c r="S26" s="87">
        <v>855.84</v>
      </c>
      <c r="T26" s="87">
        <v>810.59</v>
      </c>
      <c r="U26" s="87">
        <v>749.23599999999999</v>
      </c>
      <c r="V26" s="87">
        <v>711.23900000000003</v>
      </c>
      <c r="W26" s="562"/>
      <c r="X26" s="562"/>
      <c r="Y26" s="562"/>
    </row>
    <row r="27" spans="1:25" ht="16" customHeight="1">
      <c r="A27" s="77"/>
      <c r="B27" s="21" t="s">
        <v>43</v>
      </c>
      <c r="C27" s="86">
        <v>49453</v>
      </c>
      <c r="D27" s="86">
        <v>62011</v>
      </c>
      <c r="E27" s="88">
        <v>1655</v>
      </c>
      <c r="F27" s="87">
        <v>1616</v>
      </c>
      <c r="G27" s="87">
        <v>1620</v>
      </c>
      <c r="H27" s="87">
        <v>1636</v>
      </c>
      <c r="I27" s="87">
        <v>1652</v>
      </c>
      <c r="J27" s="87">
        <v>1706</v>
      </c>
      <c r="K27" s="87">
        <v>1900</v>
      </c>
      <c r="L27" s="87">
        <v>2336</v>
      </c>
      <c r="M27" s="87">
        <v>2385</v>
      </c>
      <c r="N27" s="87">
        <v>2006</v>
      </c>
      <c r="O27" s="87">
        <v>1827</v>
      </c>
      <c r="P27" s="87">
        <v>1807</v>
      </c>
      <c r="Q27" s="87">
        <v>1830</v>
      </c>
      <c r="R27" s="87">
        <v>1814.92</v>
      </c>
      <c r="S27" s="87">
        <v>1752.35</v>
      </c>
      <c r="T27" s="87">
        <v>1661.47</v>
      </c>
      <c r="U27" s="87">
        <v>1525.557</v>
      </c>
      <c r="V27" s="87">
        <v>1477.8240000000001</v>
      </c>
      <c r="W27" s="562"/>
      <c r="X27" s="562"/>
      <c r="Y27" s="562"/>
    </row>
    <row r="28" spans="1:25" ht="16" customHeight="1">
      <c r="A28" s="77"/>
      <c r="B28" s="76" t="s">
        <v>44</v>
      </c>
      <c r="C28" s="86">
        <v>12182</v>
      </c>
      <c r="D28" s="86">
        <v>13426</v>
      </c>
      <c r="E28" s="88">
        <v>8751</v>
      </c>
      <c r="F28" s="87">
        <v>9297</v>
      </c>
      <c r="G28" s="87">
        <v>9954</v>
      </c>
      <c r="H28" s="87">
        <v>9142</v>
      </c>
      <c r="I28" s="87">
        <v>10816</v>
      </c>
      <c r="J28" s="87">
        <v>12034</v>
      </c>
      <c r="K28" s="87">
        <v>13459</v>
      </c>
      <c r="L28" s="87">
        <v>9411</v>
      </c>
      <c r="M28" s="87">
        <v>11423</v>
      </c>
      <c r="N28" s="87">
        <v>13400</v>
      </c>
      <c r="O28" s="87">
        <v>13261</v>
      </c>
      <c r="P28" s="87">
        <v>13467</v>
      </c>
      <c r="Q28" s="87">
        <v>13861</v>
      </c>
      <c r="R28" s="87">
        <v>13980.54</v>
      </c>
      <c r="S28" s="87">
        <v>14240.25</v>
      </c>
      <c r="T28" s="87">
        <v>14508.86</v>
      </c>
      <c r="U28" s="87">
        <v>13975.591</v>
      </c>
      <c r="V28" s="87">
        <v>13750.532999999999</v>
      </c>
      <c r="W28" s="562"/>
      <c r="X28" s="562"/>
      <c r="Y28" s="562"/>
    </row>
    <row r="29" spans="1:25" ht="16" customHeight="1">
      <c r="A29" s="77"/>
      <c r="B29" s="21" t="s">
        <v>45</v>
      </c>
      <c r="C29" s="86">
        <v>1246</v>
      </c>
      <c r="D29" s="86">
        <v>1439</v>
      </c>
      <c r="E29" s="88">
        <v>4449</v>
      </c>
      <c r="F29" s="87">
        <v>5934</v>
      </c>
      <c r="G29" s="87">
        <v>5688</v>
      </c>
      <c r="H29" s="87">
        <v>7745</v>
      </c>
      <c r="I29" s="87">
        <v>7859</v>
      </c>
      <c r="J29" s="87">
        <v>5023</v>
      </c>
      <c r="K29" s="87">
        <v>4356</v>
      </c>
      <c r="L29" s="87">
        <v>3973</v>
      </c>
      <c r="M29" s="87">
        <v>3831</v>
      </c>
      <c r="N29" s="87">
        <v>4457</v>
      </c>
      <c r="O29" s="87">
        <v>4896</v>
      </c>
      <c r="P29" s="87">
        <v>4918</v>
      </c>
      <c r="Q29" s="87">
        <v>5150</v>
      </c>
      <c r="R29" s="87">
        <v>5124.6899999999996</v>
      </c>
      <c r="S29" s="87">
        <v>5061.9799999999996</v>
      </c>
      <c r="T29" s="87">
        <v>4907.28</v>
      </c>
      <c r="U29" s="87">
        <v>4643.7209999999995</v>
      </c>
      <c r="V29" s="87">
        <v>4526.1350000000002</v>
      </c>
      <c r="W29" s="562"/>
      <c r="X29" s="562"/>
      <c r="Y29" s="562"/>
    </row>
    <row r="30" spans="1:25" ht="16" customHeight="1">
      <c r="A30" s="77"/>
      <c r="B30" s="21" t="s">
        <v>46</v>
      </c>
      <c r="C30" s="86">
        <v>3153</v>
      </c>
      <c r="D30" s="86">
        <v>3693</v>
      </c>
      <c r="E30" s="88">
        <v>4597</v>
      </c>
      <c r="F30" s="87">
        <v>4024</v>
      </c>
      <c r="G30" s="87">
        <v>3234</v>
      </c>
      <c r="H30" s="87">
        <v>3481</v>
      </c>
      <c r="I30" s="87">
        <v>3473</v>
      </c>
      <c r="J30" s="87">
        <v>4239</v>
      </c>
      <c r="K30" s="87">
        <v>5023</v>
      </c>
      <c r="L30" s="87">
        <v>4222</v>
      </c>
      <c r="M30" s="87">
        <v>4089</v>
      </c>
      <c r="N30" s="87">
        <v>3946</v>
      </c>
      <c r="O30" s="87">
        <v>4175</v>
      </c>
      <c r="P30" s="87">
        <v>3543</v>
      </c>
      <c r="Q30" s="87">
        <v>3711</v>
      </c>
      <c r="R30" s="87">
        <v>3703.24</v>
      </c>
      <c r="S30" s="87">
        <v>3562.84</v>
      </c>
      <c r="T30" s="87">
        <v>3482.13</v>
      </c>
      <c r="U30" s="87">
        <v>3326.92</v>
      </c>
      <c r="V30" s="87">
        <v>3222.011</v>
      </c>
      <c r="W30" s="562"/>
      <c r="X30" s="562"/>
      <c r="Y30" s="562"/>
    </row>
    <row r="31" spans="1:25" ht="16" customHeight="1">
      <c r="A31" s="77"/>
      <c r="B31" s="21" t="s">
        <v>47</v>
      </c>
      <c r="C31" s="86">
        <v>2191</v>
      </c>
      <c r="D31" s="86">
        <v>2421</v>
      </c>
      <c r="E31" s="88">
        <v>511</v>
      </c>
      <c r="F31" s="87">
        <v>659</v>
      </c>
      <c r="G31" s="87">
        <v>936</v>
      </c>
      <c r="H31" s="87">
        <v>1391</v>
      </c>
      <c r="I31" s="87">
        <v>1329</v>
      </c>
      <c r="J31" s="87">
        <v>1962</v>
      </c>
      <c r="K31" s="87">
        <v>1879</v>
      </c>
      <c r="L31" s="87">
        <v>1675</v>
      </c>
      <c r="M31" s="87">
        <v>2454</v>
      </c>
      <c r="N31" s="87">
        <v>2554</v>
      </c>
      <c r="O31" s="87">
        <v>3204</v>
      </c>
      <c r="P31" s="87">
        <v>3481</v>
      </c>
      <c r="Q31" s="87">
        <v>3471</v>
      </c>
      <c r="R31" s="87">
        <v>3437.25</v>
      </c>
      <c r="S31" s="87">
        <v>3401.72</v>
      </c>
      <c r="T31" s="87">
        <v>3356.28</v>
      </c>
      <c r="U31" s="87">
        <v>3151.3850000000002</v>
      </c>
      <c r="V31" s="87">
        <v>3033.3510000000001</v>
      </c>
      <c r="W31" s="562"/>
      <c r="X31" s="562"/>
      <c r="Y31" s="562"/>
    </row>
    <row r="32" spans="1:25" ht="5" customHeight="1" thickBot="1">
      <c r="A32" s="8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562"/>
    </row>
    <row r="33" spans="1:22" ht="9" customHeight="1">
      <c r="A33" s="449" t="s">
        <v>330</v>
      </c>
      <c r="B33" s="451"/>
      <c r="C33" s="469"/>
      <c r="D33" s="469"/>
      <c r="E33" s="469"/>
      <c r="F33" s="469"/>
      <c r="G33" s="469"/>
      <c r="H33" s="469"/>
      <c r="I33" s="469"/>
      <c r="J33" s="198"/>
      <c r="K33" s="198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spans="1:22" ht="9" customHeight="1">
      <c r="A34" s="449" t="s">
        <v>304</v>
      </c>
      <c r="B34" s="451"/>
      <c r="C34" s="469"/>
      <c r="D34" s="469"/>
      <c r="E34" s="469"/>
      <c r="F34" s="469"/>
      <c r="G34" s="469"/>
      <c r="H34" s="470"/>
      <c r="I34" s="470"/>
      <c r="J34" s="205"/>
      <c r="K34" s="205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</row>
    <row r="35" spans="1:22" ht="9" customHeight="1">
      <c r="A35" s="451" t="s">
        <v>303</v>
      </c>
      <c r="B35" s="451" t="s">
        <v>303</v>
      </c>
      <c r="C35" s="469"/>
      <c r="D35" s="469"/>
      <c r="E35" s="469"/>
      <c r="F35" s="469"/>
      <c r="G35" s="469"/>
      <c r="H35" s="470"/>
      <c r="I35" s="470"/>
      <c r="J35" s="205"/>
      <c r="K35" s="205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T5" numberStoredAsText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E136-D49C-4E03-A069-D89686CFFD1B}">
  <sheetPr>
    <tabColor theme="9" tint="0.59999389629810485"/>
  </sheetPr>
  <dimension ref="A2:AA35"/>
  <sheetViews>
    <sheetView showGridLines="0" zoomScaleNormal="100" zoomScaleSheetLayoutView="100" workbookViewId="0">
      <selection activeCell="V5" sqref="V5"/>
    </sheetView>
  </sheetViews>
  <sheetFormatPr baseColWidth="10" defaultColWidth="7" defaultRowHeight="13.25" customHeight="1"/>
  <cols>
    <col min="1" max="1" width="0.796875" style="76" customWidth="1"/>
    <col min="2" max="2" width="10.3984375" style="76" customWidth="1"/>
    <col min="3" max="3" width="8" style="76" hidden="1" customWidth="1"/>
    <col min="4" max="5" width="9" style="76" hidden="1" customWidth="1"/>
    <col min="6" max="22" width="7.796875" style="76" customWidth="1"/>
    <col min="23" max="24" width="8.59765625" style="76" customWidth="1"/>
    <col min="25" max="16384" width="7" style="76"/>
  </cols>
  <sheetData>
    <row r="2" spans="1:27" ht="15" customHeight="1">
      <c r="A2" s="210" t="s">
        <v>561</v>
      </c>
      <c r="B2" s="211"/>
      <c r="C2" s="211"/>
      <c r="D2" s="211"/>
      <c r="E2" s="211"/>
      <c r="F2" s="211"/>
    </row>
    <row r="3" spans="1:27" ht="13.25" customHeight="1">
      <c r="A3" s="399" t="s">
        <v>528</v>
      </c>
      <c r="B3" s="211"/>
      <c r="C3" s="211"/>
      <c r="D3" s="211"/>
      <c r="E3" s="211"/>
      <c r="F3" s="211"/>
    </row>
    <row r="4" spans="1:27" ht="6" customHeight="1" thickBo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7" ht="18" customHeight="1">
      <c r="A5" s="1056" t="s">
        <v>16</v>
      </c>
      <c r="B5" s="1056"/>
      <c r="C5" s="776">
        <v>2005</v>
      </c>
      <c r="D5" s="776">
        <v>2006</v>
      </c>
      <c r="E5" s="776">
        <v>2007</v>
      </c>
      <c r="F5" s="776">
        <v>2008</v>
      </c>
      <c r="G5" s="776">
        <v>2009</v>
      </c>
      <c r="H5" s="776">
        <v>2010</v>
      </c>
      <c r="I5" s="776">
        <v>2011</v>
      </c>
      <c r="J5" s="776">
        <v>2012</v>
      </c>
      <c r="K5" s="776">
        <v>2013</v>
      </c>
      <c r="L5" s="776">
        <v>2014</v>
      </c>
      <c r="M5" s="776">
        <v>2015</v>
      </c>
      <c r="N5" s="776">
        <v>2016</v>
      </c>
      <c r="O5" s="776">
        <v>2017</v>
      </c>
      <c r="P5" s="776" t="s">
        <v>180</v>
      </c>
      <c r="Q5" s="776" t="s">
        <v>296</v>
      </c>
      <c r="R5" s="776">
        <v>2020</v>
      </c>
      <c r="S5" s="776">
        <v>2021</v>
      </c>
      <c r="T5" s="776" t="s">
        <v>385</v>
      </c>
      <c r="U5" s="722" t="s">
        <v>490</v>
      </c>
      <c r="V5" s="722" t="s">
        <v>471</v>
      </c>
    </row>
    <row r="6" spans="1:27" ht="18" customHeight="1">
      <c r="A6" s="1055" t="s">
        <v>93</v>
      </c>
      <c r="B6" s="1055"/>
      <c r="C6" s="709">
        <f>(C8+C9+C10+C11+C12+C13+C14+C15+C16+C17+C18+C19+C20+C21+C22+C23+C24+C25+C26+C27+C28+C29+C30+C31)</f>
        <v>1236833</v>
      </c>
      <c r="D6" s="709">
        <f>(D8+D9+D10+D11+D12+D13+D14+D15+D16+D17+D18+D19+D20+D21+D22+D23+D24+D25+D26+D27+D28+D29+D30+D31)</f>
        <v>1346991</v>
      </c>
      <c r="E6" s="710">
        <v>257621</v>
      </c>
      <c r="F6" s="923">
        <v>15.634095268260923</v>
      </c>
      <c r="G6" s="923">
        <v>15.61668913892505</v>
      </c>
      <c r="H6" s="923">
        <v>15.702302731223185</v>
      </c>
      <c r="I6" s="923">
        <v>15.921947600836059</v>
      </c>
      <c r="J6" s="923">
        <v>15.82271847791035</v>
      </c>
      <c r="K6" s="923">
        <v>16.04133800491617</v>
      </c>
      <c r="L6" s="923">
        <v>16.04371614034617</v>
      </c>
      <c r="M6" s="923">
        <v>16.172597589110381</v>
      </c>
      <c r="N6" s="923">
        <v>16.199837589537857</v>
      </c>
      <c r="O6" s="923">
        <v>16.249579417679325</v>
      </c>
      <c r="P6" s="923">
        <v>16.322778345250256</v>
      </c>
      <c r="Q6" s="923">
        <v>16.576206029749176</v>
      </c>
      <c r="R6" s="923">
        <v>16.965422345687063</v>
      </c>
      <c r="S6" s="923">
        <v>17.419860965809889</v>
      </c>
      <c r="T6" s="923">
        <v>17.323915105758413</v>
      </c>
      <c r="U6" s="923">
        <v>18.068291901192413</v>
      </c>
      <c r="V6" s="923">
        <v>18.31402120045912</v>
      </c>
      <c r="X6" s="84"/>
    </row>
    <row r="7" spans="1:27" ht="4.25" customHeight="1">
      <c r="A7" s="77"/>
      <c r="B7" s="78"/>
      <c r="C7" s="85"/>
      <c r="D7" s="85"/>
      <c r="E7" s="85"/>
      <c r="F7" s="919"/>
      <c r="G7" s="919"/>
      <c r="H7" s="919"/>
      <c r="I7" s="919"/>
      <c r="J7" s="919"/>
      <c r="K7" s="919"/>
      <c r="L7" s="919"/>
      <c r="M7" s="919"/>
      <c r="N7" s="919"/>
      <c r="O7" s="919"/>
      <c r="P7" s="919"/>
      <c r="Q7" s="919"/>
      <c r="R7" s="919"/>
      <c r="S7" s="919"/>
      <c r="T7" s="919"/>
      <c r="U7" s="919"/>
      <c r="V7" s="919"/>
    </row>
    <row r="8" spans="1:27" ht="16" customHeight="1">
      <c r="A8" s="77"/>
      <c r="B8" s="21" t="s">
        <v>19</v>
      </c>
      <c r="C8" s="86">
        <v>362</v>
      </c>
      <c r="D8" s="86">
        <v>397</v>
      </c>
      <c r="E8" s="88">
        <v>87</v>
      </c>
      <c r="F8" s="920">
        <v>6.3970588235294121</v>
      </c>
      <c r="G8" s="920">
        <v>6.3970588235294121</v>
      </c>
      <c r="H8" s="920">
        <v>6.3768115942028984</v>
      </c>
      <c r="I8" s="920">
        <v>6.4028776978417268</v>
      </c>
      <c r="J8" s="920">
        <v>6.3829787234042552</v>
      </c>
      <c r="K8" s="920">
        <v>6.408450704225352</v>
      </c>
      <c r="L8" s="920">
        <v>6.6438356164383565</v>
      </c>
      <c r="M8" s="920">
        <v>7</v>
      </c>
      <c r="N8" s="920">
        <v>7.7018633540372665</v>
      </c>
      <c r="O8" s="920">
        <v>8.595505617977528</v>
      </c>
      <c r="P8" s="920">
        <v>6.5333333333333332</v>
      </c>
      <c r="Q8" s="920">
        <v>6.6438753789589109</v>
      </c>
      <c r="R8" s="920">
        <v>6.6031059563593475</v>
      </c>
      <c r="S8" s="920">
        <v>9.0108724476266229</v>
      </c>
      <c r="T8" s="920">
        <v>7.6558405463352655</v>
      </c>
      <c r="U8" s="920">
        <v>14.483901219130979</v>
      </c>
      <c r="V8" s="920">
        <v>12.845147375988496</v>
      </c>
      <c r="W8" s="562"/>
      <c r="X8" s="562"/>
      <c r="Y8" s="562"/>
      <c r="Z8" s="562"/>
      <c r="AA8" s="562"/>
    </row>
    <row r="9" spans="1:27" ht="16" customHeight="1">
      <c r="A9" s="77"/>
      <c r="B9" s="21" t="s">
        <v>20</v>
      </c>
      <c r="C9" s="86">
        <v>29012</v>
      </c>
      <c r="D9" s="86">
        <v>33615</v>
      </c>
      <c r="E9" s="88">
        <v>4254</v>
      </c>
      <c r="F9" s="920">
        <v>12.380697050938338</v>
      </c>
      <c r="G9" s="920">
        <v>11.81157225083308</v>
      </c>
      <c r="H9" s="920">
        <v>8.5929203539823007</v>
      </c>
      <c r="I9" s="920">
        <v>10.408519553072626</v>
      </c>
      <c r="J9" s="920">
        <v>12.285864424592747</v>
      </c>
      <c r="K9" s="920">
        <v>11.12772585669782</v>
      </c>
      <c r="L9" s="920">
        <v>11.695767978691922</v>
      </c>
      <c r="M9" s="920">
        <v>12.478866235703631</v>
      </c>
      <c r="N9" s="920">
        <v>12.32462877624168</v>
      </c>
      <c r="O9" s="920">
        <v>11.819699499165276</v>
      </c>
      <c r="P9" s="920">
        <v>11.842528119978576</v>
      </c>
      <c r="Q9" s="920">
        <v>12.005705180009576</v>
      </c>
      <c r="R9" s="920">
        <v>12.052837788449496</v>
      </c>
      <c r="S9" s="920">
        <v>12.413587878292498</v>
      </c>
      <c r="T9" s="920">
        <v>12.958090856259858</v>
      </c>
      <c r="U9" s="920">
        <v>14.832961194581319</v>
      </c>
      <c r="V9" s="920">
        <v>13.421113518782775</v>
      </c>
      <c r="W9" s="562"/>
      <c r="X9" s="562"/>
      <c r="Y9" s="562"/>
      <c r="Z9" s="562"/>
      <c r="AA9" s="562"/>
    </row>
    <row r="10" spans="1:27" ht="16" customHeight="1">
      <c r="A10" s="77"/>
      <c r="B10" s="21" t="s">
        <v>21</v>
      </c>
      <c r="C10" s="86">
        <v>29656</v>
      </c>
      <c r="D10" s="86">
        <v>28602</v>
      </c>
      <c r="E10" s="88">
        <v>6548</v>
      </c>
      <c r="F10" s="920">
        <v>15.489013356311935</v>
      </c>
      <c r="G10" s="920">
        <v>15.507790501220198</v>
      </c>
      <c r="H10" s="920">
        <v>16.460417438557489</v>
      </c>
      <c r="I10" s="920">
        <v>16.869995056846268</v>
      </c>
      <c r="J10" s="920">
        <v>16.203330647327423</v>
      </c>
      <c r="K10" s="920">
        <v>16.464976148631685</v>
      </c>
      <c r="L10" s="920">
        <v>15.474392646093236</v>
      </c>
      <c r="M10" s="920">
        <v>15.546051322856576</v>
      </c>
      <c r="N10" s="920">
        <v>15.348534201954397</v>
      </c>
      <c r="O10" s="920">
        <v>15.39263673121941</v>
      </c>
      <c r="P10" s="920">
        <v>15.242243943901402</v>
      </c>
      <c r="Q10" s="920">
        <v>15.372979826349324</v>
      </c>
      <c r="R10" s="920">
        <v>15.639155401076369</v>
      </c>
      <c r="S10" s="920">
        <v>16.326005009903042</v>
      </c>
      <c r="T10" s="920">
        <v>16.80872121059037</v>
      </c>
      <c r="U10" s="920">
        <v>16.464214224197608</v>
      </c>
      <c r="V10" s="920">
        <v>15.828378175952064</v>
      </c>
      <c r="W10" s="562"/>
      <c r="X10" s="562"/>
      <c r="Y10" s="562"/>
      <c r="Z10" s="562"/>
      <c r="AA10" s="562"/>
    </row>
    <row r="11" spans="1:27" ht="16" customHeight="1">
      <c r="A11" s="77"/>
      <c r="B11" s="21" t="s">
        <v>22</v>
      </c>
      <c r="C11" s="86">
        <v>79695</v>
      </c>
      <c r="D11" s="86">
        <v>90775</v>
      </c>
      <c r="E11" s="88">
        <v>42798</v>
      </c>
      <c r="F11" s="920">
        <v>17.183320716628817</v>
      </c>
      <c r="G11" s="920">
        <v>17.118892508143322</v>
      </c>
      <c r="H11" s="920">
        <v>17.134098360655738</v>
      </c>
      <c r="I11" s="920">
        <v>17.169063930647098</v>
      </c>
      <c r="J11" s="920">
        <v>17.023466309084814</v>
      </c>
      <c r="K11" s="920">
        <v>17.253485209112547</v>
      </c>
      <c r="L11" s="920">
        <v>17.126628604889476</v>
      </c>
      <c r="M11" s="920">
        <v>17.324211045364891</v>
      </c>
      <c r="N11" s="920">
        <v>17.220459854912086</v>
      </c>
      <c r="O11" s="920">
        <v>17.304448820885725</v>
      </c>
      <c r="P11" s="920">
        <v>17.258090083561676</v>
      </c>
      <c r="Q11" s="920">
        <v>17.450230326176584</v>
      </c>
      <c r="R11" s="920">
        <v>17.660885350079273</v>
      </c>
      <c r="S11" s="920">
        <v>18.410728033648351</v>
      </c>
      <c r="T11" s="920">
        <v>18.382507528013814</v>
      </c>
      <c r="U11" s="920">
        <v>17.903378119210434</v>
      </c>
      <c r="V11" s="920">
        <v>18.11051124677677</v>
      </c>
      <c r="W11" s="562"/>
      <c r="X11" s="562"/>
      <c r="Y11" s="562"/>
      <c r="Z11" s="562"/>
      <c r="AA11" s="562"/>
    </row>
    <row r="12" spans="1:27" ht="16" customHeight="1">
      <c r="A12" s="77"/>
      <c r="B12" s="21" t="s">
        <v>23</v>
      </c>
      <c r="C12" s="86">
        <v>225648</v>
      </c>
      <c r="D12" s="86">
        <v>239969</v>
      </c>
      <c r="E12" s="88">
        <v>2179</v>
      </c>
      <c r="F12" s="920">
        <v>4.9486253818383776</v>
      </c>
      <c r="G12" s="920">
        <v>4.9298486932599728</v>
      </c>
      <c r="H12" s="920">
        <v>5.1880709296077381</v>
      </c>
      <c r="I12" s="920">
        <v>5.5115255115255115</v>
      </c>
      <c r="J12" s="920">
        <v>6.430776537639515</v>
      </c>
      <c r="K12" s="920">
        <v>6.407766990291262</v>
      </c>
      <c r="L12" s="920">
        <v>6.0838150289017339</v>
      </c>
      <c r="M12" s="920">
        <v>6.1991383437051217</v>
      </c>
      <c r="N12" s="920">
        <v>6.4412313432835822</v>
      </c>
      <c r="O12" s="920">
        <v>5.7696078431372548</v>
      </c>
      <c r="P12" s="920">
        <v>5.6017399710004829</v>
      </c>
      <c r="Q12" s="920">
        <v>5.5756276077480713</v>
      </c>
      <c r="R12" s="920">
        <v>5.5581565884476536</v>
      </c>
      <c r="S12" s="920">
        <v>5.6143752843597863</v>
      </c>
      <c r="T12" s="920">
        <v>5.4876709668262729</v>
      </c>
      <c r="U12" s="920">
        <v>10.324475240864938</v>
      </c>
      <c r="V12" s="920">
        <v>9.124052004333695</v>
      </c>
      <c r="W12" s="562"/>
      <c r="X12" s="562"/>
      <c r="Y12" s="562"/>
      <c r="Z12" s="562"/>
      <c r="AA12" s="562"/>
    </row>
    <row r="13" spans="1:27" ht="16" customHeight="1">
      <c r="A13" s="77"/>
      <c r="B13" s="21" t="s">
        <v>27</v>
      </c>
      <c r="C13" s="86">
        <v>58117</v>
      </c>
      <c r="D13" s="86">
        <v>59002</v>
      </c>
      <c r="E13" s="88">
        <v>357</v>
      </c>
      <c r="F13" s="920">
        <v>4.7299077733860342</v>
      </c>
      <c r="G13" s="920">
        <v>4.7313237221494102</v>
      </c>
      <c r="H13" s="920">
        <v>4.7272727272727275</v>
      </c>
      <c r="I13" s="920">
        <v>4.7300771208226227</v>
      </c>
      <c r="J13" s="920">
        <v>7.154471544715447</v>
      </c>
      <c r="K13" s="920">
        <v>8.365384615384615</v>
      </c>
      <c r="L13" s="920">
        <v>5.8752735229759292</v>
      </c>
      <c r="M13" s="920">
        <v>5.7439446366782008</v>
      </c>
      <c r="N13" s="920">
        <v>7.9470198675496686</v>
      </c>
      <c r="O13" s="920">
        <v>8.1915846016114582</v>
      </c>
      <c r="P13" s="920">
        <v>10.271777003484321</v>
      </c>
      <c r="Q13" s="920">
        <v>10.58416150646447</v>
      </c>
      <c r="R13" s="920">
        <v>11.195336631134026</v>
      </c>
      <c r="S13" s="920">
        <v>10.986010046838951</v>
      </c>
      <c r="T13" s="920">
        <v>10.752514901672429</v>
      </c>
      <c r="U13" s="920">
        <v>14.502785234899328</v>
      </c>
      <c r="V13" s="920">
        <v>11.355103523428985</v>
      </c>
      <c r="W13" s="562"/>
      <c r="X13" s="562"/>
      <c r="Y13" s="562"/>
      <c r="Z13" s="562"/>
      <c r="AA13" s="562"/>
    </row>
    <row r="14" spans="1:27" ht="16" customHeight="1">
      <c r="A14" s="77"/>
      <c r="B14" s="21" t="s">
        <v>28</v>
      </c>
      <c r="C14" s="392">
        <v>17683</v>
      </c>
      <c r="D14" s="392">
        <v>17603</v>
      </c>
      <c r="E14" s="393">
        <v>2555</v>
      </c>
      <c r="F14" s="920">
        <v>10.605648179652944</v>
      </c>
      <c r="G14" s="920">
        <v>10.908284023668639</v>
      </c>
      <c r="H14" s="920">
        <v>14.294946147473073</v>
      </c>
      <c r="I14" s="920">
        <v>13.923865300146414</v>
      </c>
      <c r="J14" s="920">
        <v>10.003554923569142</v>
      </c>
      <c r="K14" s="920">
        <v>9.6087283671933772</v>
      </c>
      <c r="L14" s="920">
        <v>5.4545454545454541</v>
      </c>
      <c r="M14" s="920">
        <v>6.2311296199895887</v>
      </c>
      <c r="N14" s="920">
        <v>6.3319672131147549</v>
      </c>
      <c r="O14" s="920">
        <v>6.4224355735219802</v>
      </c>
      <c r="P14" s="920">
        <v>6.3152660367976132</v>
      </c>
      <c r="Q14" s="920">
        <v>6.4271532662462798</v>
      </c>
      <c r="R14" s="920">
        <v>6.5371607767458686</v>
      </c>
      <c r="S14" s="920">
        <v>6.4584378013500485</v>
      </c>
      <c r="T14" s="920">
        <v>6.5195492912884223</v>
      </c>
      <c r="U14" s="920">
        <v>8.1419913477448986</v>
      </c>
      <c r="V14" s="920">
        <v>10.986838700136788</v>
      </c>
      <c r="W14" s="562"/>
      <c r="X14" s="562"/>
      <c r="Y14" s="562"/>
      <c r="Z14" s="562"/>
      <c r="AA14" s="562"/>
    </row>
    <row r="15" spans="1:27" ht="16" customHeight="1">
      <c r="A15" s="77"/>
      <c r="B15" s="21" t="s">
        <v>29</v>
      </c>
      <c r="C15" s="392">
        <v>222553</v>
      </c>
      <c r="D15" s="392">
        <v>238193</v>
      </c>
      <c r="E15" s="393">
        <v>83226</v>
      </c>
      <c r="F15" s="920">
        <v>17.524698729779612</v>
      </c>
      <c r="G15" s="920">
        <v>17.542758222735142</v>
      </c>
      <c r="H15" s="920">
        <v>17.483094499914557</v>
      </c>
      <c r="I15" s="920">
        <v>17.618575987674699</v>
      </c>
      <c r="J15" s="920">
        <v>17.491786155160952</v>
      </c>
      <c r="K15" s="920">
        <v>17.634515374387803</v>
      </c>
      <c r="L15" s="920">
        <v>17.67431163557924</v>
      </c>
      <c r="M15" s="920">
        <v>17.587145969498913</v>
      </c>
      <c r="N15" s="920">
        <v>17.565430523612068</v>
      </c>
      <c r="O15" s="920">
        <v>17.607024589058543</v>
      </c>
      <c r="P15" s="920">
        <v>17.59810086337238</v>
      </c>
      <c r="Q15" s="920">
        <v>17.78302763992826</v>
      </c>
      <c r="R15" s="920">
        <v>18.070848084306359</v>
      </c>
      <c r="S15" s="920">
        <v>18.072030094634808</v>
      </c>
      <c r="T15" s="920">
        <v>17.684737224703277</v>
      </c>
      <c r="U15" s="920">
        <v>18.449902940728204</v>
      </c>
      <c r="V15" s="920">
        <v>18.635245917315288</v>
      </c>
      <c r="W15" s="562"/>
      <c r="X15" s="562"/>
      <c r="Y15" s="562"/>
      <c r="Z15" s="562"/>
      <c r="AA15" s="562"/>
    </row>
    <row r="16" spans="1:27" ht="16" customHeight="1">
      <c r="A16" s="77"/>
      <c r="B16" s="21" t="s">
        <v>30</v>
      </c>
      <c r="C16" s="392">
        <v>17112</v>
      </c>
      <c r="D16" s="392">
        <v>18626</v>
      </c>
      <c r="E16" s="393">
        <v>80717</v>
      </c>
      <c r="F16" s="920">
        <v>17.698073539157662</v>
      </c>
      <c r="G16" s="920">
        <v>17.759360788813805</v>
      </c>
      <c r="H16" s="920">
        <v>17.746822183275921</v>
      </c>
      <c r="I16" s="920">
        <v>17.719361205813744</v>
      </c>
      <c r="J16" s="920">
        <v>17.72187853968807</v>
      </c>
      <c r="K16" s="920">
        <v>17.732668344675432</v>
      </c>
      <c r="L16" s="920">
        <v>17.76846618592867</v>
      </c>
      <c r="M16" s="920">
        <v>17.741467415305028</v>
      </c>
      <c r="N16" s="920">
        <v>17.779849070164406</v>
      </c>
      <c r="O16" s="920">
        <v>17.762827822120865</v>
      </c>
      <c r="P16" s="920">
        <v>17.768093862530172</v>
      </c>
      <c r="Q16" s="920">
        <v>18.043570478438376</v>
      </c>
      <c r="R16" s="920">
        <v>18.86521440670888</v>
      </c>
      <c r="S16" s="920">
        <v>19.672910975357045</v>
      </c>
      <c r="T16" s="920">
        <v>19.181000539921573</v>
      </c>
      <c r="U16" s="920">
        <v>19.179128573365404</v>
      </c>
      <c r="V16" s="920">
        <v>19.682735125232959</v>
      </c>
      <c r="W16" s="562"/>
      <c r="X16" s="562"/>
      <c r="Y16" s="562"/>
      <c r="Z16" s="562"/>
      <c r="AA16" s="562"/>
    </row>
    <row r="17" spans="1:27" ht="16" customHeight="1">
      <c r="A17" s="77"/>
      <c r="B17" s="21" t="s">
        <v>31</v>
      </c>
      <c r="C17" s="86">
        <v>21338</v>
      </c>
      <c r="D17" s="86">
        <v>25715</v>
      </c>
      <c r="E17" s="88">
        <v>788</v>
      </c>
      <c r="F17" s="920">
        <v>4.8298008991650612</v>
      </c>
      <c r="G17" s="920">
        <v>4.7361647361647359</v>
      </c>
      <c r="H17" s="920">
        <v>4.7321428571428568</v>
      </c>
      <c r="I17" s="920">
        <v>4.7285353535353529</v>
      </c>
      <c r="J17" s="920">
        <v>5.0487210718635813</v>
      </c>
      <c r="K17" s="920">
        <v>6.072222222222222</v>
      </c>
      <c r="L17" s="920">
        <v>6.5535524920466601</v>
      </c>
      <c r="M17" s="920">
        <v>5.9587513935340022</v>
      </c>
      <c r="N17" s="920">
        <v>6.6296883254094023</v>
      </c>
      <c r="O17" s="920">
        <v>6.5123619147816942</v>
      </c>
      <c r="P17" s="920">
        <v>6.7469879518072293</v>
      </c>
      <c r="Q17" s="920">
        <v>6.78916102547909</v>
      </c>
      <c r="R17" s="920">
        <v>6.8532810772786652</v>
      </c>
      <c r="S17" s="920">
        <v>7.1610150659970664</v>
      </c>
      <c r="T17" s="920">
        <v>7.2028822704282085</v>
      </c>
      <c r="U17" s="920">
        <v>10.292507894830218</v>
      </c>
      <c r="V17" s="920">
        <v>10.728032708032709</v>
      </c>
      <c r="W17" s="562"/>
      <c r="X17" s="562"/>
      <c r="Y17" s="562"/>
      <c r="Z17" s="562"/>
      <c r="AA17" s="562"/>
    </row>
    <row r="18" spans="1:27" ht="16" customHeight="1">
      <c r="A18" s="77"/>
      <c r="B18" s="21" t="s">
        <v>32</v>
      </c>
      <c r="C18" s="86">
        <v>18055</v>
      </c>
      <c r="D18" s="86">
        <v>18298</v>
      </c>
      <c r="E18" s="88">
        <v>163</v>
      </c>
      <c r="F18" s="920">
        <v>4.7398843930635834</v>
      </c>
      <c r="G18" s="920">
        <v>4.7413793103448283</v>
      </c>
      <c r="H18" s="920">
        <v>4.7159090909090908</v>
      </c>
      <c r="I18" s="920">
        <v>4.732394366197183</v>
      </c>
      <c r="J18" s="920">
        <v>4.7353760445682456</v>
      </c>
      <c r="K18" s="920">
        <v>4.8360655737704912</v>
      </c>
      <c r="L18" s="920">
        <v>4.8228882833787461</v>
      </c>
      <c r="M18" s="920">
        <v>4.9322493224932256</v>
      </c>
      <c r="N18" s="920">
        <v>5</v>
      </c>
      <c r="O18" s="920">
        <v>4.8238482384823849</v>
      </c>
      <c r="P18" s="920">
        <v>4.7354497354497358</v>
      </c>
      <c r="Q18" s="920">
        <v>4.7154010667628645</v>
      </c>
      <c r="R18" s="920">
        <v>4.7959046929859825</v>
      </c>
      <c r="S18" s="920">
        <v>4.7688175115734124</v>
      </c>
      <c r="T18" s="920">
        <v>4.6361087407046204</v>
      </c>
      <c r="U18" s="920">
        <v>10.179196924391286</v>
      </c>
      <c r="V18" s="920">
        <v>10.556728438501837</v>
      </c>
      <c r="W18" s="562"/>
      <c r="X18" s="562"/>
      <c r="Y18" s="562"/>
      <c r="Z18" s="562"/>
      <c r="AA18" s="562"/>
    </row>
    <row r="19" spans="1:27" ht="16" customHeight="1">
      <c r="A19" s="77"/>
      <c r="B19" s="21" t="s">
        <v>33</v>
      </c>
      <c r="C19" s="86">
        <v>18612</v>
      </c>
      <c r="D19" s="86">
        <v>19206</v>
      </c>
      <c r="E19" s="88">
        <v>702</v>
      </c>
      <c r="F19" s="920">
        <v>5.1774076755973937</v>
      </c>
      <c r="G19" s="920">
        <v>4.773570898292502</v>
      </c>
      <c r="H19" s="920">
        <v>4.8243045387994146</v>
      </c>
      <c r="I19" s="920">
        <v>5.7926421404682271</v>
      </c>
      <c r="J19" s="920">
        <v>7.0808561236623069</v>
      </c>
      <c r="K19" s="920">
        <v>7.584269662921348</v>
      </c>
      <c r="L19" s="920">
        <v>6.8586698337292162</v>
      </c>
      <c r="M19" s="920">
        <v>8.2776617954070986</v>
      </c>
      <c r="N19" s="920">
        <v>7.795962902345881</v>
      </c>
      <c r="O19" s="920">
        <v>6.7523923444976077</v>
      </c>
      <c r="P19" s="920">
        <v>6.6156562683931721</v>
      </c>
      <c r="Q19" s="920">
        <v>6.5372156869661318</v>
      </c>
      <c r="R19" s="920">
        <v>6.5751945332701389</v>
      </c>
      <c r="S19" s="920">
        <v>6.6972517424066274</v>
      </c>
      <c r="T19" s="920">
        <v>7.7394068916561567</v>
      </c>
      <c r="U19" s="920">
        <v>11.308304326205869</v>
      </c>
      <c r="V19" s="920">
        <v>9.4348341704536409</v>
      </c>
      <c r="W19" s="562"/>
      <c r="X19" s="562"/>
      <c r="Y19" s="562"/>
      <c r="Z19" s="562"/>
      <c r="AA19" s="562"/>
    </row>
    <row r="20" spans="1:27" ht="16" customHeight="1">
      <c r="A20" s="77"/>
      <c r="B20" s="21" t="s">
        <v>34</v>
      </c>
      <c r="C20" s="86">
        <v>13276</v>
      </c>
      <c r="D20" s="86">
        <v>14808</v>
      </c>
      <c r="E20" s="88">
        <v>605</v>
      </c>
      <c r="F20" s="920">
        <v>4.7278382581648524</v>
      </c>
      <c r="G20" s="920">
        <v>4.7291021671826625</v>
      </c>
      <c r="H20" s="920">
        <v>4.7279693486590038</v>
      </c>
      <c r="I20" s="920">
        <v>4.7268588770864941</v>
      </c>
      <c r="J20" s="920">
        <v>4.7257700976709245</v>
      </c>
      <c r="K20" s="920">
        <v>4.7247023809523805</v>
      </c>
      <c r="L20" s="920">
        <v>4.7263313609467463</v>
      </c>
      <c r="M20" s="920">
        <v>4.7559171597633139</v>
      </c>
      <c r="N20" s="920">
        <v>4.9346879535558781</v>
      </c>
      <c r="O20" s="920">
        <v>5.0750536097212295</v>
      </c>
      <c r="P20" s="920">
        <v>4.7251962883654537</v>
      </c>
      <c r="Q20" s="920">
        <v>4.6912854122029435</v>
      </c>
      <c r="R20" s="920">
        <v>4.6083798921844217</v>
      </c>
      <c r="S20" s="920">
        <v>4.3779889096881295</v>
      </c>
      <c r="T20" s="920">
        <v>4.3551984402463706</v>
      </c>
      <c r="U20" s="920">
        <v>10.097274778052686</v>
      </c>
      <c r="V20" s="920">
        <v>10.148925450070733</v>
      </c>
      <c r="W20" s="562"/>
      <c r="X20" s="562"/>
      <c r="Y20" s="562"/>
      <c r="Z20" s="562"/>
      <c r="AA20" s="562"/>
    </row>
    <row r="21" spans="1:27" ht="16" customHeight="1">
      <c r="A21" s="77"/>
      <c r="B21" s="21" t="s">
        <v>35</v>
      </c>
      <c r="C21" s="86">
        <v>296833</v>
      </c>
      <c r="D21" s="86">
        <v>328025</v>
      </c>
      <c r="E21" s="88">
        <v>6432</v>
      </c>
      <c r="F21" s="920">
        <v>15.820178448867535</v>
      </c>
      <c r="G21" s="920">
        <v>15.769299982004677</v>
      </c>
      <c r="H21" s="920">
        <v>16.744465832531279</v>
      </c>
      <c r="I21" s="920">
        <v>16.820347867524422</v>
      </c>
      <c r="J21" s="920">
        <v>16.453337406445698</v>
      </c>
      <c r="K21" s="920">
        <v>15.945378151260504</v>
      </c>
      <c r="L21" s="920">
        <v>16.402550091074684</v>
      </c>
      <c r="M21" s="920">
        <v>16.569243376126739</v>
      </c>
      <c r="N21" s="920">
        <v>16.602435434229896</v>
      </c>
      <c r="O21" s="920">
        <v>16.289773568151546</v>
      </c>
      <c r="P21" s="920">
        <v>16.905373471694237</v>
      </c>
      <c r="Q21" s="920">
        <v>17.032677224578087</v>
      </c>
      <c r="R21" s="920">
        <v>16.648738712779775</v>
      </c>
      <c r="S21" s="920">
        <v>16.657081672419192</v>
      </c>
      <c r="T21" s="920">
        <v>15.777229531847238</v>
      </c>
      <c r="U21" s="920">
        <v>15.638128344128416</v>
      </c>
      <c r="V21" s="920">
        <v>16.159632003174298</v>
      </c>
      <c r="W21" s="562"/>
      <c r="X21" s="562"/>
      <c r="Y21" s="562"/>
      <c r="Z21" s="562"/>
      <c r="AA21" s="562"/>
    </row>
    <row r="22" spans="1:27" ht="16" customHeight="1">
      <c r="A22" s="77"/>
      <c r="B22" s="21" t="s">
        <v>36</v>
      </c>
      <c r="C22" s="86">
        <v>16361</v>
      </c>
      <c r="D22" s="86">
        <v>16034</v>
      </c>
      <c r="E22" s="88">
        <v>519</v>
      </c>
      <c r="F22" s="920">
        <v>15.874125874125875</v>
      </c>
      <c r="G22" s="920">
        <v>16.466876971608833</v>
      </c>
      <c r="H22" s="920">
        <v>7.0692717584369449</v>
      </c>
      <c r="I22" s="920">
        <v>11.169977924944813</v>
      </c>
      <c r="J22" s="920">
        <v>12.144522144522146</v>
      </c>
      <c r="K22" s="920">
        <v>13.513986013986013</v>
      </c>
      <c r="L22" s="920">
        <v>13.926868044515103</v>
      </c>
      <c r="M22" s="920">
        <v>13.02734375</v>
      </c>
      <c r="N22" s="920">
        <v>8.7364620938628157</v>
      </c>
      <c r="O22" s="920">
        <v>7.7470355731225293</v>
      </c>
      <c r="P22" s="920">
        <v>10.571428571428571</v>
      </c>
      <c r="Q22" s="920">
        <v>10.712130356065177</v>
      </c>
      <c r="R22" s="920">
        <v>10.905468920222866</v>
      </c>
      <c r="S22" s="920">
        <v>10.863668127819071</v>
      </c>
      <c r="T22" s="920">
        <v>10.364249789134984</v>
      </c>
      <c r="U22" s="920">
        <v>13.190464005458889</v>
      </c>
      <c r="V22" s="920">
        <v>15.941208286007898</v>
      </c>
      <c r="W22" s="562"/>
      <c r="X22" s="562"/>
      <c r="Y22" s="562"/>
      <c r="Z22" s="562"/>
      <c r="AA22" s="562"/>
    </row>
    <row r="23" spans="1:27" ht="16" customHeight="1">
      <c r="A23" s="77"/>
      <c r="B23" s="21" t="s">
        <v>37</v>
      </c>
      <c r="C23" s="86">
        <v>21868</v>
      </c>
      <c r="D23" s="86">
        <v>22100</v>
      </c>
      <c r="E23" s="88">
        <v>2971</v>
      </c>
      <c r="F23" s="920">
        <v>16.31279129984464</v>
      </c>
      <c r="G23" s="920">
        <v>15.735763097949887</v>
      </c>
      <c r="H23" s="920">
        <v>16.49377593360996</v>
      </c>
      <c r="I23" s="920">
        <v>16.849180327868851</v>
      </c>
      <c r="J23" s="920">
        <v>16.599099099099099</v>
      </c>
      <c r="K23" s="920">
        <v>16.611539875045938</v>
      </c>
      <c r="L23" s="920">
        <v>16.95069204152249</v>
      </c>
      <c r="M23" s="920">
        <v>16.697377746279237</v>
      </c>
      <c r="N23" s="920">
        <v>16.900763358778626</v>
      </c>
      <c r="O23" s="920">
        <v>16.786524133462908</v>
      </c>
      <c r="P23" s="920">
        <v>16.787822305063685</v>
      </c>
      <c r="Q23" s="920">
        <v>17.025336966045348</v>
      </c>
      <c r="R23" s="920">
        <v>17.044131743184327</v>
      </c>
      <c r="S23" s="920">
        <v>16.983405199765983</v>
      </c>
      <c r="T23" s="920">
        <v>16.905239508946483</v>
      </c>
      <c r="U23" s="920">
        <v>16.243208313378688</v>
      </c>
      <c r="V23" s="920">
        <v>16.229837848658747</v>
      </c>
      <c r="W23" s="562"/>
      <c r="X23" s="562"/>
      <c r="Y23" s="562"/>
      <c r="Z23" s="562"/>
      <c r="AA23" s="562"/>
    </row>
    <row r="24" spans="1:27" ht="16" customHeight="1">
      <c r="A24" s="77"/>
      <c r="B24" s="21" t="s">
        <v>38</v>
      </c>
      <c r="C24" s="86">
        <v>22805</v>
      </c>
      <c r="D24" s="86">
        <v>22700</v>
      </c>
      <c r="E24" s="88">
        <v>658</v>
      </c>
      <c r="F24" s="920">
        <v>4.7280638143582303</v>
      </c>
      <c r="G24" s="920">
        <v>4.7258297258297262</v>
      </c>
      <c r="H24" s="920">
        <v>4.7285714285714286</v>
      </c>
      <c r="I24" s="920">
        <v>4.7349823321554769</v>
      </c>
      <c r="J24" s="920">
        <v>5.1055139550714772</v>
      </c>
      <c r="K24" s="920">
        <v>5.1244115669132482</v>
      </c>
      <c r="L24" s="920">
        <v>5.2711640211640214</v>
      </c>
      <c r="M24" s="920">
        <v>5.2649006622516552</v>
      </c>
      <c r="N24" s="920">
        <v>6.3734939759036147</v>
      </c>
      <c r="O24" s="920">
        <v>5.8375000000000004</v>
      </c>
      <c r="P24" s="920">
        <v>5.6230626162430246</v>
      </c>
      <c r="Q24" s="920">
        <v>5.4944717633263966</v>
      </c>
      <c r="R24" s="920">
        <v>5.4884392344259441</v>
      </c>
      <c r="S24" s="920">
        <v>5.3409703589528901</v>
      </c>
      <c r="T24" s="920">
        <v>6.6652230770537182</v>
      </c>
      <c r="U24" s="920">
        <v>11.631259313859022</v>
      </c>
      <c r="V24" s="920">
        <v>10.153550360498143</v>
      </c>
      <c r="W24" s="562"/>
      <c r="X24" s="562"/>
      <c r="Y24" s="562"/>
      <c r="Z24" s="562"/>
      <c r="AA24" s="562"/>
    </row>
    <row r="25" spans="1:27" ht="16" customHeight="1">
      <c r="A25" s="77"/>
      <c r="B25" s="21" t="s">
        <v>39</v>
      </c>
      <c r="C25" s="86">
        <v>29143</v>
      </c>
      <c r="D25" s="86">
        <v>34380</v>
      </c>
      <c r="E25" s="88">
        <v>492</v>
      </c>
      <c r="F25" s="920">
        <v>4.7235693501454898</v>
      </c>
      <c r="G25" s="920">
        <v>4.7297297297297298</v>
      </c>
      <c r="H25" s="920">
        <v>4.7323135755258132</v>
      </c>
      <c r="I25" s="920">
        <v>4.8408239700374533</v>
      </c>
      <c r="J25" s="920">
        <v>5.9274873524451941</v>
      </c>
      <c r="K25" s="920">
        <v>6.9703872437357637</v>
      </c>
      <c r="L25" s="920">
        <v>5.1618547681539813</v>
      </c>
      <c r="M25" s="920">
        <v>4.8835125448028673</v>
      </c>
      <c r="N25" s="920">
        <v>4.8028673835125453</v>
      </c>
      <c r="O25" s="920">
        <v>4.8263579697239543</v>
      </c>
      <c r="P25" s="920">
        <v>5.0311665182546754</v>
      </c>
      <c r="Q25" s="920">
        <v>5.1127950526957582</v>
      </c>
      <c r="R25" s="920">
        <v>5.0767369906478166</v>
      </c>
      <c r="S25" s="920">
        <v>4.9604715216349096</v>
      </c>
      <c r="T25" s="920">
        <v>4.8073273537226076</v>
      </c>
      <c r="U25" s="920">
        <v>10.036432447220829</v>
      </c>
      <c r="V25" s="920">
        <v>10.193284779656832</v>
      </c>
      <c r="W25" s="562"/>
      <c r="X25" s="562"/>
      <c r="Y25" s="562"/>
      <c r="Z25" s="562"/>
      <c r="AA25" s="562"/>
    </row>
    <row r="26" spans="1:27" ht="16" customHeight="1">
      <c r="A26" s="77"/>
      <c r="B26" s="21" t="s">
        <v>42</v>
      </c>
      <c r="C26" s="86">
        <v>30479</v>
      </c>
      <c r="D26" s="86">
        <v>35953</v>
      </c>
      <c r="E26" s="88">
        <v>1608</v>
      </c>
      <c r="F26" s="920">
        <v>5.0182315405651776</v>
      </c>
      <c r="G26" s="920">
        <v>4.7282861124013005</v>
      </c>
      <c r="H26" s="920">
        <v>4.7264367816091957</v>
      </c>
      <c r="I26" s="920">
        <v>4.9843819723337797</v>
      </c>
      <c r="J26" s="920">
        <v>5.8561503882304864</v>
      </c>
      <c r="K26" s="920">
        <v>6.7340823970037453</v>
      </c>
      <c r="L26" s="920">
        <v>6.3427905169063346</v>
      </c>
      <c r="M26" s="920">
        <v>6.8921933085501861</v>
      </c>
      <c r="N26" s="920">
        <v>5.4217762913415086</v>
      </c>
      <c r="O26" s="920">
        <v>4.3155359293456446</v>
      </c>
      <c r="P26" s="920">
        <v>3.6859368593685935</v>
      </c>
      <c r="Q26" s="920">
        <v>3.6582358814327351</v>
      </c>
      <c r="R26" s="920">
        <v>3.7421337318207648</v>
      </c>
      <c r="S26" s="920">
        <v>3.7385823056862413</v>
      </c>
      <c r="T26" s="920">
        <v>3.2215103847896418</v>
      </c>
      <c r="U26" s="920">
        <v>11.306321396773658</v>
      </c>
      <c r="V26" s="920">
        <v>10.135363524952261</v>
      </c>
      <c r="W26" s="562"/>
      <c r="X26" s="562"/>
      <c r="Y26" s="562"/>
      <c r="Z26" s="562"/>
      <c r="AA26" s="562"/>
    </row>
    <row r="27" spans="1:27" ht="16" customHeight="1">
      <c r="A27" s="77"/>
      <c r="B27" s="21" t="s">
        <v>43</v>
      </c>
      <c r="C27" s="86">
        <v>49453</v>
      </c>
      <c r="D27" s="86">
        <v>62011</v>
      </c>
      <c r="E27" s="88">
        <v>1655</v>
      </c>
      <c r="F27" s="920">
        <v>4.7376136030489588</v>
      </c>
      <c r="G27" s="920">
        <v>4.7285464098073549</v>
      </c>
      <c r="H27" s="920">
        <v>4.7283236994219653</v>
      </c>
      <c r="I27" s="920">
        <v>4.7267525035765381</v>
      </c>
      <c r="J27" s="920">
        <v>4.8042804843706</v>
      </c>
      <c r="K27" s="920">
        <v>5.156037991858887</v>
      </c>
      <c r="L27" s="920">
        <v>5.9244230281511534</v>
      </c>
      <c r="M27" s="920">
        <v>6.015132408575032</v>
      </c>
      <c r="N27" s="920">
        <v>5.325192460844173</v>
      </c>
      <c r="O27" s="920">
        <v>4.9646739130434785</v>
      </c>
      <c r="P27" s="920">
        <v>4.82896846606093</v>
      </c>
      <c r="Q27" s="920">
        <v>4.7861906630051001</v>
      </c>
      <c r="R27" s="920">
        <v>4.7799795623821417</v>
      </c>
      <c r="S27" s="920">
        <v>4.7162727355915965</v>
      </c>
      <c r="T27" s="920">
        <v>4.8605438992709784</v>
      </c>
      <c r="U27" s="920">
        <v>11.462596739048763</v>
      </c>
      <c r="V27" s="920">
        <v>11.141028443915054</v>
      </c>
      <c r="W27" s="562"/>
      <c r="X27" s="562"/>
      <c r="Y27" s="562"/>
      <c r="Z27" s="562"/>
      <c r="AA27" s="562"/>
    </row>
    <row r="28" spans="1:27" ht="16" customHeight="1">
      <c r="A28" s="77"/>
      <c r="B28" s="76" t="s">
        <v>44</v>
      </c>
      <c r="C28" s="86">
        <v>12182</v>
      </c>
      <c r="D28" s="86">
        <v>13426</v>
      </c>
      <c r="E28" s="88">
        <v>8751</v>
      </c>
      <c r="F28" s="920">
        <v>14.91337824831569</v>
      </c>
      <c r="G28" s="920">
        <v>15.116173120728929</v>
      </c>
      <c r="H28" s="920">
        <v>14.778532169414808</v>
      </c>
      <c r="I28" s="920">
        <v>15.199550309162451</v>
      </c>
      <c r="J28" s="920">
        <v>15.422273484557223</v>
      </c>
      <c r="K28" s="920">
        <v>15.701119925338309</v>
      </c>
      <c r="L28" s="920">
        <v>14.460663798401967</v>
      </c>
      <c r="M28" s="920">
        <v>15.285695169276062</v>
      </c>
      <c r="N28" s="920">
        <v>15.650548937164213</v>
      </c>
      <c r="O28" s="920">
        <v>15.573693482090428</v>
      </c>
      <c r="P28" s="920">
        <v>15.577790630422209</v>
      </c>
      <c r="Q28" s="920">
        <v>15.741709226406458</v>
      </c>
      <c r="R28" s="920">
        <v>15.585156547853947</v>
      </c>
      <c r="S28" s="920">
        <v>15.363904521051632</v>
      </c>
      <c r="T28" s="920">
        <v>18.826025294512256</v>
      </c>
      <c r="U28" s="920">
        <v>16.505602809908378</v>
      </c>
      <c r="V28" s="920">
        <v>16.699091604629416</v>
      </c>
      <c r="W28" s="562"/>
      <c r="X28" s="562"/>
      <c r="Y28" s="562"/>
      <c r="Z28" s="562"/>
      <c r="AA28" s="562"/>
    </row>
    <row r="29" spans="1:27" ht="16" customHeight="1">
      <c r="A29" s="77"/>
      <c r="B29" s="21" t="s">
        <v>45</v>
      </c>
      <c r="C29" s="86">
        <v>1246</v>
      </c>
      <c r="D29" s="86">
        <v>1439</v>
      </c>
      <c r="E29" s="88">
        <v>4449</v>
      </c>
      <c r="F29" s="920">
        <v>13.455782312925169</v>
      </c>
      <c r="G29" s="920">
        <v>13.243306169965075</v>
      </c>
      <c r="H29" s="920">
        <v>14.184981684981684</v>
      </c>
      <c r="I29" s="920">
        <v>14.304696032034947</v>
      </c>
      <c r="J29" s="920">
        <v>12.726121104636434</v>
      </c>
      <c r="K29" s="920">
        <v>12.177802627900476</v>
      </c>
      <c r="L29" s="920">
        <v>11.768364928909952</v>
      </c>
      <c r="M29" s="920">
        <v>11.640838650865998</v>
      </c>
      <c r="N29" s="920">
        <v>12.224355458036204</v>
      </c>
      <c r="O29" s="920">
        <v>12.5635103926097</v>
      </c>
      <c r="P29" s="920">
        <v>12.485402386392487</v>
      </c>
      <c r="Q29" s="920">
        <v>12.883245276977265</v>
      </c>
      <c r="R29" s="920">
        <v>12.672423385930163</v>
      </c>
      <c r="S29" s="920">
        <v>13.459347928975202</v>
      </c>
      <c r="T29" s="920">
        <v>14.645930144063319</v>
      </c>
      <c r="U29" s="920">
        <v>17.288740050186522</v>
      </c>
      <c r="V29" s="920">
        <v>17.149452681274465</v>
      </c>
      <c r="W29" s="562"/>
      <c r="X29" s="562"/>
      <c r="Y29" s="562"/>
      <c r="Z29" s="562"/>
      <c r="AA29" s="562"/>
    </row>
    <row r="30" spans="1:27" ht="16" customHeight="1">
      <c r="A30" s="77"/>
      <c r="B30" s="21" t="s">
        <v>46</v>
      </c>
      <c r="C30" s="86">
        <v>3153</v>
      </c>
      <c r="D30" s="86">
        <v>3693</v>
      </c>
      <c r="E30" s="88">
        <v>4597</v>
      </c>
      <c r="F30" s="920">
        <v>14.815905743740794</v>
      </c>
      <c r="G30" s="920">
        <v>14.284452296819788</v>
      </c>
      <c r="H30" s="920">
        <v>14.36056105610561</v>
      </c>
      <c r="I30" s="920">
        <v>14.363110008271297</v>
      </c>
      <c r="J30" s="920">
        <v>14.749478079331944</v>
      </c>
      <c r="K30" s="920">
        <v>15.202784503631962</v>
      </c>
      <c r="L30" s="920">
        <v>14.74676912329724</v>
      </c>
      <c r="M30" s="920">
        <v>14.777737621973257</v>
      </c>
      <c r="N30" s="920">
        <v>14.523371365476629</v>
      </c>
      <c r="O30" s="920">
        <v>14.773531493276716</v>
      </c>
      <c r="P30" s="920">
        <v>14.269029399919452</v>
      </c>
      <c r="Q30" s="920">
        <v>14.476753711838093</v>
      </c>
      <c r="R30" s="920">
        <v>13.953586513788776</v>
      </c>
      <c r="S30" s="920">
        <v>14.046616517638896</v>
      </c>
      <c r="T30" s="920">
        <v>13.874796786841351</v>
      </c>
      <c r="U30" s="920">
        <v>17.103316385545885</v>
      </c>
      <c r="V30" s="920">
        <v>16.128683629592178</v>
      </c>
      <c r="W30" s="562"/>
      <c r="X30" s="562"/>
      <c r="Y30" s="562"/>
      <c r="Z30" s="562"/>
      <c r="AA30" s="562"/>
    </row>
    <row r="31" spans="1:27" ht="16" customHeight="1">
      <c r="A31" s="77"/>
      <c r="B31" s="21" t="s">
        <v>47</v>
      </c>
      <c r="C31" s="86">
        <v>2191</v>
      </c>
      <c r="D31" s="86">
        <v>2421</v>
      </c>
      <c r="E31" s="88">
        <v>511</v>
      </c>
      <c r="F31" s="920">
        <v>13.559670781893004</v>
      </c>
      <c r="G31" s="920">
        <v>13.704245973645682</v>
      </c>
      <c r="H31" s="920">
        <v>14.956989247311828</v>
      </c>
      <c r="I31" s="920">
        <v>14.604395604395604</v>
      </c>
      <c r="J31" s="920">
        <v>15.571428571428571</v>
      </c>
      <c r="K31" s="920">
        <v>15.490519373454246</v>
      </c>
      <c r="L31" s="920">
        <v>15.282846715328468</v>
      </c>
      <c r="M31" s="920">
        <v>16.03921568627451</v>
      </c>
      <c r="N31" s="920">
        <v>15.843672456575684</v>
      </c>
      <c r="O31" s="920">
        <v>16.430769230769229</v>
      </c>
      <c r="P31" s="920">
        <v>16.474207288215805</v>
      </c>
      <c r="Q31" s="920">
        <v>16.535973245166883</v>
      </c>
      <c r="R31" s="920">
        <v>16.184433562482344</v>
      </c>
      <c r="S31" s="920">
        <v>16.744950750434409</v>
      </c>
      <c r="T31" s="920">
        <v>16.518264053625742</v>
      </c>
      <c r="U31" s="920">
        <v>17.107753192043777</v>
      </c>
      <c r="V31" s="920">
        <v>16.688862724816929</v>
      </c>
      <c r="W31" s="562"/>
      <c r="X31" s="562"/>
      <c r="Y31" s="562"/>
      <c r="Z31" s="562"/>
      <c r="AA31" s="562"/>
    </row>
    <row r="32" spans="1:27" ht="5" customHeight="1" thickBot="1">
      <c r="A32" s="8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562"/>
    </row>
    <row r="33" spans="1:22" ht="9" customHeight="1">
      <c r="A33" s="449" t="s">
        <v>330</v>
      </c>
      <c r="B33" s="451"/>
      <c r="C33" s="469"/>
      <c r="D33" s="469"/>
      <c r="E33" s="469"/>
      <c r="F33" s="469"/>
      <c r="G33" s="469"/>
      <c r="H33" s="469"/>
      <c r="I33" s="469"/>
      <c r="J33" s="198"/>
      <c r="K33" s="198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spans="1:22" ht="9" customHeight="1">
      <c r="A34" s="449" t="s">
        <v>304</v>
      </c>
      <c r="B34" s="451"/>
      <c r="C34" s="469"/>
      <c r="D34" s="469"/>
      <c r="E34" s="469"/>
      <c r="F34" s="469"/>
      <c r="G34" s="469"/>
      <c r="H34" s="470"/>
      <c r="I34" s="470"/>
      <c r="J34" s="205"/>
      <c r="K34" s="205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</row>
    <row r="35" spans="1:22" ht="9" customHeight="1">
      <c r="A35" s="451" t="s">
        <v>303</v>
      </c>
      <c r="B35" s="451" t="s">
        <v>303</v>
      </c>
      <c r="C35" s="469"/>
      <c r="D35" s="469"/>
      <c r="E35" s="469"/>
      <c r="F35" s="469"/>
      <c r="G35" s="469"/>
      <c r="H35" s="470"/>
      <c r="I35" s="470"/>
      <c r="J35" s="205"/>
      <c r="K35" s="205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Hoja135">
    <tabColor theme="9" tint="0.59999389629810485"/>
  </sheetPr>
  <dimension ref="A2:Y35"/>
  <sheetViews>
    <sheetView showGridLines="0" zoomScaleNormal="100" workbookViewId="0">
      <selection activeCell="U5" sqref="U5"/>
    </sheetView>
  </sheetViews>
  <sheetFormatPr baseColWidth="10" defaultColWidth="7" defaultRowHeight="13.25" customHeight="1"/>
  <cols>
    <col min="1" max="1" width="0.796875" style="76" customWidth="1"/>
    <col min="2" max="2" width="10.3984375" style="76" customWidth="1"/>
    <col min="3" max="5" width="8" style="76" hidden="1" customWidth="1"/>
    <col min="6" max="21" width="7.796875" style="76" customWidth="1"/>
    <col min="22" max="24" width="8.19921875" style="76" customWidth="1"/>
    <col min="25" max="16384" width="7" style="76"/>
  </cols>
  <sheetData>
    <row r="2" spans="1:25" ht="15" customHeight="1">
      <c r="A2" s="210" t="s">
        <v>560</v>
      </c>
      <c r="B2" s="211"/>
      <c r="C2" s="211"/>
      <c r="D2" s="211"/>
      <c r="E2" s="211"/>
      <c r="F2" s="211"/>
    </row>
    <row r="3" spans="1:25" ht="13.25" customHeight="1">
      <c r="A3" s="961" t="s">
        <v>358</v>
      </c>
      <c r="B3" s="211"/>
      <c r="C3" s="211"/>
      <c r="D3" s="211"/>
      <c r="E3" s="211"/>
      <c r="F3" s="211"/>
    </row>
    <row r="4" spans="1:25" ht="6" customHeight="1" thickBo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1:25" ht="18" customHeight="1">
      <c r="A5" s="1019" t="s">
        <v>16</v>
      </c>
      <c r="B5" s="1019"/>
      <c r="C5" s="722">
        <v>2005</v>
      </c>
      <c r="D5" s="722">
        <v>2006</v>
      </c>
      <c r="E5" s="722">
        <v>2007</v>
      </c>
      <c r="F5" s="722">
        <v>2008</v>
      </c>
      <c r="G5" s="722">
        <v>2009</v>
      </c>
      <c r="H5" s="722">
        <v>2010</v>
      </c>
      <c r="I5" s="722">
        <v>2011</v>
      </c>
      <c r="J5" s="722">
        <v>2012</v>
      </c>
      <c r="K5" s="722">
        <v>2013</v>
      </c>
      <c r="L5" s="722">
        <v>2014</v>
      </c>
      <c r="M5" s="722">
        <v>2015</v>
      </c>
      <c r="N5" s="722">
        <v>2016</v>
      </c>
      <c r="O5" s="722">
        <v>2017</v>
      </c>
      <c r="P5" s="722" t="s">
        <v>180</v>
      </c>
      <c r="Q5" s="722" t="s">
        <v>296</v>
      </c>
      <c r="R5" s="722">
        <v>2020</v>
      </c>
      <c r="S5" s="722">
        <v>2021</v>
      </c>
      <c r="T5" s="722" t="s">
        <v>490</v>
      </c>
      <c r="U5" s="722" t="s">
        <v>471</v>
      </c>
    </row>
    <row r="6" spans="1:25" ht="18" customHeight="1">
      <c r="A6" s="1055" t="s">
        <v>93</v>
      </c>
      <c r="B6" s="1055"/>
      <c r="C6" s="709">
        <v>0.84</v>
      </c>
      <c r="D6" s="709">
        <v>0.84</v>
      </c>
      <c r="E6" s="710">
        <v>3.09</v>
      </c>
      <c r="F6" s="990">
        <v>3.81</v>
      </c>
      <c r="G6" s="990">
        <v>3.79</v>
      </c>
      <c r="H6" s="990">
        <v>3.73</v>
      </c>
      <c r="I6" s="990">
        <v>3.88</v>
      </c>
      <c r="J6" s="990">
        <v>4.1500000000000004</v>
      </c>
      <c r="K6" s="990">
        <v>4.33</v>
      </c>
      <c r="L6" s="990">
        <v>4.63</v>
      </c>
      <c r="M6" s="990">
        <v>4.66</v>
      </c>
      <c r="N6" s="990">
        <v>4.72</v>
      </c>
      <c r="O6" s="990">
        <v>4.75</v>
      </c>
      <c r="P6" s="990">
        <v>4.67</v>
      </c>
      <c r="Q6" s="990">
        <v>4.1399999999999997</v>
      </c>
      <c r="R6" s="990">
        <v>4.21</v>
      </c>
      <c r="S6" s="990">
        <v>4.28</v>
      </c>
      <c r="T6" s="990">
        <v>4.62</v>
      </c>
      <c r="U6" s="990">
        <v>5.2360585756598015</v>
      </c>
      <c r="V6" s="152"/>
      <c r="W6" s="152"/>
      <c r="X6" s="152"/>
      <c r="Y6" s="152"/>
    </row>
    <row r="7" spans="1:25" ht="4.25" customHeight="1">
      <c r="A7" s="77"/>
      <c r="B7" s="78"/>
      <c r="C7" s="85"/>
      <c r="D7" s="85"/>
      <c r="E7" s="85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</row>
    <row r="8" spans="1:25" ht="16" customHeight="1">
      <c r="A8" s="77"/>
      <c r="B8" s="21" t="s">
        <v>19</v>
      </c>
      <c r="C8" s="86">
        <v>1.41</v>
      </c>
      <c r="D8" s="86">
        <v>1.46</v>
      </c>
      <c r="E8" s="88">
        <v>3.46</v>
      </c>
      <c r="F8" s="223">
        <v>3.58</v>
      </c>
      <c r="G8" s="223">
        <v>3.75</v>
      </c>
      <c r="H8" s="223">
        <v>3.41</v>
      </c>
      <c r="I8" s="223">
        <v>3.43</v>
      </c>
      <c r="J8" s="223">
        <v>3.6</v>
      </c>
      <c r="K8" s="223">
        <v>3.53</v>
      </c>
      <c r="L8" s="223">
        <v>3.89</v>
      </c>
      <c r="M8" s="223">
        <v>3.99</v>
      </c>
      <c r="N8" s="223">
        <v>4.26</v>
      </c>
      <c r="O8" s="223">
        <v>4.1399999999999997</v>
      </c>
      <c r="P8" s="223">
        <v>4.1399999999999997</v>
      </c>
      <c r="Q8" s="223">
        <v>4.13</v>
      </c>
      <c r="R8" s="223">
        <v>3.92</v>
      </c>
      <c r="S8" s="223">
        <v>3.96</v>
      </c>
      <c r="T8" s="223">
        <v>4.49</v>
      </c>
      <c r="U8" s="223">
        <v>5.2672431796310404</v>
      </c>
      <c r="V8" s="152"/>
      <c r="W8" s="152"/>
      <c r="X8" s="152"/>
    </row>
    <row r="9" spans="1:25" ht="16" customHeight="1">
      <c r="A9" s="77"/>
      <c r="B9" s="21" t="s">
        <v>20</v>
      </c>
      <c r="C9" s="86">
        <v>1.03</v>
      </c>
      <c r="D9" s="86">
        <v>1.05</v>
      </c>
      <c r="E9" s="88">
        <v>3.86</v>
      </c>
      <c r="F9" s="223">
        <v>3.66</v>
      </c>
      <c r="G9" s="223">
        <v>4.04</v>
      </c>
      <c r="H9" s="223">
        <v>3.69</v>
      </c>
      <c r="I9" s="223">
        <v>3.85</v>
      </c>
      <c r="J9" s="223">
        <v>4.07</v>
      </c>
      <c r="K9" s="223">
        <v>3.62</v>
      </c>
      <c r="L9" s="223">
        <v>4.03</v>
      </c>
      <c r="M9" s="223">
        <v>4.09</v>
      </c>
      <c r="N9" s="223">
        <v>4.38</v>
      </c>
      <c r="O9" s="223">
        <v>4.21</v>
      </c>
      <c r="P9" s="223">
        <v>4.29</v>
      </c>
      <c r="Q9" s="223">
        <v>4.1100000000000003</v>
      </c>
      <c r="R9" s="223">
        <v>3.96</v>
      </c>
      <c r="S9" s="223">
        <v>3.99</v>
      </c>
      <c r="T9" s="223">
        <v>4.4800000000000004</v>
      </c>
      <c r="U9" s="223">
        <v>5.2951701310662909</v>
      </c>
      <c r="V9" s="152"/>
      <c r="W9" s="152"/>
      <c r="X9" s="152"/>
    </row>
    <row r="10" spans="1:25" ht="16" customHeight="1">
      <c r="A10" s="77"/>
      <c r="B10" s="21" t="s">
        <v>21</v>
      </c>
      <c r="C10" s="86">
        <v>0.77</v>
      </c>
      <c r="D10" s="86">
        <v>0.7</v>
      </c>
      <c r="E10" s="88">
        <v>3.43</v>
      </c>
      <c r="F10" s="223">
        <v>3.57</v>
      </c>
      <c r="G10" s="223">
        <v>3.87</v>
      </c>
      <c r="H10" s="223">
        <v>3.62</v>
      </c>
      <c r="I10" s="223">
        <v>3.86</v>
      </c>
      <c r="J10" s="223">
        <v>4.1500000000000004</v>
      </c>
      <c r="K10" s="223">
        <v>3.66</v>
      </c>
      <c r="L10" s="223">
        <v>4.0999999999999996</v>
      </c>
      <c r="M10" s="223">
        <v>4.3099999999999996</v>
      </c>
      <c r="N10" s="223">
        <v>4.46</v>
      </c>
      <c r="O10" s="223">
        <v>4.5599999999999996</v>
      </c>
      <c r="P10" s="223">
        <v>4.5199999999999996</v>
      </c>
      <c r="Q10" s="223">
        <v>4.1100000000000003</v>
      </c>
      <c r="R10" s="223">
        <v>3.87</v>
      </c>
      <c r="S10" s="223">
        <v>3.96</v>
      </c>
      <c r="T10" s="223">
        <v>4.41</v>
      </c>
      <c r="U10" s="223">
        <v>5.3116844160221559</v>
      </c>
      <c r="V10" s="152"/>
      <c r="W10" s="152"/>
      <c r="X10" s="152"/>
    </row>
    <row r="11" spans="1:25" ht="16" customHeight="1">
      <c r="A11" s="77"/>
      <c r="B11" s="21" t="s">
        <v>22</v>
      </c>
      <c r="C11" s="86">
        <v>0.88</v>
      </c>
      <c r="D11" s="86">
        <v>0.89</v>
      </c>
      <c r="E11" s="88">
        <v>2.91</v>
      </c>
      <c r="F11" s="223">
        <v>3.73</v>
      </c>
      <c r="G11" s="223">
        <v>3.84</v>
      </c>
      <c r="H11" s="223">
        <v>3.81</v>
      </c>
      <c r="I11" s="223">
        <v>4.0599999999999996</v>
      </c>
      <c r="J11" s="223">
        <v>3.62</v>
      </c>
      <c r="K11" s="223">
        <v>3.02</v>
      </c>
      <c r="L11" s="223">
        <v>3.41</v>
      </c>
      <c r="M11" s="223">
        <v>4.21</v>
      </c>
      <c r="N11" s="223">
        <v>3.95</v>
      </c>
      <c r="O11" s="223">
        <v>4.74</v>
      </c>
      <c r="P11" s="223">
        <v>4.5</v>
      </c>
      <c r="Q11" s="223">
        <v>4.1399999999999997</v>
      </c>
      <c r="R11" s="223">
        <v>4.1399999999999997</v>
      </c>
      <c r="S11" s="223">
        <v>4.1900000000000004</v>
      </c>
      <c r="T11" s="223">
        <v>4.62</v>
      </c>
      <c r="U11" s="223">
        <v>5.3629262871566352</v>
      </c>
      <c r="V11" s="152"/>
      <c r="W11" s="152"/>
      <c r="X11" s="152"/>
    </row>
    <row r="12" spans="1:25" ht="16" customHeight="1">
      <c r="A12" s="77"/>
      <c r="B12" s="21" t="s">
        <v>23</v>
      </c>
      <c r="C12" s="86">
        <v>0.69</v>
      </c>
      <c r="D12" s="86">
        <v>0.71</v>
      </c>
      <c r="E12" s="88">
        <v>4</v>
      </c>
      <c r="F12" s="223">
        <v>3.96</v>
      </c>
      <c r="G12" s="223">
        <v>4.17</v>
      </c>
      <c r="H12" s="223">
        <v>4</v>
      </c>
      <c r="I12" s="223">
        <v>4.08</v>
      </c>
      <c r="J12" s="223">
        <v>4.34</v>
      </c>
      <c r="K12" s="223">
        <v>4.9800000000000004</v>
      </c>
      <c r="L12" s="223">
        <v>5.0999999999999996</v>
      </c>
      <c r="M12" s="223">
        <v>5.0999999999999996</v>
      </c>
      <c r="N12" s="223">
        <v>5.22</v>
      </c>
      <c r="O12" s="223">
        <v>4.83</v>
      </c>
      <c r="P12" s="223">
        <v>4.83</v>
      </c>
      <c r="Q12" s="223">
        <v>4.16</v>
      </c>
      <c r="R12" s="223">
        <v>3.93</v>
      </c>
      <c r="S12" s="223">
        <v>3.93</v>
      </c>
      <c r="T12" s="223">
        <v>4.46</v>
      </c>
      <c r="U12" s="223">
        <v>5.0943096694753143</v>
      </c>
      <c r="V12" s="152"/>
      <c r="W12" s="152"/>
      <c r="X12" s="152"/>
    </row>
    <row r="13" spans="1:25" ht="16" customHeight="1">
      <c r="A13" s="77"/>
      <c r="B13" s="21" t="s">
        <v>27</v>
      </c>
      <c r="C13" s="86">
        <v>0.92</v>
      </c>
      <c r="D13" s="86">
        <v>0.89</v>
      </c>
      <c r="E13" s="88">
        <v>3.47</v>
      </c>
      <c r="F13" s="223">
        <v>3.82</v>
      </c>
      <c r="G13" s="223">
        <v>4.1100000000000003</v>
      </c>
      <c r="H13" s="223">
        <v>4.2699999999999996</v>
      </c>
      <c r="I13" s="223">
        <v>4.12</v>
      </c>
      <c r="J13" s="223">
        <v>4.71</v>
      </c>
      <c r="K13" s="223">
        <v>4.5599999999999996</v>
      </c>
      <c r="L13" s="223">
        <v>4.75</v>
      </c>
      <c r="M13" s="223">
        <v>5.05</v>
      </c>
      <c r="N13" s="223">
        <v>5.15</v>
      </c>
      <c r="O13" s="223">
        <v>4.88</v>
      </c>
      <c r="P13" s="223">
        <v>4.92</v>
      </c>
      <c r="Q13" s="223">
        <v>4.1100000000000003</v>
      </c>
      <c r="R13" s="223">
        <v>4.01</v>
      </c>
      <c r="S13" s="223">
        <v>4.0599999999999996</v>
      </c>
      <c r="T13" s="223">
        <v>4.47</v>
      </c>
      <c r="U13" s="223">
        <v>5.2089324941258068</v>
      </c>
      <c r="V13" s="152"/>
      <c r="W13" s="152"/>
      <c r="X13" s="152"/>
    </row>
    <row r="14" spans="1:25" ht="16" customHeight="1">
      <c r="A14" s="77"/>
      <c r="B14" s="21" t="s">
        <v>28</v>
      </c>
      <c r="C14" s="392">
        <v>1.02</v>
      </c>
      <c r="D14" s="392">
        <v>1.08</v>
      </c>
      <c r="E14" s="393">
        <v>3.56</v>
      </c>
      <c r="F14" s="223">
        <v>3.75</v>
      </c>
      <c r="G14" s="223">
        <v>3.98</v>
      </c>
      <c r="H14" s="223">
        <v>4.03</v>
      </c>
      <c r="I14" s="223">
        <v>4.01</v>
      </c>
      <c r="J14" s="223">
        <v>4.34</v>
      </c>
      <c r="K14" s="223">
        <v>4.1100000000000003</v>
      </c>
      <c r="L14" s="223">
        <v>4.41</v>
      </c>
      <c r="M14" s="223">
        <v>5</v>
      </c>
      <c r="N14" s="223">
        <v>5.17</v>
      </c>
      <c r="O14" s="223">
        <v>4.91</v>
      </c>
      <c r="P14" s="223">
        <v>4.79</v>
      </c>
      <c r="Q14" s="223">
        <v>4.13</v>
      </c>
      <c r="R14" s="223">
        <v>4.1399999999999997</v>
      </c>
      <c r="S14" s="223">
        <v>4.25</v>
      </c>
      <c r="T14" s="223">
        <v>4.59</v>
      </c>
      <c r="U14" s="223">
        <v>5.0485597564948881</v>
      </c>
      <c r="V14" s="152"/>
      <c r="W14" s="152"/>
      <c r="X14" s="152"/>
    </row>
    <row r="15" spans="1:25" ht="16" customHeight="1">
      <c r="A15" s="77"/>
      <c r="B15" s="21" t="s">
        <v>29</v>
      </c>
      <c r="C15" s="392">
        <v>0.9</v>
      </c>
      <c r="D15" s="392">
        <v>0.89</v>
      </c>
      <c r="E15" s="393">
        <v>2.95</v>
      </c>
      <c r="F15" s="223">
        <v>3.7</v>
      </c>
      <c r="G15" s="223">
        <v>3.59</v>
      </c>
      <c r="H15" s="223">
        <v>3.61</v>
      </c>
      <c r="I15" s="223">
        <v>3.69</v>
      </c>
      <c r="J15" s="223">
        <v>3.97</v>
      </c>
      <c r="K15" s="223">
        <v>4.63</v>
      </c>
      <c r="L15" s="223">
        <v>4.8899999999999997</v>
      </c>
      <c r="M15" s="223">
        <v>4.87</v>
      </c>
      <c r="N15" s="223">
        <v>5.08</v>
      </c>
      <c r="O15" s="223">
        <v>4.82</v>
      </c>
      <c r="P15" s="223">
        <v>4.8099999999999996</v>
      </c>
      <c r="Q15" s="223">
        <v>4.13</v>
      </c>
      <c r="R15" s="223">
        <v>4.29</v>
      </c>
      <c r="S15" s="223">
        <v>4.3499999999999996</v>
      </c>
      <c r="T15" s="223">
        <v>4.55</v>
      </c>
      <c r="U15" s="223">
        <v>5.2444672950579836</v>
      </c>
      <c r="V15" s="152"/>
      <c r="W15" s="152"/>
      <c r="X15" s="152"/>
    </row>
    <row r="16" spans="1:25" ht="16" customHeight="1">
      <c r="A16" s="77"/>
      <c r="B16" s="21" t="s">
        <v>30</v>
      </c>
      <c r="C16" s="392">
        <v>0.92</v>
      </c>
      <c r="D16" s="392">
        <v>0.81</v>
      </c>
      <c r="E16" s="393">
        <v>3.08</v>
      </c>
      <c r="F16" s="223">
        <v>4.05</v>
      </c>
      <c r="G16" s="223">
        <v>3.81</v>
      </c>
      <c r="H16" s="223">
        <v>3.61</v>
      </c>
      <c r="I16" s="223">
        <v>3.84</v>
      </c>
      <c r="J16" s="223">
        <v>4.26</v>
      </c>
      <c r="K16" s="223">
        <v>4.5599999999999996</v>
      </c>
      <c r="L16" s="223">
        <v>4.83</v>
      </c>
      <c r="M16" s="223">
        <v>4.7699999999999996</v>
      </c>
      <c r="N16" s="223">
        <v>4.84</v>
      </c>
      <c r="O16" s="223">
        <v>4.67</v>
      </c>
      <c r="P16" s="223">
        <v>4.6100000000000003</v>
      </c>
      <c r="Q16" s="223">
        <v>4.13</v>
      </c>
      <c r="R16" s="223">
        <v>4.22</v>
      </c>
      <c r="S16" s="223">
        <v>4.28</v>
      </c>
      <c r="T16" s="223">
        <v>4.63</v>
      </c>
      <c r="U16" s="223">
        <v>5.1660133448679382</v>
      </c>
      <c r="V16" s="152"/>
      <c r="W16" s="152"/>
      <c r="X16" s="152"/>
    </row>
    <row r="17" spans="1:24" ht="16" customHeight="1">
      <c r="A17" s="77"/>
      <c r="B17" s="21" t="s">
        <v>31</v>
      </c>
      <c r="C17" s="86">
        <v>1.29</v>
      </c>
      <c r="D17" s="86">
        <v>1.3</v>
      </c>
      <c r="E17" s="88">
        <v>3.35</v>
      </c>
      <c r="F17" s="223">
        <v>3.61</v>
      </c>
      <c r="G17" s="223">
        <v>3.82</v>
      </c>
      <c r="H17" s="223">
        <v>3.74</v>
      </c>
      <c r="I17" s="223">
        <v>3.89</v>
      </c>
      <c r="J17" s="223">
        <v>4.4000000000000004</v>
      </c>
      <c r="K17" s="223">
        <v>4.22</v>
      </c>
      <c r="L17" s="223">
        <v>4.66</v>
      </c>
      <c r="M17" s="223">
        <v>4.6900000000000004</v>
      </c>
      <c r="N17" s="223">
        <v>4.67</v>
      </c>
      <c r="O17" s="223">
        <v>4.5999999999999996</v>
      </c>
      <c r="P17" s="223">
        <v>4.62</v>
      </c>
      <c r="Q17" s="223">
        <v>4.21</v>
      </c>
      <c r="R17" s="223">
        <v>4.18</v>
      </c>
      <c r="S17" s="223">
        <v>4.37</v>
      </c>
      <c r="T17" s="223">
        <v>4.7699999999999996</v>
      </c>
      <c r="U17" s="223">
        <v>5.1864894573267195</v>
      </c>
      <c r="V17" s="152"/>
      <c r="W17" s="152"/>
      <c r="X17" s="152"/>
    </row>
    <row r="18" spans="1:24" ht="16" customHeight="1">
      <c r="A18" s="77"/>
      <c r="B18" s="21" t="s">
        <v>32</v>
      </c>
      <c r="C18" s="86">
        <v>1.19</v>
      </c>
      <c r="D18" s="86">
        <v>0.84</v>
      </c>
      <c r="E18" s="88">
        <v>3.75</v>
      </c>
      <c r="F18" s="223">
        <v>3.79</v>
      </c>
      <c r="G18" s="223">
        <v>3.76</v>
      </c>
      <c r="H18" s="223">
        <v>3.8</v>
      </c>
      <c r="I18" s="223">
        <v>3.86</v>
      </c>
      <c r="J18" s="223">
        <v>5.1100000000000003</v>
      </c>
      <c r="K18" s="223">
        <v>4.74</v>
      </c>
      <c r="L18" s="223">
        <v>5.18</v>
      </c>
      <c r="M18" s="223">
        <v>5.2</v>
      </c>
      <c r="N18" s="223">
        <v>5.19</v>
      </c>
      <c r="O18" s="223">
        <v>4.9400000000000004</v>
      </c>
      <c r="P18" s="223">
        <v>4.9000000000000004</v>
      </c>
      <c r="Q18" s="223">
        <v>4.21</v>
      </c>
      <c r="R18" s="223">
        <v>4.07</v>
      </c>
      <c r="S18" s="223">
        <v>4.26</v>
      </c>
      <c r="T18" s="223">
        <v>4.6500000000000004</v>
      </c>
      <c r="U18" s="223">
        <v>5.1542644489467015</v>
      </c>
      <c r="V18" s="152"/>
      <c r="W18" s="152"/>
      <c r="X18" s="152"/>
    </row>
    <row r="19" spans="1:24" ht="16" customHeight="1">
      <c r="A19" s="77"/>
      <c r="B19" s="21" t="s">
        <v>33</v>
      </c>
      <c r="C19" s="86">
        <v>0.93</v>
      </c>
      <c r="D19" s="86">
        <v>0.96</v>
      </c>
      <c r="E19" s="88">
        <v>3.57</v>
      </c>
      <c r="F19" s="223">
        <v>3.84</v>
      </c>
      <c r="G19" s="223">
        <v>3.88</v>
      </c>
      <c r="H19" s="223">
        <v>4.54</v>
      </c>
      <c r="I19" s="223">
        <v>4.3899999999999997</v>
      </c>
      <c r="J19" s="223">
        <v>5.04</v>
      </c>
      <c r="K19" s="223">
        <v>4.7300000000000004</v>
      </c>
      <c r="L19" s="223">
        <v>5.46</v>
      </c>
      <c r="M19" s="223">
        <v>5.28</v>
      </c>
      <c r="N19" s="223">
        <v>5.43</v>
      </c>
      <c r="O19" s="223">
        <v>4.92</v>
      </c>
      <c r="P19" s="223">
        <v>4.9000000000000004</v>
      </c>
      <c r="Q19" s="223">
        <v>4.38</v>
      </c>
      <c r="R19" s="223">
        <v>4.25</v>
      </c>
      <c r="S19" s="223">
        <v>4.37</v>
      </c>
      <c r="T19" s="223">
        <v>4.74</v>
      </c>
      <c r="U19" s="223">
        <v>5.3060480188005226</v>
      </c>
      <c r="V19" s="152"/>
      <c r="W19" s="152"/>
      <c r="X19" s="152"/>
    </row>
    <row r="20" spans="1:24" ht="16" customHeight="1">
      <c r="A20" s="77"/>
      <c r="B20" s="21" t="s">
        <v>34</v>
      </c>
      <c r="C20" s="86">
        <v>1</v>
      </c>
      <c r="D20" s="86">
        <v>1.08</v>
      </c>
      <c r="E20" s="88">
        <v>3.68</v>
      </c>
      <c r="F20" s="223">
        <v>3.9</v>
      </c>
      <c r="G20" s="223">
        <v>3.95</v>
      </c>
      <c r="H20" s="223">
        <v>3.88</v>
      </c>
      <c r="I20" s="223">
        <v>3.94</v>
      </c>
      <c r="J20" s="223">
        <v>4.6399999999999997</v>
      </c>
      <c r="K20" s="223">
        <v>4.4000000000000004</v>
      </c>
      <c r="L20" s="223">
        <v>5.41</v>
      </c>
      <c r="M20" s="223">
        <v>5.31</v>
      </c>
      <c r="N20" s="223">
        <v>5.08</v>
      </c>
      <c r="O20" s="223">
        <v>4.9400000000000004</v>
      </c>
      <c r="P20" s="223">
        <v>4.91</v>
      </c>
      <c r="Q20" s="223">
        <v>4.1500000000000004</v>
      </c>
      <c r="R20" s="223">
        <v>4.1399999999999997</v>
      </c>
      <c r="S20" s="223">
        <v>4.33</v>
      </c>
      <c r="T20" s="223">
        <v>4.68</v>
      </c>
      <c r="U20" s="223">
        <v>5.1433228826605006</v>
      </c>
      <c r="V20" s="152"/>
      <c r="W20" s="152"/>
      <c r="X20" s="152"/>
    </row>
    <row r="21" spans="1:24" ht="16" customHeight="1">
      <c r="A21" s="77"/>
      <c r="B21" s="21" t="s">
        <v>35</v>
      </c>
      <c r="C21" s="86">
        <v>0.71</v>
      </c>
      <c r="D21" s="86">
        <v>0.73</v>
      </c>
      <c r="E21" s="88">
        <v>2.89</v>
      </c>
      <c r="F21" s="223">
        <v>3.69</v>
      </c>
      <c r="G21" s="223">
        <v>3.93</v>
      </c>
      <c r="H21" s="223">
        <v>3.82</v>
      </c>
      <c r="I21" s="223">
        <v>3.67</v>
      </c>
      <c r="J21" s="223">
        <v>4.5199999999999996</v>
      </c>
      <c r="K21" s="223">
        <v>4.59</v>
      </c>
      <c r="L21" s="223">
        <v>4.87</v>
      </c>
      <c r="M21" s="223">
        <v>4.71</v>
      </c>
      <c r="N21" s="223">
        <v>4.68</v>
      </c>
      <c r="O21" s="223">
        <v>4.76</v>
      </c>
      <c r="P21" s="223">
        <v>4.6500000000000004</v>
      </c>
      <c r="Q21" s="223">
        <v>4.16</v>
      </c>
      <c r="R21" s="223">
        <v>4.24</v>
      </c>
      <c r="S21" s="223">
        <v>4.3600000000000003</v>
      </c>
      <c r="T21" s="223">
        <v>4.8</v>
      </c>
      <c r="U21" s="223">
        <v>5.2615895943674271</v>
      </c>
      <c r="V21" s="152"/>
      <c r="W21" s="152"/>
      <c r="X21" s="152"/>
    </row>
    <row r="22" spans="1:24" ht="16" customHeight="1">
      <c r="A22" s="77"/>
      <c r="B22" s="21" t="s">
        <v>36</v>
      </c>
      <c r="C22" s="86">
        <v>0.85</v>
      </c>
      <c r="D22" s="86">
        <v>0.8</v>
      </c>
      <c r="E22" s="88">
        <v>3.65</v>
      </c>
      <c r="F22" s="223">
        <v>3.67</v>
      </c>
      <c r="G22" s="223">
        <v>3.87</v>
      </c>
      <c r="H22" s="223">
        <v>3.66</v>
      </c>
      <c r="I22" s="223">
        <v>3.65</v>
      </c>
      <c r="J22" s="223">
        <v>4.33</v>
      </c>
      <c r="K22" s="223">
        <v>4.45</v>
      </c>
      <c r="L22" s="223">
        <v>4.8099999999999996</v>
      </c>
      <c r="M22" s="223">
        <v>4.5199999999999996</v>
      </c>
      <c r="N22" s="223">
        <v>4.57</v>
      </c>
      <c r="O22" s="223">
        <v>4.55</v>
      </c>
      <c r="P22" s="223">
        <v>4.58</v>
      </c>
      <c r="Q22" s="223">
        <v>4.0999999999999996</v>
      </c>
      <c r="R22" s="223">
        <v>3.95</v>
      </c>
      <c r="S22" s="223">
        <v>4.17</v>
      </c>
      <c r="T22" s="223">
        <v>4.71</v>
      </c>
      <c r="U22" s="223">
        <v>5.1900266977956884</v>
      </c>
      <c r="V22" s="152"/>
      <c r="W22" s="152"/>
      <c r="X22" s="152"/>
    </row>
    <row r="23" spans="1:24" ht="16" customHeight="1">
      <c r="A23" s="77"/>
      <c r="B23" s="21" t="s">
        <v>37</v>
      </c>
      <c r="C23" s="86">
        <v>0.72</v>
      </c>
      <c r="D23" s="86">
        <v>0.83</v>
      </c>
      <c r="E23" s="88">
        <v>3.18</v>
      </c>
      <c r="F23" s="223">
        <v>3.67</v>
      </c>
      <c r="G23" s="223">
        <v>3.74</v>
      </c>
      <c r="H23" s="223">
        <v>3.8</v>
      </c>
      <c r="I23" s="223">
        <v>3.85</v>
      </c>
      <c r="J23" s="223">
        <v>4.49</v>
      </c>
      <c r="K23" s="223">
        <v>4.5199999999999996</v>
      </c>
      <c r="L23" s="223">
        <v>4.9800000000000004</v>
      </c>
      <c r="M23" s="223">
        <v>4.4400000000000004</v>
      </c>
      <c r="N23" s="223">
        <v>4.7300000000000004</v>
      </c>
      <c r="O23" s="223">
        <v>4.74</v>
      </c>
      <c r="P23" s="223">
        <v>4.66</v>
      </c>
      <c r="Q23" s="223">
        <v>4.12</v>
      </c>
      <c r="R23" s="223">
        <v>4.03</v>
      </c>
      <c r="S23" s="223">
        <v>4.18</v>
      </c>
      <c r="T23" s="223">
        <v>4.76</v>
      </c>
      <c r="U23" s="223">
        <v>5.2620160829969924</v>
      </c>
      <c r="V23" s="152"/>
      <c r="W23" s="152"/>
      <c r="X23" s="152"/>
    </row>
    <row r="24" spans="1:24" ht="16" customHeight="1">
      <c r="A24" s="77"/>
      <c r="B24" s="21" t="s">
        <v>38</v>
      </c>
      <c r="C24" s="86">
        <v>1.06</v>
      </c>
      <c r="D24" s="86">
        <v>1.1399999999999999</v>
      </c>
      <c r="E24" s="88">
        <v>3.74</v>
      </c>
      <c r="F24" s="223">
        <v>4.0199999999999996</v>
      </c>
      <c r="G24" s="223">
        <v>4.12</v>
      </c>
      <c r="H24" s="223">
        <v>4.49</v>
      </c>
      <c r="I24" s="223">
        <v>4.47</v>
      </c>
      <c r="J24" s="223">
        <v>5.04</v>
      </c>
      <c r="K24" s="223">
        <v>5.38</v>
      </c>
      <c r="L24" s="223">
        <v>5.45</v>
      </c>
      <c r="M24" s="223">
        <v>5.48</v>
      </c>
      <c r="N24" s="223">
        <v>5.45</v>
      </c>
      <c r="O24" s="223">
        <v>5.03</v>
      </c>
      <c r="P24" s="223">
        <v>5.03</v>
      </c>
      <c r="Q24" s="223">
        <v>4.18</v>
      </c>
      <c r="R24" s="223">
        <v>4.07</v>
      </c>
      <c r="S24" s="223">
        <v>4.25</v>
      </c>
      <c r="T24" s="223">
        <v>4.6100000000000003</v>
      </c>
      <c r="U24" s="223">
        <v>5.1964093405723233</v>
      </c>
      <c r="V24" s="152"/>
      <c r="W24" s="152"/>
      <c r="X24" s="152"/>
    </row>
    <row r="25" spans="1:24" ht="16" customHeight="1">
      <c r="A25" s="77"/>
      <c r="B25" s="21" t="s">
        <v>39</v>
      </c>
      <c r="C25" s="86">
        <v>1.1100000000000001</v>
      </c>
      <c r="D25" s="86">
        <v>1.17</v>
      </c>
      <c r="E25" s="88">
        <v>3.67</v>
      </c>
      <c r="F25" s="223">
        <v>3.84</v>
      </c>
      <c r="G25" s="223">
        <v>4.04</v>
      </c>
      <c r="H25" s="223">
        <v>4.24</v>
      </c>
      <c r="I25" s="223">
        <v>4.26</v>
      </c>
      <c r="J25" s="223">
        <v>4.5</v>
      </c>
      <c r="K25" s="223">
        <v>4.66</v>
      </c>
      <c r="L25" s="223">
        <v>5.69</v>
      </c>
      <c r="M25" s="223">
        <v>5.36</v>
      </c>
      <c r="N25" s="223">
        <v>5.27</v>
      </c>
      <c r="O25" s="223">
        <v>5.18</v>
      </c>
      <c r="P25" s="223">
        <v>4.93</v>
      </c>
      <c r="Q25" s="223">
        <v>4.16</v>
      </c>
      <c r="R25" s="223">
        <v>4.05</v>
      </c>
      <c r="S25" s="223">
        <v>4.17</v>
      </c>
      <c r="T25" s="223">
        <v>4.5</v>
      </c>
      <c r="U25" s="223">
        <v>5.0436804258725179</v>
      </c>
      <c r="V25" s="152"/>
      <c r="W25" s="152"/>
      <c r="X25" s="152"/>
    </row>
    <row r="26" spans="1:24" ht="16" customHeight="1">
      <c r="A26" s="77"/>
      <c r="B26" s="21" t="s">
        <v>42</v>
      </c>
      <c r="C26" s="86">
        <v>1.05</v>
      </c>
      <c r="D26" s="86">
        <v>1.07</v>
      </c>
      <c r="E26" s="88">
        <v>3.6</v>
      </c>
      <c r="F26" s="223">
        <v>3.84</v>
      </c>
      <c r="G26" s="223">
        <v>4.2</v>
      </c>
      <c r="H26" s="223">
        <v>4.43</v>
      </c>
      <c r="I26" s="223">
        <v>4.6100000000000003</v>
      </c>
      <c r="J26" s="223">
        <v>5</v>
      </c>
      <c r="K26" s="223">
        <v>5.14</v>
      </c>
      <c r="L26" s="223">
        <v>5.25</v>
      </c>
      <c r="M26" s="223">
        <v>5.27</v>
      </c>
      <c r="N26" s="223">
        <v>5.33</v>
      </c>
      <c r="O26" s="223">
        <v>5.1100000000000003</v>
      </c>
      <c r="P26" s="223">
        <v>5.01</v>
      </c>
      <c r="Q26" s="223">
        <v>4.21</v>
      </c>
      <c r="R26" s="223">
        <v>4.21</v>
      </c>
      <c r="S26" s="223">
        <v>4.3099999999999996</v>
      </c>
      <c r="T26" s="223">
        <v>4.7</v>
      </c>
      <c r="U26" s="223">
        <v>5.1960129667315007</v>
      </c>
      <c r="V26" s="152"/>
      <c r="W26" s="152"/>
      <c r="X26" s="152"/>
    </row>
    <row r="27" spans="1:24" ht="16" customHeight="1">
      <c r="A27" s="77"/>
      <c r="B27" s="21" t="s">
        <v>43</v>
      </c>
      <c r="C27" s="86">
        <v>0.85</v>
      </c>
      <c r="D27" s="86">
        <v>0.75</v>
      </c>
      <c r="E27" s="88">
        <v>3.47</v>
      </c>
      <c r="F27" s="223">
        <v>3.8</v>
      </c>
      <c r="G27" s="223">
        <v>4.16</v>
      </c>
      <c r="H27" s="223">
        <v>4</v>
      </c>
      <c r="I27" s="223">
        <v>4.4400000000000004</v>
      </c>
      <c r="J27" s="223">
        <v>4.93</v>
      </c>
      <c r="K27" s="223">
        <v>5.13</v>
      </c>
      <c r="L27" s="223">
        <v>5.74</v>
      </c>
      <c r="M27" s="223">
        <v>5.67</v>
      </c>
      <c r="N27" s="223">
        <v>5.79</v>
      </c>
      <c r="O27" s="223">
        <v>5.62</v>
      </c>
      <c r="P27" s="223">
        <v>5.4</v>
      </c>
      <c r="Q27" s="223">
        <v>4.2300000000000004</v>
      </c>
      <c r="R27" s="223">
        <v>4.17</v>
      </c>
      <c r="S27" s="223">
        <v>4.28</v>
      </c>
      <c r="T27" s="223">
        <v>4.6399999999999997</v>
      </c>
      <c r="U27" s="223">
        <v>5.2505066125091711</v>
      </c>
      <c r="V27" s="152"/>
      <c r="W27" s="152"/>
      <c r="X27" s="152"/>
    </row>
    <row r="28" spans="1:24" ht="16" customHeight="1">
      <c r="A28" s="77"/>
      <c r="B28" s="76" t="s">
        <v>44</v>
      </c>
      <c r="C28" s="86">
        <v>0.93</v>
      </c>
      <c r="D28" s="86">
        <v>0.96</v>
      </c>
      <c r="E28" s="88">
        <v>3.58</v>
      </c>
      <c r="F28" s="223">
        <v>3.81</v>
      </c>
      <c r="G28" s="223">
        <v>4.13</v>
      </c>
      <c r="H28" s="223">
        <v>4.1100000000000003</v>
      </c>
      <c r="I28" s="223">
        <v>4.3</v>
      </c>
      <c r="J28" s="223">
        <v>5</v>
      </c>
      <c r="K28" s="223">
        <v>5.16</v>
      </c>
      <c r="L28" s="223">
        <v>5.24</v>
      </c>
      <c r="M28" s="223">
        <v>5.35</v>
      </c>
      <c r="N28" s="223">
        <v>5.46</v>
      </c>
      <c r="O28" s="223">
        <v>5.13</v>
      </c>
      <c r="P28" s="223">
        <v>4.9400000000000004</v>
      </c>
      <c r="Q28" s="223">
        <v>4.26</v>
      </c>
      <c r="R28" s="223">
        <v>4.1900000000000004</v>
      </c>
      <c r="S28" s="223">
        <v>4.3099999999999996</v>
      </c>
      <c r="T28" s="223">
        <v>4.76</v>
      </c>
      <c r="U28" s="223">
        <v>5.362116468646156</v>
      </c>
      <c r="V28" s="152"/>
      <c r="W28" s="152"/>
      <c r="X28" s="152"/>
    </row>
    <row r="29" spans="1:24" ht="16" customHeight="1">
      <c r="A29" s="77"/>
      <c r="B29" s="21" t="s">
        <v>45</v>
      </c>
      <c r="C29" s="86">
        <v>1.43</v>
      </c>
      <c r="D29" s="86">
        <v>1.32</v>
      </c>
      <c r="E29" s="88">
        <v>3.28</v>
      </c>
      <c r="F29" s="223">
        <v>3.67</v>
      </c>
      <c r="G29" s="223">
        <v>4.13</v>
      </c>
      <c r="H29" s="223">
        <v>4.09</v>
      </c>
      <c r="I29" s="223">
        <v>4.34</v>
      </c>
      <c r="J29" s="223">
        <v>5.0599999999999996</v>
      </c>
      <c r="K29" s="223">
        <v>5.54</v>
      </c>
      <c r="L29" s="223">
        <v>5.44</v>
      </c>
      <c r="M29" s="223">
        <v>5.36</v>
      </c>
      <c r="N29" s="223">
        <v>5.24</v>
      </c>
      <c r="O29" s="223">
        <v>5.04</v>
      </c>
      <c r="P29" s="223">
        <v>4.88</v>
      </c>
      <c r="Q29" s="223">
        <v>4.26</v>
      </c>
      <c r="R29" s="223">
        <v>4.24</v>
      </c>
      <c r="S29" s="223">
        <v>4.4000000000000004</v>
      </c>
      <c r="T29" s="223">
        <v>4.82</v>
      </c>
      <c r="U29" s="223">
        <v>5.441893115290104</v>
      </c>
      <c r="V29" s="152"/>
      <c r="W29" s="152"/>
      <c r="X29" s="152"/>
    </row>
    <row r="30" spans="1:24" ht="16" customHeight="1">
      <c r="A30" s="77"/>
      <c r="B30" s="21" t="s">
        <v>46</v>
      </c>
      <c r="C30" s="86">
        <v>1.28</v>
      </c>
      <c r="D30" s="86">
        <v>1.21</v>
      </c>
      <c r="E30" s="88">
        <v>3.77</v>
      </c>
      <c r="F30" s="223">
        <v>3.84</v>
      </c>
      <c r="G30" s="223">
        <v>3.98</v>
      </c>
      <c r="H30" s="223">
        <v>4.07</v>
      </c>
      <c r="I30" s="223">
        <v>4.3</v>
      </c>
      <c r="J30" s="223">
        <v>5.09</v>
      </c>
      <c r="K30" s="223">
        <v>5.38</v>
      </c>
      <c r="L30" s="223">
        <v>5.22</v>
      </c>
      <c r="M30" s="223">
        <v>5.33</v>
      </c>
      <c r="N30" s="223">
        <v>5.09</v>
      </c>
      <c r="O30" s="223">
        <v>5.0199999999999996</v>
      </c>
      <c r="P30" s="223">
        <v>4.9000000000000004</v>
      </c>
      <c r="Q30" s="223">
        <v>4.1900000000000004</v>
      </c>
      <c r="R30" s="223">
        <v>4.26</v>
      </c>
      <c r="S30" s="223">
        <v>4.3899999999999997</v>
      </c>
      <c r="T30" s="223">
        <v>4.8</v>
      </c>
      <c r="U30" s="223">
        <v>5.2877972336287158</v>
      </c>
      <c r="V30" s="152"/>
      <c r="W30" s="152"/>
      <c r="X30" s="152"/>
    </row>
    <row r="31" spans="1:24" ht="16" customHeight="1">
      <c r="A31" s="77"/>
      <c r="B31" s="21" t="s">
        <v>47</v>
      </c>
      <c r="C31" s="86">
        <v>1.41</v>
      </c>
      <c r="D31" s="86">
        <v>1.41</v>
      </c>
      <c r="E31" s="88">
        <v>3.7</v>
      </c>
      <c r="F31" s="223">
        <v>3.99</v>
      </c>
      <c r="G31" s="223">
        <v>4.78</v>
      </c>
      <c r="H31" s="223">
        <v>5.39</v>
      </c>
      <c r="I31" s="223">
        <v>4.4400000000000004</v>
      </c>
      <c r="J31" s="223">
        <v>5.21</v>
      </c>
      <c r="K31" s="223">
        <v>5.21</v>
      </c>
      <c r="L31" s="223">
        <v>5.53</v>
      </c>
      <c r="M31" s="223">
        <v>5.05</v>
      </c>
      <c r="N31" s="223">
        <v>4.37</v>
      </c>
      <c r="O31" s="223">
        <v>4.6100000000000003</v>
      </c>
      <c r="P31" s="223">
        <v>4.59</v>
      </c>
      <c r="Q31" s="223">
        <v>4.1500000000000004</v>
      </c>
      <c r="R31" s="223">
        <v>4.21</v>
      </c>
      <c r="S31" s="223">
        <v>4.42</v>
      </c>
      <c r="T31" s="223">
        <v>4.8099999999999996</v>
      </c>
      <c r="U31" s="223">
        <v>5.3009934858768739</v>
      </c>
      <c r="V31" s="152"/>
      <c r="W31" s="152"/>
      <c r="X31" s="152"/>
    </row>
    <row r="32" spans="1:24" ht="5" customHeight="1" thickBot="1">
      <c r="A32" s="8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spans="1:21" ht="9" customHeight="1">
      <c r="A33" s="449" t="s">
        <v>330</v>
      </c>
      <c r="B33" s="527"/>
      <c r="C33" s="528"/>
      <c r="D33" s="528"/>
      <c r="E33" s="528"/>
      <c r="F33" s="528"/>
      <c r="G33" s="528"/>
      <c r="H33" s="528"/>
      <c r="I33" s="528"/>
      <c r="J33" s="528"/>
      <c r="K33" s="469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ht="9" customHeight="1">
      <c r="A34" s="529" t="s">
        <v>304</v>
      </c>
      <c r="B34" s="527"/>
      <c r="C34" s="528"/>
      <c r="D34" s="528"/>
      <c r="E34" s="528"/>
      <c r="F34" s="528"/>
      <c r="G34" s="528"/>
      <c r="H34" s="530"/>
      <c r="I34" s="530"/>
      <c r="J34" s="530"/>
      <c r="K34" s="470"/>
      <c r="L34" s="78"/>
      <c r="M34" s="78"/>
      <c r="N34" s="78"/>
      <c r="O34" s="78"/>
      <c r="P34" s="78"/>
      <c r="Q34" s="78"/>
      <c r="R34" s="78"/>
      <c r="S34" s="78"/>
      <c r="T34" s="78"/>
      <c r="U34" s="78"/>
    </row>
    <row r="35" spans="1:21" ht="9" customHeight="1">
      <c r="A35" s="451" t="s">
        <v>303</v>
      </c>
      <c r="B35" s="531"/>
      <c r="C35" s="528"/>
      <c r="D35" s="528"/>
      <c r="E35" s="528"/>
      <c r="F35" s="528"/>
      <c r="G35" s="528"/>
      <c r="H35" s="530"/>
      <c r="I35" s="530"/>
      <c r="J35" s="530"/>
      <c r="K35" s="470"/>
      <c r="L35" s="78"/>
      <c r="M35" s="78"/>
      <c r="N35" s="78"/>
      <c r="O35" s="78"/>
      <c r="P35" s="78"/>
      <c r="Q35" s="78"/>
      <c r="R35" s="78"/>
      <c r="S35" s="78"/>
      <c r="T35" s="78"/>
      <c r="U35" s="78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8" orientation="portrait" r:id="rId1"/>
  <headerFooter scaleWithDoc="0" alignWithMargins="0"/>
  <ignoredErrors>
    <ignoredError sqref="P5:S5" numberStoredAsText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Hoja136">
    <tabColor theme="9" tint="0.59999389629810485"/>
  </sheetPr>
  <dimension ref="A2:S52"/>
  <sheetViews>
    <sheetView showGridLines="0" zoomScaleNormal="100" workbookViewId="0">
      <selection activeCell="G29" sqref="G29"/>
    </sheetView>
  </sheetViews>
  <sheetFormatPr baseColWidth="10" defaultColWidth="7" defaultRowHeight="13.25" customHeight="1"/>
  <cols>
    <col min="1" max="1" width="13.59765625" style="67" customWidth="1"/>
    <col min="2" max="2" width="9.59765625" style="67" customWidth="1"/>
    <col min="3" max="3" width="9.3984375" style="67" customWidth="1"/>
    <col min="4" max="15" width="8.3984375" style="67" customWidth="1"/>
    <col min="16" max="16384" width="7" style="67"/>
  </cols>
  <sheetData>
    <row r="2" spans="1:19" ht="13.25" customHeight="1">
      <c r="A2" s="401" t="s">
        <v>603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spans="1:19" ht="6" customHeight="1" thickBot="1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</row>
    <row r="4" spans="1:19" ht="18" customHeight="1">
      <c r="A4" s="731" t="s">
        <v>101</v>
      </c>
      <c r="B4" s="731" t="s">
        <v>281</v>
      </c>
      <c r="C4" s="731" t="s">
        <v>52</v>
      </c>
      <c r="D4" s="731" t="s">
        <v>53</v>
      </c>
      <c r="E4" s="731" t="s">
        <v>54</v>
      </c>
      <c r="F4" s="731" t="s">
        <v>55</v>
      </c>
      <c r="G4" s="731" t="s">
        <v>56</v>
      </c>
      <c r="H4" s="731" t="s">
        <v>57</v>
      </c>
      <c r="I4" s="731" t="s">
        <v>58</v>
      </c>
      <c r="J4" s="731" t="s">
        <v>59</v>
      </c>
      <c r="K4" s="731" t="s">
        <v>60</v>
      </c>
      <c r="L4" s="731" t="s">
        <v>61</v>
      </c>
      <c r="M4" s="731" t="s">
        <v>62</v>
      </c>
      <c r="N4" s="731" t="s">
        <v>63</v>
      </c>
      <c r="O4" s="731" t="s">
        <v>64</v>
      </c>
      <c r="R4" s="383"/>
      <c r="S4" s="383"/>
    </row>
    <row r="5" spans="1:19" ht="6" customHeight="1">
      <c r="B5" s="70"/>
      <c r="C5" s="927"/>
    </row>
    <row r="6" spans="1:19" ht="14" customHeight="1">
      <c r="A6" s="67" t="s">
        <v>114</v>
      </c>
      <c r="B6" s="70" t="s">
        <v>102</v>
      </c>
      <c r="C6" s="611">
        <f>SUM(D6:O6)</f>
        <v>273745895</v>
      </c>
      <c r="D6" s="71">
        <v>21625902</v>
      </c>
      <c r="E6" s="71">
        <v>21016260</v>
      </c>
      <c r="F6" s="71">
        <v>21527226</v>
      </c>
      <c r="G6" s="71">
        <v>21838639</v>
      </c>
      <c r="H6" s="71">
        <v>23185285</v>
      </c>
      <c r="I6" s="71">
        <v>23114398</v>
      </c>
      <c r="J6" s="71">
        <v>23514345</v>
      </c>
      <c r="K6" s="71">
        <v>24116210</v>
      </c>
      <c r="L6" s="71">
        <v>23335308</v>
      </c>
      <c r="M6" s="71">
        <v>23450549</v>
      </c>
      <c r="N6" s="71">
        <v>23423947</v>
      </c>
      <c r="O6" s="71">
        <v>23597826</v>
      </c>
      <c r="P6" s="101"/>
    </row>
    <row r="7" spans="1:19" ht="14" customHeight="1">
      <c r="B7" s="70" t="s">
        <v>359</v>
      </c>
      <c r="C7" s="611">
        <f>SUM(D7:O7)</f>
        <v>735253543.69999993</v>
      </c>
      <c r="D7" s="71">
        <v>57895490.999999978</v>
      </c>
      <c r="E7" s="71">
        <v>53393596.600000009</v>
      </c>
      <c r="F7" s="71">
        <v>55642475.79999999</v>
      </c>
      <c r="G7" s="71">
        <v>58283624.899999999</v>
      </c>
      <c r="H7" s="71">
        <v>62388925</v>
      </c>
      <c r="I7" s="71">
        <v>62733117.400000006</v>
      </c>
      <c r="J7" s="71">
        <v>63574906.799999997</v>
      </c>
      <c r="K7" s="71">
        <v>64174774.100000001</v>
      </c>
      <c r="L7" s="71">
        <v>62712743</v>
      </c>
      <c r="M7" s="71">
        <v>64349873.100000009</v>
      </c>
      <c r="N7" s="71">
        <v>63121577.500000007</v>
      </c>
      <c r="O7" s="71">
        <v>66982438.500000007</v>
      </c>
      <c r="Q7" s="98"/>
    </row>
    <row r="8" spans="1:19" ht="14" customHeight="1">
      <c r="B8" s="70" t="s">
        <v>350</v>
      </c>
      <c r="C8" s="612">
        <f t="shared" ref="C8" si="0">(C7/C6)</f>
        <v>2.6858979700864554</v>
      </c>
      <c r="D8" s="72">
        <f>D7/D6</f>
        <v>2.6771364727353326</v>
      </c>
      <c r="E8" s="72">
        <f t="shared" ref="E8:O8" si="1">E7/E6</f>
        <v>2.5405850803140049</v>
      </c>
      <c r="F8" s="72">
        <f t="shared" si="1"/>
        <v>2.5847489964568582</v>
      </c>
      <c r="G8" s="72">
        <f t="shared" si="1"/>
        <v>2.6688304568796619</v>
      </c>
      <c r="H8" s="72">
        <f t="shared" si="1"/>
        <v>2.6908845416392335</v>
      </c>
      <c r="I8" s="72">
        <f t="shared" si="1"/>
        <v>2.7140277414968801</v>
      </c>
      <c r="J8" s="72">
        <f t="shared" si="1"/>
        <v>2.7036647969569212</v>
      </c>
      <c r="K8" s="72">
        <f t="shared" si="1"/>
        <v>2.6610638280227286</v>
      </c>
      <c r="L8" s="72">
        <f t="shared" si="1"/>
        <v>2.6874615496825669</v>
      </c>
      <c r="M8" s="72">
        <f t="shared" si="1"/>
        <v>2.7440668062824463</v>
      </c>
      <c r="N8" s="72">
        <f t="shared" si="1"/>
        <v>2.6947455738351871</v>
      </c>
      <c r="O8" s="72">
        <f t="shared" si="1"/>
        <v>2.838500398299403</v>
      </c>
    </row>
    <row r="9" spans="1:19" ht="14" customHeight="1">
      <c r="B9" s="70"/>
      <c r="C9" s="927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</row>
    <row r="10" spans="1:19" ht="14" customHeight="1">
      <c r="A10" s="67" t="s">
        <v>434</v>
      </c>
      <c r="B10" s="70" t="s">
        <v>102</v>
      </c>
      <c r="C10" s="611">
        <f>SUM(D10:O10)</f>
        <v>34940</v>
      </c>
      <c r="D10" s="71">
        <v>10190</v>
      </c>
      <c r="E10" s="71">
        <v>2950</v>
      </c>
      <c r="F10" s="71">
        <v>0</v>
      </c>
      <c r="G10" s="71">
        <v>0</v>
      </c>
      <c r="H10" s="71">
        <v>4040</v>
      </c>
      <c r="I10" s="71">
        <v>0</v>
      </c>
      <c r="J10" s="71">
        <v>0</v>
      </c>
      <c r="K10" s="71">
        <v>7960</v>
      </c>
      <c r="L10" s="71">
        <v>2150</v>
      </c>
      <c r="M10" s="71">
        <v>2200</v>
      </c>
      <c r="N10" s="71">
        <v>0</v>
      </c>
      <c r="O10" s="71">
        <v>5450</v>
      </c>
      <c r="P10" s="71"/>
    </row>
    <row r="11" spans="1:19" ht="14" customHeight="1">
      <c r="B11" s="70" t="s">
        <v>359</v>
      </c>
      <c r="C11" s="611">
        <f>SUM(D11:O11)</f>
        <v>70069.899999999994</v>
      </c>
      <c r="D11" s="71">
        <v>20422.7</v>
      </c>
      <c r="E11" s="71">
        <v>5911.8</v>
      </c>
      <c r="F11" s="71">
        <v>0</v>
      </c>
      <c r="G11" s="71">
        <v>0</v>
      </c>
      <c r="H11" s="71">
        <v>8096.1</v>
      </c>
      <c r="I11" s="71">
        <v>0</v>
      </c>
      <c r="J11" s="71">
        <v>0</v>
      </c>
      <c r="K11" s="71">
        <v>15999.6</v>
      </c>
      <c r="L11" s="71">
        <v>4310.7</v>
      </c>
      <c r="M11" s="71">
        <v>4404.3999999999996</v>
      </c>
      <c r="N11" s="71">
        <v>0</v>
      </c>
      <c r="O11" s="71">
        <v>10924.6</v>
      </c>
      <c r="P11" s="71"/>
      <c r="Q11" s="98"/>
    </row>
    <row r="12" spans="1:19" ht="14" customHeight="1">
      <c r="B12" s="70" t="s">
        <v>350</v>
      </c>
      <c r="C12" s="612">
        <f t="shared" ref="C12" si="2">(C11/C10)</f>
        <v>2.0054350314825413</v>
      </c>
      <c r="D12" s="72">
        <f>D11/D10</f>
        <v>2.0041903827281651</v>
      </c>
      <c r="E12" s="72">
        <f t="shared" ref="E12:O12" si="3">E11/E10</f>
        <v>2.004</v>
      </c>
      <c r="F12" s="72">
        <v>0</v>
      </c>
      <c r="G12" s="72">
        <v>0</v>
      </c>
      <c r="H12" s="72">
        <f t="shared" si="3"/>
        <v>2.0039851485148517</v>
      </c>
      <c r="I12" s="72">
        <v>0</v>
      </c>
      <c r="J12" s="72">
        <v>0</v>
      </c>
      <c r="K12" s="72">
        <f t="shared" si="3"/>
        <v>2.0100000000000002</v>
      </c>
      <c r="L12" s="72">
        <f t="shared" si="3"/>
        <v>2.0049767441860462</v>
      </c>
      <c r="M12" s="72">
        <f t="shared" si="3"/>
        <v>2.0019999999999998</v>
      </c>
      <c r="N12" s="72">
        <v>0</v>
      </c>
      <c r="O12" s="72">
        <f t="shared" si="3"/>
        <v>2.0045137614678898</v>
      </c>
    </row>
    <row r="13" spans="1:19" ht="14" customHeight="1">
      <c r="B13" s="70"/>
      <c r="C13" s="927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</row>
    <row r="14" spans="1:19" ht="14" customHeight="1">
      <c r="A14" s="67" t="s">
        <v>435</v>
      </c>
      <c r="B14" s="70" t="s">
        <v>102</v>
      </c>
      <c r="C14" s="611">
        <f>SUM(D14:O14)</f>
        <v>3673354</v>
      </c>
      <c r="D14" s="71">
        <v>270260</v>
      </c>
      <c r="E14" s="71">
        <v>246745</v>
      </c>
      <c r="F14" s="71">
        <v>266845</v>
      </c>
      <c r="G14" s="71">
        <v>268430</v>
      </c>
      <c r="H14" s="71">
        <v>293870</v>
      </c>
      <c r="I14" s="71">
        <v>292190</v>
      </c>
      <c r="J14" s="71">
        <v>312710</v>
      </c>
      <c r="K14" s="71">
        <v>376315</v>
      </c>
      <c r="L14" s="71">
        <v>335530</v>
      </c>
      <c r="M14" s="71">
        <v>322781</v>
      </c>
      <c r="N14" s="71">
        <v>341178</v>
      </c>
      <c r="O14" s="71">
        <v>346500</v>
      </c>
      <c r="P14" s="71"/>
    </row>
    <row r="15" spans="1:19" ht="14" customHeight="1">
      <c r="B15" s="70" t="s">
        <v>359</v>
      </c>
      <c r="C15" s="611">
        <f>SUM(D15:O15)</f>
        <v>7337425.3999999994</v>
      </c>
      <c r="D15" s="71">
        <v>539790.19999999995</v>
      </c>
      <c r="E15" s="71">
        <v>492793.59999999998</v>
      </c>
      <c r="F15" s="71">
        <v>533032.6</v>
      </c>
      <c r="G15" s="71">
        <v>536097.5</v>
      </c>
      <c r="H15" s="71">
        <v>586949.19999999995</v>
      </c>
      <c r="I15" s="71">
        <v>583706.6</v>
      </c>
      <c r="J15" s="71">
        <v>624608.4</v>
      </c>
      <c r="K15" s="71">
        <v>751631.7</v>
      </c>
      <c r="L15" s="71">
        <v>670365.80000000005</v>
      </c>
      <c r="M15" s="71">
        <v>644727.1</v>
      </c>
      <c r="N15" s="71">
        <v>681553.9</v>
      </c>
      <c r="O15" s="71">
        <v>692168.8</v>
      </c>
      <c r="P15" s="71"/>
      <c r="Q15" s="100"/>
    </row>
    <row r="16" spans="1:19" ht="14" customHeight="1">
      <c r="B16" s="70" t="s">
        <v>350</v>
      </c>
      <c r="C16" s="612">
        <f t="shared" ref="C16" si="4">(C15/C14)</f>
        <v>1.9974729906238275</v>
      </c>
      <c r="D16" s="72">
        <f>D15/D14</f>
        <v>1.9972996373862204</v>
      </c>
      <c r="E16" s="72">
        <f t="shared" ref="E16:O16" si="5">E15/E14</f>
        <v>1.9971776530426149</v>
      </c>
      <c r="F16" s="72">
        <f t="shared" si="5"/>
        <v>1.9975363975341489</v>
      </c>
      <c r="G16" s="72">
        <f t="shared" si="5"/>
        <v>1.9971594084118764</v>
      </c>
      <c r="H16" s="72">
        <f t="shared" si="5"/>
        <v>1.9973090141899479</v>
      </c>
      <c r="I16" s="72">
        <f t="shared" si="5"/>
        <v>1.9976953352270781</v>
      </c>
      <c r="J16" s="72">
        <f t="shared" si="5"/>
        <v>1.9974046240926098</v>
      </c>
      <c r="K16" s="72">
        <f t="shared" si="5"/>
        <v>1.9973471692597955</v>
      </c>
      <c r="L16" s="72">
        <f t="shared" si="5"/>
        <v>1.9979310344827588</v>
      </c>
      <c r="M16" s="72">
        <f t="shared" si="5"/>
        <v>1.997413416526995</v>
      </c>
      <c r="N16" s="72">
        <f t="shared" si="5"/>
        <v>1.9976490277802204</v>
      </c>
      <c r="O16" s="72">
        <f t="shared" si="5"/>
        <v>1.9976011544011545</v>
      </c>
    </row>
    <row r="17" spans="1:17" ht="14" customHeight="1">
      <c r="B17" s="70"/>
      <c r="C17" s="61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</row>
    <row r="18" spans="1:17" ht="14" customHeight="1">
      <c r="A18" s="67" t="s">
        <v>436</v>
      </c>
      <c r="B18" s="70" t="s">
        <v>102</v>
      </c>
      <c r="C18" s="611">
        <f>SUM(D18:O18)</f>
        <v>0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</row>
    <row r="19" spans="1:17" ht="14" customHeight="1">
      <c r="B19" s="70" t="s">
        <v>359</v>
      </c>
      <c r="C19" s="611">
        <f>SUM(D19:O19)</f>
        <v>0</v>
      </c>
      <c r="D19" s="71">
        <v>0</v>
      </c>
      <c r="E19" s="71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</row>
    <row r="20" spans="1:17" ht="14" customHeight="1">
      <c r="B20" s="70" t="s">
        <v>350</v>
      </c>
      <c r="C20" s="61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</row>
    <row r="21" spans="1:17" ht="14" customHeight="1">
      <c r="B21" s="70"/>
      <c r="C21" s="61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</row>
    <row r="22" spans="1:17" ht="14" customHeight="1">
      <c r="A22" s="67" t="s">
        <v>437</v>
      </c>
      <c r="B22" s="70" t="s">
        <v>102</v>
      </c>
      <c r="C22" s="611">
        <f>SUM(D22:O22)</f>
        <v>0</v>
      </c>
      <c r="D22" s="71">
        <v>0</v>
      </c>
      <c r="E22" s="71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/>
    </row>
    <row r="23" spans="1:17" ht="14" customHeight="1">
      <c r="B23" s="70" t="s">
        <v>359</v>
      </c>
      <c r="C23" s="611">
        <f>SUM(D23:O23)</f>
        <v>0</v>
      </c>
      <c r="D23" s="71">
        <v>0</v>
      </c>
      <c r="E23" s="71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/>
    </row>
    <row r="24" spans="1:17" ht="14" customHeight="1">
      <c r="B24" s="70" t="s">
        <v>350</v>
      </c>
      <c r="C24" s="61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</row>
    <row r="25" spans="1:17" ht="14" customHeight="1">
      <c r="B25" s="70"/>
      <c r="C25" s="61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</row>
    <row r="26" spans="1:17" ht="14" customHeight="1">
      <c r="A26" s="67" t="s">
        <v>438</v>
      </c>
      <c r="B26" s="70" t="s">
        <v>102</v>
      </c>
      <c r="C26" s="611">
        <f>SUM(D26:O26)</f>
        <v>3085590</v>
      </c>
      <c r="D26" s="71">
        <v>258100</v>
      </c>
      <c r="E26" s="71">
        <v>218000</v>
      </c>
      <c r="F26" s="71">
        <v>259000</v>
      </c>
      <c r="G26" s="71">
        <v>267090</v>
      </c>
      <c r="H26" s="71">
        <v>280800</v>
      </c>
      <c r="I26" s="71">
        <v>285100</v>
      </c>
      <c r="J26" s="71">
        <v>285600</v>
      </c>
      <c r="K26" s="71">
        <v>192800</v>
      </c>
      <c r="L26" s="71">
        <v>260000</v>
      </c>
      <c r="M26" s="71">
        <v>244600</v>
      </c>
      <c r="N26" s="71">
        <v>254100</v>
      </c>
      <c r="O26" s="71">
        <v>280400</v>
      </c>
      <c r="P26" s="71"/>
    </row>
    <row r="27" spans="1:17" ht="14" customHeight="1">
      <c r="B27" s="70" t="s">
        <v>359</v>
      </c>
      <c r="C27" s="611">
        <f>SUM(D27:O27)</f>
        <v>13741435</v>
      </c>
      <c r="D27" s="71">
        <v>1141333.1000000001</v>
      </c>
      <c r="E27" s="71">
        <v>932430.2</v>
      </c>
      <c r="F27" s="71">
        <v>1144232</v>
      </c>
      <c r="G27" s="71">
        <v>1179691.5</v>
      </c>
      <c r="H27" s="71">
        <v>1250299</v>
      </c>
      <c r="I27" s="71">
        <v>1271451.2</v>
      </c>
      <c r="J27" s="71">
        <v>1290568.5</v>
      </c>
      <c r="K27" s="71">
        <v>854146</v>
      </c>
      <c r="L27" s="71">
        <v>1178627.3999999999</v>
      </c>
      <c r="M27" s="71">
        <v>1093719.2</v>
      </c>
      <c r="N27" s="71">
        <v>1139736.3</v>
      </c>
      <c r="O27" s="71">
        <v>1265200.6000000001</v>
      </c>
      <c r="P27" s="71"/>
      <c r="Q27" s="72"/>
    </row>
    <row r="28" spans="1:17" ht="14" customHeight="1">
      <c r="B28" s="70" t="s">
        <v>350</v>
      </c>
      <c r="C28" s="612">
        <f t="shared" ref="C28" si="6">(C27/C26)</f>
        <v>4.4534221980237163</v>
      </c>
      <c r="D28" s="72">
        <f>D27/D26</f>
        <v>4.4220577295621855</v>
      </c>
      <c r="E28" s="72">
        <f t="shared" ref="E28:O28" si="7">E27/E26</f>
        <v>4.2772027522935776</v>
      </c>
      <c r="F28" s="72">
        <f t="shared" si="7"/>
        <v>4.4178841698841698</v>
      </c>
      <c r="G28" s="72">
        <f t="shared" si="7"/>
        <v>4.4168314051443334</v>
      </c>
      <c r="H28" s="72">
        <f t="shared" si="7"/>
        <v>4.4526317663817663</v>
      </c>
      <c r="I28" s="72">
        <f t="shared" si="7"/>
        <v>4.4596674850929494</v>
      </c>
      <c r="J28" s="72">
        <f t="shared" si="7"/>
        <v>4.5187972689075631</v>
      </c>
      <c r="K28" s="72">
        <f t="shared" si="7"/>
        <v>4.4302178423236516</v>
      </c>
      <c r="L28" s="72">
        <f t="shared" si="7"/>
        <v>4.5331823076923072</v>
      </c>
      <c r="M28" s="72">
        <f t="shared" si="7"/>
        <v>4.4714603434178244</v>
      </c>
      <c r="N28" s="72">
        <f t="shared" si="7"/>
        <v>4.4853848878394338</v>
      </c>
      <c r="O28" s="72">
        <f t="shared" si="7"/>
        <v>4.5121276747503574</v>
      </c>
    </row>
    <row r="29" spans="1:17" ht="14" customHeight="1">
      <c r="B29" s="70"/>
      <c r="C29" s="61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</row>
    <row r="30" spans="1:17" ht="14" customHeight="1">
      <c r="A30" s="67" t="s">
        <v>439</v>
      </c>
      <c r="B30" s="70" t="s">
        <v>102</v>
      </c>
      <c r="C30" s="611">
        <f>SUM(D30:O30)</f>
        <v>0</v>
      </c>
      <c r="D30" s="71">
        <v>0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</row>
    <row r="31" spans="1:17" ht="14" customHeight="1">
      <c r="B31" s="70" t="s">
        <v>359</v>
      </c>
      <c r="C31" s="611">
        <f>SUM(D31:O31)</f>
        <v>0</v>
      </c>
      <c r="D31" s="71">
        <v>0</v>
      </c>
      <c r="E31" s="71">
        <v>0</v>
      </c>
      <c r="F31" s="71">
        <v>0</v>
      </c>
      <c r="G31" s="71">
        <v>0</v>
      </c>
      <c r="H31" s="71">
        <v>0</v>
      </c>
      <c r="I31" s="71">
        <v>0</v>
      </c>
      <c r="J31" s="71">
        <v>0</v>
      </c>
      <c r="K31" s="71">
        <v>0</v>
      </c>
      <c r="L31" s="71">
        <v>0</v>
      </c>
      <c r="M31" s="71">
        <v>0</v>
      </c>
      <c r="N31" s="71">
        <v>0</v>
      </c>
      <c r="O31" s="71">
        <v>0</v>
      </c>
    </row>
    <row r="32" spans="1:17" ht="14" customHeight="1">
      <c r="B32" s="70" t="s">
        <v>350</v>
      </c>
      <c r="C32" s="612">
        <v>0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</row>
    <row r="33" spans="1:19" ht="14" customHeight="1">
      <c r="B33" s="70"/>
      <c r="C33" s="61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</row>
    <row r="34" spans="1:19" ht="14" customHeight="1">
      <c r="A34" s="67" t="s">
        <v>109</v>
      </c>
      <c r="B34" s="70" t="s">
        <v>102</v>
      </c>
      <c r="C34" s="611">
        <f>SUM(D34:O34)</f>
        <v>75763</v>
      </c>
      <c r="D34" s="71">
        <v>0</v>
      </c>
      <c r="E34" s="71">
        <v>0</v>
      </c>
      <c r="F34" s="71">
        <v>0</v>
      </c>
      <c r="G34" s="71">
        <v>0</v>
      </c>
      <c r="H34" s="71">
        <v>0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71">
        <v>75763</v>
      </c>
    </row>
    <row r="35" spans="1:19" ht="14" customHeight="1">
      <c r="B35" s="70" t="s">
        <v>359</v>
      </c>
      <c r="C35" s="611">
        <f>SUM(D35:O35)</f>
        <v>739434.5</v>
      </c>
      <c r="D35" s="71">
        <v>0</v>
      </c>
      <c r="E35" s="71">
        <v>0</v>
      </c>
      <c r="F35" s="71">
        <v>0</v>
      </c>
      <c r="G35" s="71">
        <v>0</v>
      </c>
      <c r="H35" s="71">
        <v>0</v>
      </c>
      <c r="I35" s="71">
        <v>0</v>
      </c>
      <c r="J35" s="71">
        <v>0</v>
      </c>
      <c r="K35" s="71">
        <v>0</v>
      </c>
      <c r="L35" s="71">
        <v>0</v>
      </c>
      <c r="M35" s="71">
        <v>0</v>
      </c>
      <c r="N35" s="71">
        <v>0</v>
      </c>
      <c r="O35" s="71">
        <v>739434.5</v>
      </c>
      <c r="Q35" s="72"/>
    </row>
    <row r="36" spans="1:19" ht="14" customHeight="1">
      <c r="B36" s="70" t="s">
        <v>350</v>
      </c>
      <c r="C36" s="612">
        <f>(C35/C34)</f>
        <v>9.7598365956997473</v>
      </c>
      <c r="D36" s="72">
        <v>0</v>
      </c>
      <c r="E36" s="72">
        <v>0</v>
      </c>
      <c r="F36" s="72">
        <v>0</v>
      </c>
      <c r="G36" s="72">
        <v>0</v>
      </c>
      <c r="H36" s="72">
        <v>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f>O35/O34</f>
        <v>9.7598365956997473</v>
      </c>
    </row>
    <row r="37" spans="1:19" ht="14" customHeight="1">
      <c r="B37" s="70"/>
      <c r="C37" s="61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</row>
    <row r="38" spans="1:19" ht="14" customHeight="1">
      <c r="A38" s="67" t="s">
        <v>163</v>
      </c>
      <c r="B38" s="70" t="s">
        <v>102</v>
      </c>
      <c r="C38" s="611">
        <f>SUM(D38:O38)</f>
        <v>19882</v>
      </c>
      <c r="D38" s="71">
        <v>810</v>
      </c>
      <c r="E38" s="71">
        <v>1176</v>
      </c>
      <c r="F38" s="71">
        <v>1282</v>
      </c>
      <c r="G38" s="71">
        <v>1321</v>
      </c>
      <c r="H38" s="71">
        <v>1931</v>
      </c>
      <c r="I38" s="71">
        <v>1836</v>
      </c>
      <c r="J38" s="71">
        <v>1670</v>
      </c>
      <c r="K38" s="71">
        <v>2109</v>
      </c>
      <c r="L38" s="71">
        <v>1671</v>
      </c>
      <c r="M38" s="71">
        <v>1624</v>
      </c>
      <c r="N38" s="71">
        <v>1719</v>
      </c>
      <c r="O38" s="71">
        <v>2733</v>
      </c>
      <c r="P38" s="71"/>
    </row>
    <row r="39" spans="1:19" ht="14" customHeight="1">
      <c r="B39" s="70" t="s">
        <v>359</v>
      </c>
      <c r="C39" s="611">
        <f>SUM(D39:O39)</f>
        <v>67003.3</v>
      </c>
      <c r="D39" s="71">
        <v>2726.5</v>
      </c>
      <c r="E39" s="71">
        <v>3957.8</v>
      </c>
      <c r="F39" s="71">
        <v>4319.2</v>
      </c>
      <c r="G39" s="71">
        <v>4444.5</v>
      </c>
      <c r="H39" s="71">
        <v>6509.6</v>
      </c>
      <c r="I39" s="71">
        <v>6189.8</v>
      </c>
      <c r="J39" s="71">
        <v>5628.2</v>
      </c>
      <c r="K39" s="71">
        <v>7109.3</v>
      </c>
      <c r="L39" s="71">
        <v>5632</v>
      </c>
      <c r="M39" s="71">
        <v>5476.6</v>
      </c>
      <c r="N39" s="71">
        <v>5794.3</v>
      </c>
      <c r="O39" s="71">
        <v>9215.5</v>
      </c>
      <c r="P39" s="71"/>
      <c r="Q39" s="100"/>
    </row>
    <row r="40" spans="1:19" ht="14" customHeight="1">
      <c r="B40" s="70" t="s">
        <v>350</v>
      </c>
      <c r="C40" s="612">
        <f t="shared" ref="C40" si="8">(C39/C38)</f>
        <v>3.3700482848807969</v>
      </c>
      <c r="D40" s="72">
        <f>D39/D38</f>
        <v>3.3660493827160494</v>
      </c>
      <c r="E40" s="72">
        <f t="shared" ref="E40:O40" si="9">E39/E38</f>
        <v>3.3654761904761905</v>
      </c>
      <c r="F40" s="72">
        <f t="shared" si="9"/>
        <v>3.3691107644305771</v>
      </c>
      <c r="G40" s="72">
        <f t="shared" si="9"/>
        <v>3.3644965934897804</v>
      </c>
      <c r="H40" s="72">
        <f t="shared" si="9"/>
        <v>3.3711030554117039</v>
      </c>
      <c r="I40" s="72">
        <f t="shared" si="9"/>
        <v>3.3713507625272334</v>
      </c>
      <c r="J40" s="72">
        <f t="shared" si="9"/>
        <v>3.3701796407185629</v>
      </c>
      <c r="K40" s="72">
        <f t="shared" si="9"/>
        <v>3.3709340919867237</v>
      </c>
      <c r="L40" s="72">
        <f t="shared" si="9"/>
        <v>3.3704368641532017</v>
      </c>
      <c r="M40" s="72">
        <f t="shared" si="9"/>
        <v>3.3722906403940889</v>
      </c>
      <c r="N40" s="72">
        <f t="shared" si="9"/>
        <v>3.3707388016288542</v>
      </c>
      <c r="O40" s="72">
        <f t="shared" si="9"/>
        <v>3.3719356019026709</v>
      </c>
    </row>
    <row r="41" spans="1:19" ht="14" customHeight="1">
      <c r="B41" s="70"/>
      <c r="C41" s="927"/>
    </row>
    <row r="42" spans="1:19" ht="14" customHeight="1">
      <c r="A42" s="67" t="s">
        <v>164</v>
      </c>
      <c r="B42" s="70" t="s">
        <v>102</v>
      </c>
      <c r="C42" s="611">
        <f>SUM(D42:O42)</f>
        <v>705606</v>
      </c>
      <c r="D42" s="71">
        <v>60419</v>
      </c>
      <c r="E42" s="71">
        <v>58193</v>
      </c>
      <c r="F42" s="71">
        <v>65864</v>
      </c>
      <c r="G42" s="71">
        <v>65310</v>
      </c>
      <c r="H42" s="71">
        <v>67840</v>
      </c>
      <c r="I42" s="71">
        <v>65030</v>
      </c>
      <c r="J42" s="71">
        <v>64030</v>
      </c>
      <c r="K42" s="71">
        <v>45810</v>
      </c>
      <c r="L42" s="71">
        <v>60505</v>
      </c>
      <c r="M42" s="71">
        <v>42685</v>
      </c>
      <c r="N42" s="71">
        <v>48970</v>
      </c>
      <c r="O42" s="71">
        <v>60950</v>
      </c>
    </row>
    <row r="43" spans="1:19" ht="14" customHeight="1">
      <c r="B43" s="70" t="s">
        <v>359</v>
      </c>
      <c r="C43" s="611">
        <f>SUM(D43:O43)</f>
        <v>3624835.9</v>
      </c>
      <c r="D43" s="71">
        <v>310334.8</v>
      </c>
      <c r="E43" s="71">
        <v>298915.90000000002</v>
      </c>
      <c r="F43" s="71">
        <v>338362.7</v>
      </c>
      <c r="G43" s="71">
        <v>335508.8</v>
      </c>
      <c r="H43" s="71">
        <v>348506.1</v>
      </c>
      <c r="I43" s="71">
        <v>334129.2</v>
      </c>
      <c r="J43" s="71">
        <v>328883.5</v>
      </c>
      <c r="K43" s="71">
        <v>235322.7</v>
      </c>
      <c r="L43" s="71">
        <v>310799.3</v>
      </c>
      <c r="M43" s="71">
        <v>219312.1</v>
      </c>
      <c r="N43" s="71">
        <v>251564.3</v>
      </c>
      <c r="O43" s="71">
        <v>313196.5</v>
      </c>
      <c r="Q43" s="100"/>
    </row>
    <row r="44" spans="1:19" ht="14" customHeight="1" thickBot="1">
      <c r="A44" s="68"/>
      <c r="B44" s="73" t="s">
        <v>350</v>
      </c>
      <c r="C44" s="928">
        <f t="shared" ref="C44" si="10">(C43/C42)</f>
        <v>5.1371954036672021</v>
      </c>
      <c r="D44" s="74">
        <f>D43/D42</f>
        <v>5.1363776295536168</v>
      </c>
      <c r="E44" s="74">
        <f t="shared" ref="E44:O44" si="11">E43/E42</f>
        <v>5.1366298352035473</v>
      </c>
      <c r="F44" s="74">
        <f t="shared" si="11"/>
        <v>5.137293513907446</v>
      </c>
      <c r="G44" s="74">
        <f t="shared" si="11"/>
        <v>5.1371734803246056</v>
      </c>
      <c r="H44" s="74">
        <f t="shared" si="11"/>
        <v>5.1371771816037732</v>
      </c>
      <c r="I44" s="74">
        <f t="shared" si="11"/>
        <v>5.1380778102414268</v>
      </c>
      <c r="J44" s="74">
        <f t="shared" si="11"/>
        <v>5.1363970014055909</v>
      </c>
      <c r="K44" s="74">
        <f t="shared" si="11"/>
        <v>5.1369286182056326</v>
      </c>
      <c r="L44" s="74">
        <f t="shared" si="11"/>
        <v>5.1367539872737789</v>
      </c>
      <c r="M44" s="74">
        <f t="shared" si="11"/>
        <v>5.1379196439030101</v>
      </c>
      <c r="N44" s="74">
        <f t="shared" si="11"/>
        <v>5.1371104758015109</v>
      </c>
      <c r="O44" s="74">
        <f t="shared" si="11"/>
        <v>5.1385808039376535</v>
      </c>
    </row>
    <row r="45" spans="1:19" ht="9" customHeight="1">
      <c r="A45" s="449" t="s">
        <v>330</v>
      </c>
      <c r="B45" s="464"/>
      <c r="C45" s="464"/>
      <c r="D45" s="464"/>
      <c r="E45" s="464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</row>
    <row r="46" spans="1:19" ht="9" customHeight="1">
      <c r="A46" s="525" t="s">
        <v>322</v>
      </c>
      <c r="B46" s="464"/>
      <c r="C46" s="464"/>
      <c r="D46" s="464"/>
      <c r="E46" s="464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</row>
    <row r="47" spans="1:19" ht="9" customHeight="1">
      <c r="A47" s="451" t="s">
        <v>303</v>
      </c>
      <c r="B47" s="464"/>
      <c r="C47" s="464"/>
      <c r="D47" s="464"/>
      <c r="E47" s="464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</row>
    <row r="48" spans="1:19" ht="10.25" customHeight="1">
      <c r="A48" s="464"/>
      <c r="B48" s="464"/>
      <c r="C48" s="464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68"/>
      <c r="P48" s="173"/>
      <c r="Q48" s="173"/>
      <c r="R48" s="173"/>
      <c r="S48" s="173"/>
    </row>
    <row r="50" spans="1:1" ht="13.25" customHeight="1">
      <c r="A50" s="9"/>
    </row>
    <row r="51" spans="1:1" ht="13.25" customHeight="1">
      <c r="A51" s="75"/>
    </row>
    <row r="52" spans="1:1" ht="13.25" customHeight="1">
      <c r="A52" s="11"/>
    </row>
  </sheetData>
  <printOptions horizontalCentered="1" verticalCentered="1"/>
  <pageMargins left="0" right="0" top="0" bottom="0" header="0" footer="0"/>
  <pageSetup paperSize="8" scale="110" orientation="portrait" r:id="rId1"/>
  <headerFooter scaleWithDoc="0"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513F-A5BC-4A0D-9887-468A6364D8EB}">
  <sheetPr>
    <tabColor theme="9" tint="0.59999389629810485"/>
  </sheetPr>
  <dimension ref="A1:AB86"/>
  <sheetViews>
    <sheetView showGridLines="0" zoomScaleNormal="100" workbookViewId="0">
      <selection activeCell="D26" sqref="D26"/>
    </sheetView>
  </sheetViews>
  <sheetFormatPr baseColWidth="10" defaultRowHeight="13"/>
  <cols>
    <col min="1" max="1" width="7.59765625" style="788" customWidth="1"/>
    <col min="2" max="2" width="13.796875" style="800" customWidth="1"/>
    <col min="3" max="3" width="12.3984375" style="801" customWidth="1"/>
    <col min="4" max="4" width="13" style="802" customWidth="1"/>
    <col min="5" max="5" width="12.19921875" style="786" customWidth="1"/>
    <col min="6" max="6" width="14.3984375" style="786" customWidth="1"/>
    <col min="7" max="7" width="17.3984375" style="786" customWidth="1"/>
    <col min="8" max="8" width="13.3984375" style="786" customWidth="1"/>
    <col min="9" max="9" width="8.3984375" style="786" customWidth="1"/>
    <col min="10" max="10" width="6.3984375" style="786" customWidth="1"/>
    <col min="11" max="11" width="5.3984375" style="786" customWidth="1"/>
    <col min="12" max="15" width="12.19921875" style="786" customWidth="1"/>
    <col min="16" max="17" width="13.796875" style="787" customWidth="1"/>
    <col min="18" max="27" width="13.796875" style="788" customWidth="1"/>
    <col min="28" max="256" width="11" style="788"/>
    <col min="257" max="257" width="8.59765625" style="788" customWidth="1"/>
    <col min="258" max="258" width="9.3984375" style="788" customWidth="1"/>
    <col min="259" max="259" width="9.796875" style="788" customWidth="1"/>
    <col min="260" max="260" width="8.796875" style="788" customWidth="1"/>
    <col min="261" max="261" width="9.3984375" style="788" customWidth="1"/>
    <col min="262" max="262" width="11.3984375" style="788" customWidth="1"/>
    <col min="263" max="263" width="14.59765625" style="788" customWidth="1"/>
    <col min="264" max="264" width="13.3984375" style="788" customWidth="1"/>
    <col min="265" max="265" width="8.3984375" style="788" customWidth="1"/>
    <col min="266" max="266" width="6.3984375" style="788" customWidth="1"/>
    <col min="267" max="267" width="5.3984375" style="788" customWidth="1"/>
    <col min="268" max="271" width="12.19921875" style="788" customWidth="1"/>
    <col min="272" max="283" width="13.796875" style="788" customWidth="1"/>
    <col min="284" max="512" width="11" style="788"/>
    <col min="513" max="513" width="8.59765625" style="788" customWidth="1"/>
    <col min="514" max="514" width="9.3984375" style="788" customWidth="1"/>
    <col min="515" max="515" width="9.796875" style="788" customWidth="1"/>
    <col min="516" max="516" width="8.796875" style="788" customWidth="1"/>
    <col min="517" max="517" width="9.3984375" style="788" customWidth="1"/>
    <col min="518" max="518" width="11.3984375" style="788" customWidth="1"/>
    <col min="519" max="519" width="14.59765625" style="788" customWidth="1"/>
    <col min="520" max="520" width="13.3984375" style="788" customWidth="1"/>
    <col min="521" max="521" width="8.3984375" style="788" customWidth="1"/>
    <col min="522" max="522" width="6.3984375" style="788" customWidth="1"/>
    <col min="523" max="523" width="5.3984375" style="788" customWidth="1"/>
    <col min="524" max="527" width="12.19921875" style="788" customWidth="1"/>
    <col min="528" max="539" width="13.796875" style="788" customWidth="1"/>
    <col min="540" max="768" width="11" style="788"/>
    <col min="769" max="769" width="8.59765625" style="788" customWidth="1"/>
    <col min="770" max="770" width="9.3984375" style="788" customWidth="1"/>
    <col min="771" max="771" width="9.796875" style="788" customWidth="1"/>
    <col min="772" max="772" width="8.796875" style="788" customWidth="1"/>
    <col min="773" max="773" width="9.3984375" style="788" customWidth="1"/>
    <col min="774" max="774" width="11.3984375" style="788" customWidth="1"/>
    <col min="775" max="775" width="14.59765625" style="788" customWidth="1"/>
    <col min="776" max="776" width="13.3984375" style="788" customWidth="1"/>
    <col min="777" max="777" width="8.3984375" style="788" customWidth="1"/>
    <col min="778" max="778" width="6.3984375" style="788" customWidth="1"/>
    <col min="779" max="779" width="5.3984375" style="788" customWidth="1"/>
    <col min="780" max="783" width="12.19921875" style="788" customWidth="1"/>
    <col min="784" max="795" width="13.796875" style="788" customWidth="1"/>
    <col min="796" max="1024" width="11" style="788"/>
    <col min="1025" max="1025" width="8.59765625" style="788" customWidth="1"/>
    <col min="1026" max="1026" width="9.3984375" style="788" customWidth="1"/>
    <col min="1027" max="1027" width="9.796875" style="788" customWidth="1"/>
    <col min="1028" max="1028" width="8.796875" style="788" customWidth="1"/>
    <col min="1029" max="1029" width="9.3984375" style="788" customWidth="1"/>
    <col min="1030" max="1030" width="11.3984375" style="788" customWidth="1"/>
    <col min="1031" max="1031" width="14.59765625" style="788" customWidth="1"/>
    <col min="1032" max="1032" width="13.3984375" style="788" customWidth="1"/>
    <col min="1033" max="1033" width="8.3984375" style="788" customWidth="1"/>
    <col min="1034" max="1034" width="6.3984375" style="788" customWidth="1"/>
    <col min="1035" max="1035" width="5.3984375" style="788" customWidth="1"/>
    <col min="1036" max="1039" width="12.19921875" style="788" customWidth="1"/>
    <col min="1040" max="1051" width="13.796875" style="788" customWidth="1"/>
    <col min="1052" max="1280" width="11" style="788"/>
    <col min="1281" max="1281" width="8.59765625" style="788" customWidth="1"/>
    <col min="1282" max="1282" width="9.3984375" style="788" customWidth="1"/>
    <col min="1283" max="1283" width="9.796875" style="788" customWidth="1"/>
    <col min="1284" max="1284" width="8.796875" style="788" customWidth="1"/>
    <col min="1285" max="1285" width="9.3984375" style="788" customWidth="1"/>
    <col min="1286" max="1286" width="11.3984375" style="788" customWidth="1"/>
    <col min="1287" max="1287" width="14.59765625" style="788" customWidth="1"/>
    <col min="1288" max="1288" width="13.3984375" style="788" customWidth="1"/>
    <col min="1289" max="1289" width="8.3984375" style="788" customWidth="1"/>
    <col min="1290" max="1290" width="6.3984375" style="788" customWidth="1"/>
    <col min="1291" max="1291" width="5.3984375" style="788" customWidth="1"/>
    <col min="1292" max="1295" width="12.19921875" style="788" customWidth="1"/>
    <col min="1296" max="1307" width="13.796875" style="788" customWidth="1"/>
    <col min="1308" max="1536" width="11" style="788"/>
    <col min="1537" max="1537" width="8.59765625" style="788" customWidth="1"/>
    <col min="1538" max="1538" width="9.3984375" style="788" customWidth="1"/>
    <col min="1539" max="1539" width="9.796875" style="788" customWidth="1"/>
    <col min="1540" max="1540" width="8.796875" style="788" customWidth="1"/>
    <col min="1541" max="1541" width="9.3984375" style="788" customWidth="1"/>
    <col min="1542" max="1542" width="11.3984375" style="788" customWidth="1"/>
    <col min="1543" max="1543" width="14.59765625" style="788" customWidth="1"/>
    <col min="1544" max="1544" width="13.3984375" style="788" customWidth="1"/>
    <col min="1545" max="1545" width="8.3984375" style="788" customWidth="1"/>
    <col min="1546" max="1546" width="6.3984375" style="788" customWidth="1"/>
    <col min="1547" max="1547" width="5.3984375" style="788" customWidth="1"/>
    <col min="1548" max="1551" width="12.19921875" style="788" customWidth="1"/>
    <col min="1552" max="1563" width="13.796875" style="788" customWidth="1"/>
    <col min="1564" max="1792" width="11" style="788"/>
    <col min="1793" max="1793" width="8.59765625" style="788" customWidth="1"/>
    <col min="1794" max="1794" width="9.3984375" style="788" customWidth="1"/>
    <col min="1795" max="1795" width="9.796875" style="788" customWidth="1"/>
    <col min="1796" max="1796" width="8.796875" style="788" customWidth="1"/>
    <col min="1797" max="1797" width="9.3984375" style="788" customWidth="1"/>
    <col min="1798" max="1798" width="11.3984375" style="788" customWidth="1"/>
    <col min="1799" max="1799" width="14.59765625" style="788" customWidth="1"/>
    <col min="1800" max="1800" width="13.3984375" style="788" customWidth="1"/>
    <col min="1801" max="1801" width="8.3984375" style="788" customWidth="1"/>
    <col min="1802" max="1802" width="6.3984375" style="788" customWidth="1"/>
    <col min="1803" max="1803" width="5.3984375" style="788" customWidth="1"/>
    <col min="1804" max="1807" width="12.19921875" style="788" customWidth="1"/>
    <col min="1808" max="1819" width="13.796875" style="788" customWidth="1"/>
    <col min="1820" max="2048" width="11" style="788"/>
    <col min="2049" max="2049" width="8.59765625" style="788" customWidth="1"/>
    <col min="2050" max="2050" width="9.3984375" style="788" customWidth="1"/>
    <col min="2051" max="2051" width="9.796875" style="788" customWidth="1"/>
    <col min="2052" max="2052" width="8.796875" style="788" customWidth="1"/>
    <col min="2053" max="2053" width="9.3984375" style="788" customWidth="1"/>
    <col min="2054" max="2054" width="11.3984375" style="788" customWidth="1"/>
    <col min="2055" max="2055" width="14.59765625" style="788" customWidth="1"/>
    <col min="2056" max="2056" width="13.3984375" style="788" customWidth="1"/>
    <col min="2057" max="2057" width="8.3984375" style="788" customWidth="1"/>
    <col min="2058" max="2058" width="6.3984375" style="788" customWidth="1"/>
    <col min="2059" max="2059" width="5.3984375" style="788" customWidth="1"/>
    <col min="2060" max="2063" width="12.19921875" style="788" customWidth="1"/>
    <col min="2064" max="2075" width="13.796875" style="788" customWidth="1"/>
    <col min="2076" max="2304" width="11" style="788"/>
    <col min="2305" max="2305" width="8.59765625" style="788" customWidth="1"/>
    <col min="2306" max="2306" width="9.3984375" style="788" customWidth="1"/>
    <col min="2307" max="2307" width="9.796875" style="788" customWidth="1"/>
    <col min="2308" max="2308" width="8.796875" style="788" customWidth="1"/>
    <col min="2309" max="2309" width="9.3984375" style="788" customWidth="1"/>
    <col min="2310" max="2310" width="11.3984375" style="788" customWidth="1"/>
    <col min="2311" max="2311" width="14.59765625" style="788" customWidth="1"/>
    <col min="2312" max="2312" width="13.3984375" style="788" customWidth="1"/>
    <col min="2313" max="2313" width="8.3984375" style="788" customWidth="1"/>
    <col min="2314" max="2314" width="6.3984375" style="788" customWidth="1"/>
    <col min="2315" max="2315" width="5.3984375" style="788" customWidth="1"/>
    <col min="2316" max="2319" width="12.19921875" style="788" customWidth="1"/>
    <col min="2320" max="2331" width="13.796875" style="788" customWidth="1"/>
    <col min="2332" max="2560" width="11" style="788"/>
    <col min="2561" max="2561" width="8.59765625" style="788" customWidth="1"/>
    <col min="2562" max="2562" width="9.3984375" style="788" customWidth="1"/>
    <col min="2563" max="2563" width="9.796875" style="788" customWidth="1"/>
    <col min="2564" max="2564" width="8.796875" style="788" customWidth="1"/>
    <col min="2565" max="2565" width="9.3984375" style="788" customWidth="1"/>
    <col min="2566" max="2566" width="11.3984375" style="788" customWidth="1"/>
    <col min="2567" max="2567" width="14.59765625" style="788" customWidth="1"/>
    <col min="2568" max="2568" width="13.3984375" style="788" customWidth="1"/>
    <col min="2569" max="2569" width="8.3984375" style="788" customWidth="1"/>
    <col min="2570" max="2570" width="6.3984375" style="788" customWidth="1"/>
    <col min="2571" max="2571" width="5.3984375" style="788" customWidth="1"/>
    <col min="2572" max="2575" width="12.19921875" style="788" customWidth="1"/>
    <col min="2576" max="2587" width="13.796875" style="788" customWidth="1"/>
    <col min="2588" max="2816" width="11" style="788"/>
    <col min="2817" max="2817" width="8.59765625" style="788" customWidth="1"/>
    <col min="2818" max="2818" width="9.3984375" style="788" customWidth="1"/>
    <col min="2819" max="2819" width="9.796875" style="788" customWidth="1"/>
    <col min="2820" max="2820" width="8.796875" style="788" customWidth="1"/>
    <col min="2821" max="2821" width="9.3984375" style="788" customWidth="1"/>
    <col min="2822" max="2822" width="11.3984375" style="788" customWidth="1"/>
    <col min="2823" max="2823" width="14.59765625" style="788" customWidth="1"/>
    <col min="2824" max="2824" width="13.3984375" style="788" customWidth="1"/>
    <col min="2825" max="2825" width="8.3984375" style="788" customWidth="1"/>
    <col min="2826" max="2826" width="6.3984375" style="788" customWidth="1"/>
    <col min="2827" max="2827" width="5.3984375" style="788" customWidth="1"/>
    <col min="2828" max="2831" width="12.19921875" style="788" customWidth="1"/>
    <col min="2832" max="2843" width="13.796875" style="788" customWidth="1"/>
    <col min="2844" max="3072" width="11" style="788"/>
    <col min="3073" max="3073" width="8.59765625" style="788" customWidth="1"/>
    <col min="3074" max="3074" width="9.3984375" style="788" customWidth="1"/>
    <col min="3075" max="3075" width="9.796875" style="788" customWidth="1"/>
    <col min="3076" max="3076" width="8.796875" style="788" customWidth="1"/>
    <col min="3077" max="3077" width="9.3984375" style="788" customWidth="1"/>
    <col min="3078" max="3078" width="11.3984375" style="788" customWidth="1"/>
    <col min="3079" max="3079" width="14.59765625" style="788" customWidth="1"/>
    <col min="3080" max="3080" width="13.3984375" style="788" customWidth="1"/>
    <col min="3081" max="3081" width="8.3984375" style="788" customWidth="1"/>
    <col min="3082" max="3082" width="6.3984375" style="788" customWidth="1"/>
    <col min="3083" max="3083" width="5.3984375" style="788" customWidth="1"/>
    <col min="3084" max="3087" width="12.19921875" style="788" customWidth="1"/>
    <col min="3088" max="3099" width="13.796875" style="788" customWidth="1"/>
    <col min="3100" max="3328" width="11" style="788"/>
    <col min="3329" max="3329" width="8.59765625" style="788" customWidth="1"/>
    <col min="3330" max="3330" width="9.3984375" style="788" customWidth="1"/>
    <col min="3331" max="3331" width="9.796875" style="788" customWidth="1"/>
    <col min="3332" max="3332" width="8.796875" style="788" customWidth="1"/>
    <col min="3333" max="3333" width="9.3984375" style="788" customWidth="1"/>
    <col min="3334" max="3334" width="11.3984375" style="788" customWidth="1"/>
    <col min="3335" max="3335" width="14.59765625" style="788" customWidth="1"/>
    <col min="3336" max="3336" width="13.3984375" style="788" customWidth="1"/>
    <col min="3337" max="3337" width="8.3984375" style="788" customWidth="1"/>
    <col min="3338" max="3338" width="6.3984375" style="788" customWidth="1"/>
    <col min="3339" max="3339" width="5.3984375" style="788" customWidth="1"/>
    <col min="3340" max="3343" width="12.19921875" style="788" customWidth="1"/>
    <col min="3344" max="3355" width="13.796875" style="788" customWidth="1"/>
    <col min="3356" max="3584" width="11" style="788"/>
    <col min="3585" max="3585" width="8.59765625" style="788" customWidth="1"/>
    <col min="3586" max="3586" width="9.3984375" style="788" customWidth="1"/>
    <col min="3587" max="3587" width="9.796875" style="788" customWidth="1"/>
    <col min="3588" max="3588" width="8.796875" style="788" customWidth="1"/>
    <col min="3589" max="3589" width="9.3984375" style="788" customWidth="1"/>
    <col min="3590" max="3590" width="11.3984375" style="788" customWidth="1"/>
    <col min="3591" max="3591" width="14.59765625" style="788" customWidth="1"/>
    <col min="3592" max="3592" width="13.3984375" style="788" customWidth="1"/>
    <col min="3593" max="3593" width="8.3984375" style="788" customWidth="1"/>
    <col min="3594" max="3594" width="6.3984375" style="788" customWidth="1"/>
    <col min="3595" max="3595" width="5.3984375" style="788" customWidth="1"/>
    <col min="3596" max="3599" width="12.19921875" style="788" customWidth="1"/>
    <col min="3600" max="3611" width="13.796875" style="788" customWidth="1"/>
    <col min="3612" max="3840" width="11" style="788"/>
    <col min="3841" max="3841" width="8.59765625" style="788" customWidth="1"/>
    <col min="3842" max="3842" width="9.3984375" style="788" customWidth="1"/>
    <col min="3843" max="3843" width="9.796875" style="788" customWidth="1"/>
    <col min="3844" max="3844" width="8.796875" style="788" customWidth="1"/>
    <col min="3845" max="3845" width="9.3984375" style="788" customWidth="1"/>
    <col min="3846" max="3846" width="11.3984375" style="788" customWidth="1"/>
    <col min="3847" max="3847" width="14.59765625" style="788" customWidth="1"/>
    <col min="3848" max="3848" width="13.3984375" style="788" customWidth="1"/>
    <col min="3849" max="3849" width="8.3984375" style="788" customWidth="1"/>
    <col min="3850" max="3850" width="6.3984375" style="788" customWidth="1"/>
    <col min="3851" max="3851" width="5.3984375" style="788" customWidth="1"/>
    <col min="3852" max="3855" width="12.19921875" style="788" customWidth="1"/>
    <col min="3856" max="3867" width="13.796875" style="788" customWidth="1"/>
    <col min="3868" max="4096" width="11" style="788"/>
    <col min="4097" max="4097" width="8.59765625" style="788" customWidth="1"/>
    <col min="4098" max="4098" width="9.3984375" style="788" customWidth="1"/>
    <col min="4099" max="4099" width="9.796875" style="788" customWidth="1"/>
    <col min="4100" max="4100" width="8.796875" style="788" customWidth="1"/>
    <col min="4101" max="4101" width="9.3984375" style="788" customWidth="1"/>
    <col min="4102" max="4102" width="11.3984375" style="788" customWidth="1"/>
    <col min="4103" max="4103" width="14.59765625" style="788" customWidth="1"/>
    <col min="4104" max="4104" width="13.3984375" style="788" customWidth="1"/>
    <col min="4105" max="4105" width="8.3984375" style="788" customWidth="1"/>
    <col min="4106" max="4106" width="6.3984375" style="788" customWidth="1"/>
    <col min="4107" max="4107" width="5.3984375" style="788" customWidth="1"/>
    <col min="4108" max="4111" width="12.19921875" style="788" customWidth="1"/>
    <col min="4112" max="4123" width="13.796875" style="788" customWidth="1"/>
    <col min="4124" max="4352" width="11" style="788"/>
    <col min="4353" max="4353" width="8.59765625" style="788" customWidth="1"/>
    <col min="4354" max="4354" width="9.3984375" style="788" customWidth="1"/>
    <col min="4355" max="4355" width="9.796875" style="788" customWidth="1"/>
    <col min="4356" max="4356" width="8.796875" style="788" customWidth="1"/>
    <col min="4357" max="4357" width="9.3984375" style="788" customWidth="1"/>
    <col min="4358" max="4358" width="11.3984375" style="788" customWidth="1"/>
    <col min="4359" max="4359" width="14.59765625" style="788" customWidth="1"/>
    <col min="4360" max="4360" width="13.3984375" style="788" customWidth="1"/>
    <col min="4361" max="4361" width="8.3984375" style="788" customWidth="1"/>
    <col min="4362" max="4362" width="6.3984375" style="788" customWidth="1"/>
    <col min="4363" max="4363" width="5.3984375" style="788" customWidth="1"/>
    <col min="4364" max="4367" width="12.19921875" style="788" customWidth="1"/>
    <col min="4368" max="4379" width="13.796875" style="788" customWidth="1"/>
    <col min="4380" max="4608" width="11" style="788"/>
    <col min="4609" max="4609" width="8.59765625" style="788" customWidth="1"/>
    <col min="4610" max="4610" width="9.3984375" style="788" customWidth="1"/>
    <col min="4611" max="4611" width="9.796875" style="788" customWidth="1"/>
    <col min="4612" max="4612" width="8.796875" style="788" customWidth="1"/>
    <col min="4613" max="4613" width="9.3984375" style="788" customWidth="1"/>
    <col min="4614" max="4614" width="11.3984375" style="788" customWidth="1"/>
    <col min="4615" max="4615" width="14.59765625" style="788" customWidth="1"/>
    <col min="4616" max="4616" width="13.3984375" style="788" customWidth="1"/>
    <col min="4617" max="4617" width="8.3984375" style="788" customWidth="1"/>
    <col min="4618" max="4618" width="6.3984375" style="788" customWidth="1"/>
    <col min="4619" max="4619" width="5.3984375" style="788" customWidth="1"/>
    <col min="4620" max="4623" width="12.19921875" style="788" customWidth="1"/>
    <col min="4624" max="4635" width="13.796875" style="788" customWidth="1"/>
    <col min="4636" max="4864" width="11" style="788"/>
    <col min="4865" max="4865" width="8.59765625" style="788" customWidth="1"/>
    <col min="4866" max="4866" width="9.3984375" style="788" customWidth="1"/>
    <col min="4867" max="4867" width="9.796875" style="788" customWidth="1"/>
    <col min="4868" max="4868" width="8.796875" style="788" customWidth="1"/>
    <col min="4869" max="4869" width="9.3984375" style="788" customWidth="1"/>
    <col min="4870" max="4870" width="11.3984375" style="788" customWidth="1"/>
    <col min="4871" max="4871" width="14.59765625" style="788" customWidth="1"/>
    <col min="4872" max="4872" width="13.3984375" style="788" customWidth="1"/>
    <col min="4873" max="4873" width="8.3984375" style="788" customWidth="1"/>
    <col min="4874" max="4874" width="6.3984375" style="788" customWidth="1"/>
    <col min="4875" max="4875" width="5.3984375" style="788" customWidth="1"/>
    <col min="4876" max="4879" width="12.19921875" style="788" customWidth="1"/>
    <col min="4880" max="4891" width="13.796875" style="788" customWidth="1"/>
    <col min="4892" max="5120" width="11" style="788"/>
    <col min="5121" max="5121" width="8.59765625" style="788" customWidth="1"/>
    <col min="5122" max="5122" width="9.3984375" style="788" customWidth="1"/>
    <col min="5123" max="5123" width="9.796875" style="788" customWidth="1"/>
    <col min="5124" max="5124" width="8.796875" style="788" customWidth="1"/>
    <col min="5125" max="5125" width="9.3984375" style="788" customWidth="1"/>
    <col min="5126" max="5126" width="11.3984375" style="788" customWidth="1"/>
    <col min="5127" max="5127" width="14.59765625" style="788" customWidth="1"/>
    <col min="5128" max="5128" width="13.3984375" style="788" customWidth="1"/>
    <col min="5129" max="5129" width="8.3984375" style="788" customWidth="1"/>
    <col min="5130" max="5130" width="6.3984375" style="788" customWidth="1"/>
    <col min="5131" max="5131" width="5.3984375" style="788" customWidth="1"/>
    <col min="5132" max="5135" width="12.19921875" style="788" customWidth="1"/>
    <col min="5136" max="5147" width="13.796875" style="788" customWidth="1"/>
    <col min="5148" max="5376" width="11" style="788"/>
    <col min="5377" max="5377" width="8.59765625" style="788" customWidth="1"/>
    <col min="5378" max="5378" width="9.3984375" style="788" customWidth="1"/>
    <col min="5379" max="5379" width="9.796875" style="788" customWidth="1"/>
    <col min="5380" max="5380" width="8.796875" style="788" customWidth="1"/>
    <col min="5381" max="5381" width="9.3984375" style="788" customWidth="1"/>
    <col min="5382" max="5382" width="11.3984375" style="788" customWidth="1"/>
    <col min="5383" max="5383" width="14.59765625" style="788" customWidth="1"/>
    <col min="5384" max="5384" width="13.3984375" style="788" customWidth="1"/>
    <col min="5385" max="5385" width="8.3984375" style="788" customWidth="1"/>
    <col min="5386" max="5386" width="6.3984375" style="788" customWidth="1"/>
    <col min="5387" max="5387" width="5.3984375" style="788" customWidth="1"/>
    <col min="5388" max="5391" width="12.19921875" style="788" customWidth="1"/>
    <col min="5392" max="5403" width="13.796875" style="788" customWidth="1"/>
    <col min="5404" max="5632" width="11" style="788"/>
    <col min="5633" max="5633" width="8.59765625" style="788" customWidth="1"/>
    <col min="5634" max="5634" width="9.3984375" style="788" customWidth="1"/>
    <col min="5635" max="5635" width="9.796875" style="788" customWidth="1"/>
    <col min="5636" max="5636" width="8.796875" style="788" customWidth="1"/>
    <col min="5637" max="5637" width="9.3984375" style="788" customWidth="1"/>
    <col min="5638" max="5638" width="11.3984375" style="788" customWidth="1"/>
    <col min="5639" max="5639" width="14.59765625" style="788" customWidth="1"/>
    <col min="5640" max="5640" width="13.3984375" style="788" customWidth="1"/>
    <col min="5641" max="5641" width="8.3984375" style="788" customWidth="1"/>
    <col min="5642" max="5642" width="6.3984375" style="788" customWidth="1"/>
    <col min="5643" max="5643" width="5.3984375" style="788" customWidth="1"/>
    <col min="5644" max="5647" width="12.19921875" style="788" customWidth="1"/>
    <col min="5648" max="5659" width="13.796875" style="788" customWidth="1"/>
    <col min="5660" max="5888" width="11" style="788"/>
    <col min="5889" max="5889" width="8.59765625" style="788" customWidth="1"/>
    <col min="5890" max="5890" width="9.3984375" style="788" customWidth="1"/>
    <col min="5891" max="5891" width="9.796875" style="788" customWidth="1"/>
    <col min="5892" max="5892" width="8.796875" style="788" customWidth="1"/>
    <col min="5893" max="5893" width="9.3984375" style="788" customWidth="1"/>
    <col min="5894" max="5894" width="11.3984375" style="788" customWidth="1"/>
    <col min="5895" max="5895" width="14.59765625" style="788" customWidth="1"/>
    <col min="5896" max="5896" width="13.3984375" style="788" customWidth="1"/>
    <col min="5897" max="5897" width="8.3984375" style="788" customWidth="1"/>
    <col min="5898" max="5898" width="6.3984375" style="788" customWidth="1"/>
    <col min="5899" max="5899" width="5.3984375" style="788" customWidth="1"/>
    <col min="5900" max="5903" width="12.19921875" style="788" customWidth="1"/>
    <col min="5904" max="5915" width="13.796875" style="788" customWidth="1"/>
    <col min="5916" max="6144" width="11" style="788"/>
    <col min="6145" max="6145" width="8.59765625" style="788" customWidth="1"/>
    <col min="6146" max="6146" width="9.3984375" style="788" customWidth="1"/>
    <col min="6147" max="6147" width="9.796875" style="788" customWidth="1"/>
    <col min="6148" max="6148" width="8.796875" style="788" customWidth="1"/>
    <col min="6149" max="6149" width="9.3984375" style="788" customWidth="1"/>
    <col min="6150" max="6150" width="11.3984375" style="788" customWidth="1"/>
    <col min="6151" max="6151" width="14.59765625" style="788" customWidth="1"/>
    <col min="6152" max="6152" width="13.3984375" style="788" customWidth="1"/>
    <col min="6153" max="6153" width="8.3984375" style="788" customWidth="1"/>
    <col min="6154" max="6154" width="6.3984375" style="788" customWidth="1"/>
    <col min="6155" max="6155" width="5.3984375" style="788" customWidth="1"/>
    <col min="6156" max="6159" width="12.19921875" style="788" customWidth="1"/>
    <col min="6160" max="6171" width="13.796875" style="788" customWidth="1"/>
    <col min="6172" max="6400" width="11" style="788"/>
    <col min="6401" max="6401" width="8.59765625" style="788" customWidth="1"/>
    <col min="6402" max="6402" width="9.3984375" style="788" customWidth="1"/>
    <col min="6403" max="6403" width="9.796875" style="788" customWidth="1"/>
    <col min="6404" max="6404" width="8.796875" style="788" customWidth="1"/>
    <col min="6405" max="6405" width="9.3984375" style="788" customWidth="1"/>
    <col min="6406" max="6406" width="11.3984375" style="788" customWidth="1"/>
    <col min="6407" max="6407" width="14.59765625" style="788" customWidth="1"/>
    <col min="6408" max="6408" width="13.3984375" style="788" customWidth="1"/>
    <col min="6409" max="6409" width="8.3984375" style="788" customWidth="1"/>
    <col min="6410" max="6410" width="6.3984375" style="788" customWidth="1"/>
    <col min="6411" max="6411" width="5.3984375" style="788" customWidth="1"/>
    <col min="6412" max="6415" width="12.19921875" style="788" customWidth="1"/>
    <col min="6416" max="6427" width="13.796875" style="788" customWidth="1"/>
    <col min="6428" max="6656" width="11" style="788"/>
    <col min="6657" max="6657" width="8.59765625" style="788" customWidth="1"/>
    <col min="6658" max="6658" width="9.3984375" style="788" customWidth="1"/>
    <col min="6659" max="6659" width="9.796875" style="788" customWidth="1"/>
    <col min="6660" max="6660" width="8.796875" style="788" customWidth="1"/>
    <col min="6661" max="6661" width="9.3984375" style="788" customWidth="1"/>
    <col min="6662" max="6662" width="11.3984375" style="788" customWidth="1"/>
    <col min="6663" max="6663" width="14.59765625" style="788" customWidth="1"/>
    <col min="6664" max="6664" width="13.3984375" style="788" customWidth="1"/>
    <col min="6665" max="6665" width="8.3984375" style="788" customWidth="1"/>
    <col min="6666" max="6666" width="6.3984375" style="788" customWidth="1"/>
    <col min="6667" max="6667" width="5.3984375" style="788" customWidth="1"/>
    <col min="6668" max="6671" width="12.19921875" style="788" customWidth="1"/>
    <col min="6672" max="6683" width="13.796875" style="788" customWidth="1"/>
    <col min="6684" max="6912" width="11" style="788"/>
    <col min="6913" max="6913" width="8.59765625" style="788" customWidth="1"/>
    <col min="6914" max="6914" width="9.3984375" style="788" customWidth="1"/>
    <col min="6915" max="6915" width="9.796875" style="788" customWidth="1"/>
    <col min="6916" max="6916" width="8.796875" style="788" customWidth="1"/>
    <col min="6917" max="6917" width="9.3984375" style="788" customWidth="1"/>
    <col min="6918" max="6918" width="11.3984375" style="788" customWidth="1"/>
    <col min="6919" max="6919" width="14.59765625" style="788" customWidth="1"/>
    <col min="6920" max="6920" width="13.3984375" style="788" customWidth="1"/>
    <col min="6921" max="6921" width="8.3984375" style="788" customWidth="1"/>
    <col min="6922" max="6922" width="6.3984375" style="788" customWidth="1"/>
    <col min="6923" max="6923" width="5.3984375" style="788" customWidth="1"/>
    <col min="6924" max="6927" width="12.19921875" style="788" customWidth="1"/>
    <col min="6928" max="6939" width="13.796875" style="788" customWidth="1"/>
    <col min="6940" max="7168" width="11" style="788"/>
    <col min="7169" max="7169" width="8.59765625" style="788" customWidth="1"/>
    <col min="7170" max="7170" width="9.3984375" style="788" customWidth="1"/>
    <col min="7171" max="7171" width="9.796875" style="788" customWidth="1"/>
    <col min="7172" max="7172" width="8.796875" style="788" customWidth="1"/>
    <col min="7173" max="7173" width="9.3984375" style="788" customWidth="1"/>
    <col min="7174" max="7174" width="11.3984375" style="788" customWidth="1"/>
    <col min="7175" max="7175" width="14.59765625" style="788" customWidth="1"/>
    <col min="7176" max="7176" width="13.3984375" style="788" customWidth="1"/>
    <col min="7177" max="7177" width="8.3984375" style="788" customWidth="1"/>
    <col min="7178" max="7178" width="6.3984375" style="788" customWidth="1"/>
    <col min="7179" max="7179" width="5.3984375" style="788" customWidth="1"/>
    <col min="7180" max="7183" width="12.19921875" style="788" customWidth="1"/>
    <col min="7184" max="7195" width="13.796875" style="788" customWidth="1"/>
    <col min="7196" max="7424" width="11" style="788"/>
    <col min="7425" max="7425" width="8.59765625" style="788" customWidth="1"/>
    <col min="7426" max="7426" width="9.3984375" style="788" customWidth="1"/>
    <col min="7427" max="7427" width="9.796875" style="788" customWidth="1"/>
    <col min="7428" max="7428" width="8.796875" style="788" customWidth="1"/>
    <col min="7429" max="7429" width="9.3984375" style="788" customWidth="1"/>
    <col min="7430" max="7430" width="11.3984375" style="788" customWidth="1"/>
    <col min="7431" max="7431" width="14.59765625" style="788" customWidth="1"/>
    <col min="7432" max="7432" width="13.3984375" style="788" customWidth="1"/>
    <col min="7433" max="7433" width="8.3984375" style="788" customWidth="1"/>
    <col min="7434" max="7434" width="6.3984375" style="788" customWidth="1"/>
    <col min="7435" max="7435" width="5.3984375" style="788" customWidth="1"/>
    <col min="7436" max="7439" width="12.19921875" style="788" customWidth="1"/>
    <col min="7440" max="7451" width="13.796875" style="788" customWidth="1"/>
    <col min="7452" max="7680" width="11" style="788"/>
    <col min="7681" max="7681" width="8.59765625" style="788" customWidth="1"/>
    <col min="7682" max="7682" width="9.3984375" style="788" customWidth="1"/>
    <col min="7683" max="7683" width="9.796875" style="788" customWidth="1"/>
    <col min="7684" max="7684" width="8.796875" style="788" customWidth="1"/>
    <col min="7685" max="7685" width="9.3984375" style="788" customWidth="1"/>
    <col min="7686" max="7686" width="11.3984375" style="788" customWidth="1"/>
    <col min="7687" max="7687" width="14.59765625" style="788" customWidth="1"/>
    <col min="7688" max="7688" width="13.3984375" style="788" customWidth="1"/>
    <col min="7689" max="7689" width="8.3984375" style="788" customWidth="1"/>
    <col min="7690" max="7690" width="6.3984375" style="788" customWidth="1"/>
    <col min="7691" max="7691" width="5.3984375" style="788" customWidth="1"/>
    <col min="7692" max="7695" width="12.19921875" style="788" customWidth="1"/>
    <col min="7696" max="7707" width="13.796875" style="788" customWidth="1"/>
    <col min="7708" max="7936" width="11" style="788"/>
    <col min="7937" max="7937" width="8.59765625" style="788" customWidth="1"/>
    <col min="7938" max="7938" width="9.3984375" style="788" customWidth="1"/>
    <col min="7939" max="7939" width="9.796875" style="788" customWidth="1"/>
    <col min="7940" max="7940" width="8.796875" style="788" customWidth="1"/>
    <col min="7941" max="7941" width="9.3984375" style="788" customWidth="1"/>
    <col min="7942" max="7942" width="11.3984375" style="788" customWidth="1"/>
    <col min="7943" max="7943" width="14.59765625" style="788" customWidth="1"/>
    <col min="7944" max="7944" width="13.3984375" style="788" customWidth="1"/>
    <col min="7945" max="7945" width="8.3984375" style="788" customWidth="1"/>
    <col min="7946" max="7946" width="6.3984375" style="788" customWidth="1"/>
    <col min="7947" max="7947" width="5.3984375" style="788" customWidth="1"/>
    <col min="7948" max="7951" width="12.19921875" style="788" customWidth="1"/>
    <col min="7952" max="7963" width="13.796875" style="788" customWidth="1"/>
    <col min="7964" max="8192" width="11" style="788"/>
    <col min="8193" max="8193" width="8.59765625" style="788" customWidth="1"/>
    <col min="8194" max="8194" width="9.3984375" style="788" customWidth="1"/>
    <col min="8195" max="8195" width="9.796875" style="788" customWidth="1"/>
    <col min="8196" max="8196" width="8.796875" style="788" customWidth="1"/>
    <col min="8197" max="8197" width="9.3984375" style="788" customWidth="1"/>
    <col min="8198" max="8198" width="11.3984375" style="788" customWidth="1"/>
    <col min="8199" max="8199" width="14.59765625" style="788" customWidth="1"/>
    <col min="8200" max="8200" width="13.3984375" style="788" customWidth="1"/>
    <col min="8201" max="8201" width="8.3984375" style="788" customWidth="1"/>
    <col min="8202" max="8202" width="6.3984375" style="788" customWidth="1"/>
    <col min="8203" max="8203" width="5.3984375" style="788" customWidth="1"/>
    <col min="8204" max="8207" width="12.19921875" style="788" customWidth="1"/>
    <col min="8208" max="8219" width="13.796875" style="788" customWidth="1"/>
    <col min="8220" max="8448" width="11" style="788"/>
    <col min="8449" max="8449" width="8.59765625" style="788" customWidth="1"/>
    <col min="8450" max="8450" width="9.3984375" style="788" customWidth="1"/>
    <col min="8451" max="8451" width="9.796875" style="788" customWidth="1"/>
    <col min="8452" max="8452" width="8.796875" style="788" customWidth="1"/>
    <col min="8453" max="8453" width="9.3984375" style="788" customWidth="1"/>
    <col min="8454" max="8454" width="11.3984375" style="788" customWidth="1"/>
    <col min="8455" max="8455" width="14.59765625" style="788" customWidth="1"/>
    <col min="8456" max="8456" width="13.3984375" style="788" customWidth="1"/>
    <col min="8457" max="8457" width="8.3984375" style="788" customWidth="1"/>
    <col min="8458" max="8458" width="6.3984375" style="788" customWidth="1"/>
    <col min="8459" max="8459" width="5.3984375" style="788" customWidth="1"/>
    <col min="8460" max="8463" width="12.19921875" style="788" customWidth="1"/>
    <col min="8464" max="8475" width="13.796875" style="788" customWidth="1"/>
    <col min="8476" max="8704" width="11" style="788"/>
    <col min="8705" max="8705" width="8.59765625" style="788" customWidth="1"/>
    <col min="8706" max="8706" width="9.3984375" style="788" customWidth="1"/>
    <col min="8707" max="8707" width="9.796875" style="788" customWidth="1"/>
    <col min="8708" max="8708" width="8.796875" style="788" customWidth="1"/>
    <col min="8709" max="8709" width="9.3984375" style="788" customWidth="1"/>
    <col min="8710" max="8710" width="11.3984375" style="788" customWidth="1"/>
    <col min="8711" max="8711" width="14.59765625" style="788" customWidth="1"/>
    <col min="8712" max="8712" width="13.3984375" style="788" customWidth="1"/>
    <col min="8713" max="8713" width="8.3984375" style="788" customWidth="1"/>
    <col min="8714" max="8714" width="6.3984375" style="788" customWidth="1"/>
    <col min="8715" max="8715" width="5.3984375" style="788" customWidth="1"/>
    <col min="8716" max="8719" width="12.19921875" style="788" customWidth="1"/>
    <col min="8720" max="8731" width="13.796875" style="788" customWidth="1"/>
    <col min="8732" max="8960" width="11" style="788"/>
    <col min="8961" max="8961" width="8.59765625" style="788" customWidth="1"/>
    <col min="8962" max="8962" width="9.3984375" style="788" customWidth="1"/>
    <col min="8963" max="8963" width="9.796875" style="788" customWidth="1"/>
    <col min="8964" max="8964" width="8.796875" style="788" customWidth="1"/>
    <col min="8965" max="8965" width="9.3984375" style="788" customWidth="1"/>
    <col min="8966" max="8966" width="11.3984375" style="788" customWidth="1"/>
    <col min="8967" max="8967" width="14.59765625" style="788" customWidth="1"/>
    <col min="8968" max="8968" width="13.3984375" style="788" customWidth="1"/>
    <col min="8969" max="8969" width="8.3984375" style="788" customWidth="1"/>
    <col min="8970" max="8970" width="6.3984375" style="788" customWidth="1"/>
    <col min="8971" max="8971" width="5.3984375" style="788" customWidth="1"/>
    <col min="8972" max="8975" width="12.19921875" style="788" customWidth="1"/>
    <col min="8976" max="8987" width="13.796875" style="788" customWidth="1"/>
    <col min="8988" max="9216" width="11" style="788"/>
    <col min="9217" max="9217" width="8.59765625" style="788" customWidth="1"/>
    <col min="9218" max="9218" width="9.3984375" style="788" customWidth="1"/>
    <col min="9219" max="9219" width="9.796875" style="788" customWidth="1"/>
    <col min="9220" max="9220" width="8.796875" style="788" customWidth="1"/>
    <col min="9221" max="9221" width="9.3984375" style="788" customWidth="1"/>
    <col min="9222" max="9222" width="11.3984375" style="788" customWidth="1"/>
    <col min="9223" max="9223" width="14.59765625" style="788" customWidth="1"/>
    <col min="9224" max="9224" width="13.3984375" style="788" customWidth="1"/>
    <col min="9225" max="9225" width="8.3984375" style="788" customWidth="1"/>
    <col min="9226" max="9226" width="6.3984375" style="788" customWidth="1"/>
    <col min="9227" max="9227" width="5.3984375" style="788" customWidth="1"/>
    <col min="9228" max="9231" width="12.19921875" style="788" customWidth="1"/>
    <col min="9232" max="9243" width="13.796875" style="788" customWidth="1"/>
    <col min="9244" max="9472" width="11" style="788"/>
    <col min="9473" max="9473" width="8.59765625" style="788" customWidth="1"/>
    <col min="9474" max="9474" width="9.3984375" style="788" customWidth="1"/>
    <col min="9475" max="9475" width="9.796875" style="788" customWidth="1"/>
    <col min="9476" max="9476" width="8.796875" style="788" customWidth="1"/>
    <col min="9477" max="9477" width="9.3984375" style="788" customWidth="1"/>
    <col min="9478" max="9478" width="11.3984375" style="788" customWidth="1"/>
    <col min="9479" max="9479" width="14.59765625" style="788" customWidth="1"/>
    <col min="9480" max="9480" width="13.3984375" style="788" customWidth="1"/>
    <col min="9481" max="9481" width="8.3984375" style="788" customWidth="1"/>
    <col min="9482" max="9482" width="6.3984375" style="788" customWidth="1"/>
    <col min="9483" max="9483" width="5.3984375" style="788" customWidth="1"/>
    <col min="9484" max="9487" width="12.19921875" style="788" customWidth="1"/>
    <col min="9488" max="9499" width="13.796875" style="788" customWidth="1"/>
    <col min="9500" max="9728" width="11" style="788"/>
    <col min="9729" max="9729" width="8.59765625" style="788" customWidth="1"/>
    <col min="9730" max="9730" width="9.3984375" style="788" customWidth="1"/>
    <col min="9731" max="9731" width="9.796875" style="788" customWidth="1"/>
    <col min="9732" max="9732" width="8.796875" style="788" customWidth="1"/>
    <col min="9733" max="9733" width="9.3984375" style="788" customWidth="1"/>
    <col min="9734" max="9734" width="11.3984375" style="788" customWidth="1"/>
    <col min="9735" max="9735" width="14.59765625" style="788" customWidth="1"/>
    <col min="9736" max="9736" width="13.3984375" style="788" customWidth="1"/>
    <col min="9737" max="9737" width="8.3984375" style="788" customWidth="1"/>
    <col min="9738" max="9738" width="6.3984375" style="788" customWidth="1"/>
    <col min="9739" max="9739" width="5.3984375" style="788" customWidth="1"/>
    <col min="9740" max="9743" width="12.19921875" style="788" customWidth="1"/>
    <col min="9744" max="9755" width="13.796875" style="788" customWidth="1"/>
    <col min="9756" max="9984" width="11" style="788"/>
    <col min="9985" max="9985" width="8.59765625" style="788" customWidth="1"/>
    <col min="9986" max="9986" width="9.3984375" style="788" customWidth="1"/>
    <col min="9987" max="9987" width="9.796875" style="788" customWidth="1"/>
    <col min="9988" max="9988" width="8.796875" style="788" customWidth="1"/>
    <col min="9989" max="9989" width="9.3984375" style="788" customWidth="1"/>
    <col min="9990" max="9990" width="11.3984375" style="788" customWidth="1"/>
    <col min="9991" max="9991" width="14.59765625" style="788" customWidth="1"/>
    <col min="9992" max="9992" width="13.3984375" style="788" customWidth="1"/>
    <col min="9993" max="9993" width="8.3984375" style="788" customWidth="1"/>
    <col min="9994" max="9994" width="6.3984375" style="788" customWidth="1"/>
    <col min="9995" max="9995" width="5.3984375" style="788" customWidth="1"/>
    <col min="9996" max="9999" width="12.19921875" style="788" customWidth="1"/>
    <col min="10000" max="10011" width="13.796875" style="788" customWidth="1"/>
    <col min="10012" max="10240" width="11" style="788"/>
    <col min="10241" max="10241" width="8.59765625" style="788" customWidth="1"/>
    <col min="10242" max="10242" width="9.3984375" style="788" customWidth="1"/>
    <col min="10243" max="10243" width="9.796875" style="788" customWidth="1"/>
    <col min="10244" max="10244" width="8.796875" style="788" customWidth="1"/>
    <col min="10245" max="10245" width="9.3984375" style="788" customWidth="1"/>
    <col min="10246" max="10246" width="11.3984375" style="788" customWidth="1"/>
    <col min="10247" max="10247" width="14.59765625" style="788" customWidth="1"/>
    <col min="10248" max="10248" width="13.3984375" style="788" customWidth="1"/>
    <col min="10249" max="10249" width="8.3984375" style="788" customWidth="1"/>
    <col min="10250" max="10250" width="6.3984375" style="788" customWidth="1"/>
    <col min="10251" max="10251" width="5.3984375" style="788" customWidth="1"/>
    <col min="10252" max="10255" width="12.19921875" style="788" customWidth="1"/>
    <col min="10256" max="10267" width="13.796875" style="788" customWidth="1"/>
    <col min="10268" max="10496" width="11" style="788"/>
    <col min="10497" max="10497" width="8.59765625" style="788" customWidth="1"/>
    <col min="10498" max="10498" width="9.3984375" style="788" customWidth="1"/>
    <col min="10499" max="10499" width="9.796875" style="788" customWidth="1"/>
    <col min="10500" max="10500" width="8.796875" style="788" customWidth="1"/>
    <col min="10501" max="10501" width="9.3984375" style="788" customWidth="1"/>
    <col min="10502" max="10502" width="11.3984375" style="788" customWidth="1"/>
    <col min="10503" max="10503" width="14.59765625" style="788" customWidth="1"/>
    <col min="10504" max="10504" width="13.3984375" style="788" customWidth="1"/>
    <col min="10505" max="10505" width="8.3984375" style="788" customWidth="1"/>
    <col min="10506" max="10506" width="6.3984375" style="788" customWidth="1"/>
    <col min="10507" max="10507" width="5.3984375" style="788" customWidth="1"/>
    <col min="10508" max="10511" width="12.19921875" style="788" customWidth="1"/>
    <col min="10512" max="10523" width="13.796875" style="788" customWidth="1"/>
    <col min="10524" max="10752" width="11" style="788"/>
    <col min="10753" max="10753" width="8.59765625" style="788" customWidth="1"/>
    <col min="10754" max="10754" width="9.3984375" style="788" customWidth="1"/>
    <col min="10755" max="10755" width="9.796875" style="788" customWidth="1"/>
    <col min="10756" max="10756" width="8.796875" style="788" customWidth="1"/>
    <col min="10757" max="10757" width="9.3984375" style="788" customWidth="1"/>
    <col min="10758" max="10758" width="11.3984375" style="788" customWidth="1"/>
    <col min="10759" max="10759" width="14.59765625" style="788" customWidth="1"/>
    <col min="10760" max="10760" width="13.3984375" style="788" customWidth="1"/>
    <col min="10761" max="10761" width="8.3984375" style="788" customWidth="1"/>
    <col min="10762" max="10762" width="6.3984375" style="788" customWidth="1"/>
    <col min="10763" max="10763" width="5.3984375" style="788" customWidth="1"/>
    <col min="10764" max="10767" width="12.19921875" style="788" customWidth="1"/>
    <col min="10768" max="10779" width="13.796875" style="788" customWidth="1"/>
    <col min="10780" max="11008" width="11" style="788"/>
    <col min="11009" max="11009" width="8.59765625" style="788" customWidth="1"/>
    <col min="11010" max="11010" width="9.3984375" style="788" customWidth="1"/>
    <col min="11011" max="11011" width="9.796875" style="788" customWidth="1"/>
    <col min="11012" max="11012" width="8.796875" style="788" customWidth="1"/>
    <col min="11013" max="11013" width="9.3984375" style="788" customWidth="1"/>
    <col min="11014" max="11014" width="11.3984375" style="788" customWidth="1"/>
    <col min="11015" max="11015" width="14.59765625" style="788" customWidth="1"/>
    <col min="11016" max="11016" width="13.3984375" style="788" customWidth="1"/>
    <col min="11017" max="11017" width="8.3984375" style="788" customWidth="1"/>
    <col min="11018" max="11018" width="6.3984375" style="788" customWidth="1"/>
    <col min="11019" max="11019" width="5.3984375" style="788" customWidth="1"/>
    <col min="11020" max="11023" width="12.19921875" style="788" customWidth="1"/>
    <col min="11024" max="11035" width="13.796875" style="788" customWidth="1"/>
    <col min="11036" max="11264" width="11" style="788"/>
    <col min="11265" max="11265" width="8.59765625" style="788" customWidth="1"/>
    <col min="11266" max="11266" width="9.3984375" style="788" customWidth="1"/>
    <col min="11267" max="11267" width="9.796875" style="788" customWidth="1"/>
    <col min="11268" max="11268" width="8.796875" style="788" customWidth="1"/>
    <col min="11269" max="11269" width="9.3984375" style="788" customWidth="1"/>
    <col min="11270" max="11270" width="11.3984375" style="788" customWidth="1"/>
    <col min="11271" max="11271" width="14.59765625" style="788" customWidth="1"/>
    <col min="11272" max="11272" width="13.3984375" style="788" customWidth="1"/>
    <col min="11273" max="11273" width="8.3984375" style="788" customWidth="1"/>
    <col min="11274" max="11274" width="6.3984375" style="788" customWidth="1"/>
    <col min="11275" max="11275" width="5.3984375" style="788" customWidth="1"/>
    <col min="11276" max="11279" width="12.19921875" style="788" customWidth="1"/>
    <col min="11280" max="11291" width="13.796875" style="788" customWidth="1"/>
    <col min="11292" max="11520" width="11" style="788"/>
    <col min="11521" max="11521" width="8.59765625" style="788" customWidth="1"/>
    <col min="11522" max="11522" width="9.3984375" style="788" customWidth="1"/>
    <col min="11523" max="11523" width="9.796875" style="788" customWidth="1"/>
    <col min="11524" max="11524" width="8.796875" style="788" customWidth="1"/>
    <col min="11525" max="11525" width="9.3984375" style="788" customWidth="1"/>
    <col min="11526" max="11526" width="11.3984375" style="788" customWidth="1"/>
    <col min="11527" max="11527" width="14.59765625" style="788" customWidth="1"/>
    <col min="11528" max="11528" width="13.3984375" style="788" customWidth="1"/>
    <col min="11529" max="11529" width="8.3984375" style="788" customWidth="1"/>
    <col min="11530" max="11530" width="6.3984375" style="788" customWidth="1"/>
    <col min="11531" max="11531" width="5.3984375" style="788" customWidth="1"/>
    <col min="11532" max="11535" width="12.19921875" style="788" customWidth="1"/>
    <col min="11536" max="11547" width="13.796875" style="788" customWidth="1"/>
    <col min="11548" max="11776" width="11" style="788"/>
    <col min="11777" max="11777" width="8.59765625" style="788" customWidth="1"/>
    <col min="11778" max="11778" width="9.3984375" style="788" customWidth="1"/>
    <col min="11779" max="11779" width="9.796875" style="788" customWidth="1"/>
    <col min="11780" max="11780" width="8.796875" style="788" customWidth="1"/>
    <col min="11781" max="11781" width="9.3984375" style="788" customWidth="1"/>
    <col min="11782" max="11782" width="11.3984375" style="788" customWidth="1"/>
    <col min="11783" max="11783" width="14.59765625" style="788" customWidth="1"/>
    <col min="11784" max="11784" width="13.3984375" style="788" customWidth="1"/>
    <col min="11785" max="11785" width="8.3984375" style="788" customWidth="1"/>
    <col min="11786" max="11786" width="6.3984375" style="788" customWidth="1"/>
    <col min="11787" max="11787" width="5.3984375" style="788" customWidth="1"/>
    <col min="11788" max="11791" width="12.19921875" style="788" customWidth="1"/>
    <col min="11792" max="11803" width="13.796875" style="788" customWidth="1"/>
    <col min="11804" max="12032" width="11" style="788"/>
    <col min="12033" max="12033" width="8.59765625" style="788" customWidth="1"/>
    <col min="12034" max="12034" width="9.3984375" style="788" customWidth="1"/>
    <col min="12035" max="12035" width="9.796875" style="788" customWidth="1"/>
    <col min="12036" max="12036" width="8.796875" style="788" customWidth="1"/>
    <col min="12037" max="12037" width="9.3984375" style="788" customWidth="1"/>
    <col min="12038" max="12038" width="11.3984375" style="788" customWidth="1"/>
    <col min="12039" max="12039" width="14.59765625" style="788" customWidth="1"/>
    <col min="12040" max="12040" width="13.3984375" style="788" customWidth="1"/>
    <col min="12041" max="12041" width="8.3984375" style="788" customWidth="1"/>
    <col min="12042" max="12042" width="6.3984375" style="788" customWidth="1"/>
    <col min="12043" max="12043" width="5.3984375" style="788" customWidth="1"/>
    <col min="12044" max="12047" width="12.19921875" style="788" customWidth="1"/>
    <col min="12048" max="12059" width="13.796875" style="788" customWidth="1"/>
    <col min="12060" max="12288" width="11" style="788"/>
    <col min="12289" max="12289" width="8.59765625" style="788" customWidth="1"/>
    <col min="12290" max="12290" width="9.3984375" style="788" customWidth="1"/>
    <col min="12291" max="12291" width="9.796875" style="788" customWidth="1"/>
    <col min="12292" max="12292" width="8.796875" style="788" customWidth="1"/>
    <col min="12293" max="12293" width="9.3984375" style="788" customWidth="1"/>
    <col min="12294" max="12294" width="11.3984375" style="788" customWidth="1"/>
    <col min="12295" max="12295" width="14.59765625" style="788" customWidth="1"/>
    <col min="12296" max="12296" width="13.3984375" style="788" customWidth="1"/>
    <col min="12297" max="12297" width="8.3984375" style="788" customWidth="1"/>
    <col min="12298" max="12298" width="6.3984375" style="788" customWidth="1"/>
    <col min="12299" max="12299" width="5.3984375" style="788" customWidth="1"/>
    <col min="12300" max="12303" width="12.19921875" style="788" customWidth="1"/>
    <col min="12304" max="12315" width="13.796875" style="788" customWidth="1"/>
    <col min="12316" max="12544" width="11" style="788"/>
    <col min="12545" max="12545" width="8.59765625" style="788" customWidth="1"/>
    <col min="12546" max="12546" width="9.3984375" style="788" customWidth="1"/>
    <col min="12547" max="12547" width="9.796875" style="788" customWidth="1"/>
    <col min="12548" max="12548" width="8.796875" style="788" customWidth="1"/>
    <col min="12549" max="12549" width="9.3984375" style="788" customWidth="1"/>
    <col min="12550" max="12550" width="11.3984375" style="788" customWidth="1"/>
    <col min="12551" max="12551" width="14.59765625" style="788" customWidth="1"/>
    <col min="12552" max="12552" width="13.3984375" style="788" customWidth="1"/>
    <col min="12553" max="12553" width="8.3984375" style="788" customWidth="1"/>
    <col min="12554" max="12554" width="6.3984375" style="788" customWidth="1"/>
    <col min="12555" max="12555" width="5.3984375" style="788" customWidth="1"/>
    <col min="12556" max="12559" width="12.19921875" style="788" customWidth="1"/>
    <col min="12560" max="12571" width="13.796875" style="788" customWidth="1"/>
    <col min="12572" max="12800" width="11" style="788"/>
    <col min="12801" max="12801" width="8.59765625" style="788" customWidth="1"/>
    <col min="12802" max="12802" width="9.3984375" style="788" customWidth="1"/>
    <col min="12803" max="12803" width="9.796875" style="788" customWidth="1"/>
    <col min="12804" max="12804" width="8.796875" style="788" customWidth="1"/>
    <col min="12805" max="12805" width="9.3984375" style="788" customWidth="1"/>
    <col min="12806" max="12806" width="11.3984375" style="788" customWidth="1"/>
    <col min="12807" max="12807" width="14.59765625" style="788" customWidth="1"/>
    <col min="12808" max="12808" width="13.3984375" style="788" customWidth="1"/>
    <col min="12809" max="12809" width="8.3984375" style="788" customWidth="1"/>
    <col min="12810" max="12810" width="6.3984375" style="788" customWidth="1"/>
    <col min="12811" max="12811" width="5.3984375" style="788" customWidth="1"/>
    <col min="12812" max="12815" width="12.19921875" style="788" customWidth="1"/>
    <col min="12816" max="12827" width="13.796875" style="788" customWidth="1"/>
    <col min="12828" max="13056" width="11" style="788"/>
    <col min="13057" max="13057" width="8.59765625" style="788" customWidth="1"/>
    <col min="13058" max="13058" width="9.3984375" style="788" customWidth="1"/>
    <col min="13059" max="13059" width="9.796875" style="788" customWidth="1"/>
    <col min="13060" max="13060" width="8.796875" style="788" customWidth="1"/>
    <col min="13061" max="13061" width="9.3984375" style="788" customWidth="1"/>
    <col min="13062" max="13062" width="11.3984375" style="788" customWidth="1"/>
    <col min="13063" max="13063" width="14.59765625" style="788" customWidth="1"/>
    <col min="13064" max="13064" width="13.3984375" style="788" customWidth="1"/>
    <col min="13065" max="13065" width="8.3984375" style="788" customWidth="1"/>
    <col min="13066" max="13066" width="6.3984375" style="788" customWidth="1"/>
    <col min="13067" max="13067" width="5.3984375" style="788" customWidth="1"/>
    <col min="13068" max="13071" width="12.19921875" style="788" customWidth="1"/>
    <col min="13072" max="13083" width="13.796875" style="788" customWidth="1"/>
    <col min="13084" max="13312" width="11" style="788"/>
    <col min="13313" max="13313" width="8.59765625" style="788" customWidth="1"/>
    <col min="13314" max="13314" width="9.3984375" style="788" customWidth="1"/>
    <col min="13315" max="13315" width="9.796875" style="788" customWidth="1"/>
    <col min="13316" max="13316" width="8.796875" style="788" customWidth="1"/>
    <col min="13317" max="13317" width="9.3984375" style="788" customWidth="1"/>
    <col min="13318" max="13318" width="11.3984375" style="788" customWidth="1"/>
    <col min="13319" max="13319" width="14.59765625" style="788" customWidth="1"/>
    <col min="13320" max="13320" width="13.3984375" style="788" customWidth="1"/>
    <col min="13321" max="13321" width="8.3984375" style="788" customWidth="1"/>
    <col min="13322" max="13322" width="6.3984375" style="788" customWidth="1"/>
    <col min="13323" max="13323" width="5.3984375" style="788" customWidth="1"/>
    <col min="13324" max="13327" width="12.19921875" style="788" customWidth="1"/>
    <col min="13328" max="13339" width="13.796875" style="788" customWidth="1"/>
    <col min="13340" max="13568" width="11" style="788"/>
    <col min="13569" max="13569" width="8.59765625" style="788" customWidth="1"/>
    <col min="13570" max="13570" width="9.3984375" style="788" customWidth="1"/>
    <col min="13571" max="13571" width="9.796875" style="788" customWidth="1"/>
    <col min="13572" max="13572" width="8.796875" style="788" customWidth="1"/>
    <col min="13573" max="13573" width="9.3984375" style="788" customWidth="1"/>
    <col min="13574" max="13574" width="11.3984375" style="788" customWidth="1"/>
    <col min="13575" max="13575" width="14.59765625" style="788" customWidth="1"/>
    <col min="13576" max="13576" width="13.3984375" style="788" customWidth="1"/>
    <col min="13577" max="13577" width="8.3984375" style="788" customWidth="1"/>
    <col min="13578" max="13578" width="6.3984375" style="788" customWidth="1"/>
    <col min="13579" max="13579" width="5.3984375" style="788" customWidth="1"/>
    <col min="13580" max="13583" width="12.19921875" style="788" customWidth="1"/>
    <col min="13584" max="13595" width="13.796875" style="788" customWidth="1"/>
    <col min="13596" max="13824" width="11" style="788"/>
    <col min="13825" max="13825" width="8.59765625" style="788" customWidth="1"/>
    <col min="13826" max="13826" width="9.3984375" style="788" customWidth="1"/>
    <col min="13827" max="13827" width="9.796875" style="788" customWidth="1"/>
    <col min="13828" max="13828" width="8.796875" style="788" customWidth="1"/>
    <col min="13829" max="13829" width="9.3984375" style="788" customWidth="1"/>
    <col min="13830" max="13830" width="11.3984375" style="788" customWidth="1"/>
    <col min="13831" max="13831" width="14.59765625" style="788" customWidth="1"/>
    <col min="13832" max="13832" width="13.3984375" style="788" customWidth="1"/>
    <col min="13833" max="13833" width="8.3984375" style="788" customWidth="1"/>
    <col min="13834" max="13834" width="6.3984375" style="788" customWidth="1"/>
    <col min="13835" max="13835" width="5.3984375" style="788" customWidth="1"/>
    <col min="13836" max="13839" width="12.19921875" style="788" customWidth="1"/>
    <col min="13840" max="13851" width="13.796875" style="788" customWidth="1"/>
    <col min="13852" max="14080" width="11" style="788"/>
    <col min="14081" max="14081" width="8.59765625" style="788" customWidth="1"/>
    <col min="14082" max="14082" width="9.3984375" style="788" customWidth="1"/>
    <col min="14083" max="14083" width="9.796875" style="788" customWidth="1"/>
    <col min="14084" max="14084" width="8.796875" style="788" customWidth="1"/>
    <col min="14085" max="14085" width="9.3984375" style="788" customWidth="1"/>
    <col min="14086" max="14086" width="11.3984375" style="788" customWidth="1"/>
    <col min="14087" max="14087" width="14.59765625" style="788" customWidth="1"/>
    <col min="14088" max="14088" width="13.3984375" style="788" customWidth="1"/>
    <col min="14089" max="14089" width="8.3984375" style="788" customWidth="1"/>
    <col min="14090" max="14090" width="6.3984375" style="788" customWidth="1"/>
    <col min="14091" max="14091" width="5.3984375" style="788" customWidth="1"/>
    <col min="14092" max="14095" width="12.19921875" style="788" customWidth="1"/>
    <col min="14096" max="14107" width="13.796875" style="788" customWidth="1"/>
    <col min="14108" max="14336" width="11" style="788"/>
    <col min="14337" max="14337" width="8.59765625" style="788" customWidth="1"/>
    <col min="14338" max="14338" width="9.3984375" style="788" customWidth="1"/>
    <col min="14339" max="14339" width="9.796875" style="788" customWidth="1"/>
    <col min="14340" max="14340" width="8.796875" style="788" customWidth="1"/>
    <col min="14341" max="14341" width="9.3984375" style="788" customWidth="1"/>
    <col min="14342" max="14342" width="11.3984375" style="788" customWidth="1"/>
    <col min="14343" max="14343" width="14.59765625" style="788" customWidth="1"/>
    <col min="14344" max="14344" width="13.3984375" style="788" customWidth="1"/>
    <col min="14345" max="14345" width="8.3984375" style="788" customWidth="1"/>
    <col min="14346" max="14346" width="6.3984375" style="788" customWidth="1"/>
    <col min="14347" max="14347" width="5.3984375" style="788" customWidth="1"/>
    <col min="14348" max="14351" width="12.19921875" style="788" customWidth="1"/>
    <col min="14352" max="14363" width="13.796875" style="788" customWidth="1"/>
    <col min="14364" max="14592" width="11" style="788"/>
    <col min="14593" max="14593" width="8.59765625" style="788" customWidth="1"/>
    <col min="14594" max="14594" width="9.3984375" style="788" customWidth="1"/>
    <col min="14595" max="14595" width="9.796875" style="788" customWidth="1"/>
    <col min="14596" max="14596" width="8.796875" style="788" customWidth="1"/>
    <col min="14597" max="14597" width="9.3984375" style="788" customWidth="1"/>
    <col min="14598" max="14598" width="11.3984375" style="788" customWidth="1"/>
    <col min="14599" max="14599" width="14.59765625" style="788" customWidth="1"/>
    <col min="14600" max="14600" width="13.3984375" style="788" customWidth="1"/>
    <col min="14601" max="14601" width="8.3984375" style="788" customWidth="1"/>
    <col min="14602" max="14602" width="6.3984375" style="788" customWidth="1"/>
    <col min="14603" max="14603" width="5.3984375" style="788" customWidth="1"/>
    <col min="14604" max="14607" width="12.19921875" style="788" customWidth="1"/>
    <col min="14608" max="14619" width="13.796875" style="788" customWidth="1"/>
    <col min="14620" max="14848" width="11" style="788"/>
    <col min="14849" max="14849" width="8.59765625" style="788" customWidth="1"/>
    <col min="14850" max="14850" width="9.3984375" style="788" customWidth="1"/>
    <col min="14851" max="14851" width="9.796875" style="788" customWidth="1"/>
    <col min="14852" max="14852" width="8.796875" style="788" customWidth="1"/>
    <col min="14853" max="14853" width="9.3984375" style="788" customWidth="1"/>
    <col min="14854" max="14854" width="11.3984375" style="788" customWidth="1"/>
    <col min="14855" max="14855" width="14.59765625" style="788" customWidth="1"/>
    <col min="14856" max="14856" width="13.3984375" style="788" customWidth="1"/>
    <col min="14857" max="14857" width="8.3984375" style="788" customWidth="1"/>
    <col min="14858" max="14858" width="6.3984375" style="788" customWidth="1"/>
    <col min="14859" max="14859" width="5.3984375" style="788" customWidth="1"/>
    <col min="14860" max="14863" width="12.19921875" style="788" customWidth="1"/>
    <col min="14864" max="14875" width="13.796875" style="788" customWidth="1"/>
    <col min="14876" max="15104" width="11" style="788"/>
    <col min="15105" max="15105" width="8.59765625" style="788" customWidth="1"/>
    <col min="15106" max="15106" width="9.3984375" style="788" customWidth="1"/>
    <col min="15107" max="15107" width="9.796875" style="788" customWidth="1"/>
    <col min="15108" max="15108" width="8.796875" style="788" customWidth="1"/>
    <col min="15109" max="15109" width="9.3984375" style="788" customWidth="1"/>
    <col min="15110" max="15110" width="11.3984375" style="788" customWidth="1"/>
    <col min="15111" max="15111" width="14.59765625" style="788" customWidth="1"/>
    <col min="15112" max="15112" width="13.3984375" style="788" customWidth="1"/>
    <col min="15113" max="15113" width="8.3984375" style="788" customWidth="1"/>
    <col min="15114" max="15114" width="6.3984375" style="788" customWidth="1"/>
    <col min="15115" max="15115" width="5.3984375" style="788" customWidth="1"/>
    <col min="15116" max="15119" width="12.19921875" style="788" customWidth="1"/>
    <col min="15120" max="15131" width="13.796875" style="788" customWidth="1"/>
    <col min="15132" max="15360" width="11" style="788"/>
    <col min="15361" max="15361" width="8.59765625" style="788" customWidth="1"/>
    <col min="15362" max="15362" width="9.3984375" style="788" customWidth="1"/>
    <col min="15363" max="15363" width="9.796875" style="788" customWidth="1"/>
    <col min="15364" max="15364" width="8.796875" style="788" customWidth="1"/>
    <col min="15365" max="15365" width="9.3984375" style="788" customWidth="1"/>
    <col min="15366" max="15366" width="11.3984375" style="788" customWidth="1"/>
    <col min="15367" max="15367" width="14.59765625" style="788" customWidth="1"/>
    <col min="15368" max="15368" width="13.3984375" style="788" customWidth="1"/>
    <col min="15369" max="15369" width="8.3984375" style="788" customWidth="1"/>
    <col min="15370" max="15370" width="6.3984375" style="788" customWidth="1"/>
    <col min="15371" max="15371" width="5.3984375" style="788" customWidth="1"/>
    <col min="15372" max="15375" width="12.19921875" style="788" customWidth="1"/>
    <col min="15376" max="15387" width="13.796875" style="788" customWidth="1"/>
    <col min="15388" max="15616" width="11" style="788"/>
    <col min="15617" max="15617" width="8.59765625" style="788" customWidth="1"/>
    <col min="15618" max="15618" width="9.3984375" style="788" customWidth="1"/>
    <col min="15619" max="15619" width="9.796875" style="788" customWidth="1"/>
    <col min="15620" max="15620" width="8.796875" style="788" customWidth="1"/>
    <col min="15621" max="15621" width="9.3984375" style="788" customWidth="1"/>
    <col min="15622" max="15622" width="11.3984375" style="788" customWidth="1"/>
    <col min="15623" max="15623" width="14.59765625" style="788" customWidth="1"/>
    <col min="15624" max="15624" width="13.3984375" style="788" customWidth="1"/>
    <col min="15625" max="15625" width="8.3984375" style="788" customWidth="1"/>
    <col min="15626" max="15626" width="6.3984375" style="788" customWidth="1"/>
    <col min="15627" max="15627" width="5.3984375" style="788" customWidth="1"/>
    <col min="15628" max="15631" width="12.19921875" style="788" customWidth="1"/>
    <col min="15632" max="15643" width="13.796875" style="788" customWidth="1"/>
    <col min="15644" max="15872" width="11" style="788"/>
    <col min="15873" max="15873" width="8.59765625" style="788" customWidth="1"/>
    <col min="15874" max="15874" width="9.3984375" style="788" customWidth="1"/>
    <col min="15875" max="15875" width="9.796875" style="788" customWidth="1"/>
    <col min="15876" max="15876" width="8.796875" style="788" customWidth="1"/>
    <col min="15877" max="15877" width="9.3984375" style="788" customWidth="1"/>
    <col min="15878" max="15878" width="11.3984375" style="788" customWidth="1"/>
    <col min="15879" max="15879" width="14.59765625" style="788" customWidth="1"/>
    <col min="15880" max="15880" width="13.3984375" style="788" customWidth="1"/>
    <col min="15881" max="15881" width="8.3984375" style="788" customWidth="1"/>
    <col min="15882" max="15882" width="6.3984375" style="788" customWidth="1"/>
    <col min="15883" max="15883" width="5.3984375" style="788" customWidth="1"/>
    <col min="15884" max="15887" width="12.19921875" style="788" customWidth="1"/>
    <col min="15888" max="15899" width="13.796875" style="788" customWidth="1"/>
    <col min="15900" max="16128" width="11" style="788"/>
    <col min="16129" max="16129" width="8.59765625" style="788" customWidth="1"/>
    <col min="16130" max="16130" width="9.3984375" style="788" customWidth="1"/>
    <col min="16131" max="16131" width="9.796875" style="788" customWidth="1"/>
    <col min="16132" max="16132" width="8.796875" style="788" customWidth="1"/>
    <col min="16133" max="16133" width="9.3984375" style="788" customWidth="1"/>
    <col min="16134" max="16134" width="11.3984375" style="788" customWidth="1"/>
    <col min="16135" max="16135" width="14.59765625" style="788" customWidth="1"/>
    <col min="16136" max="16136" width="13.3984375" style="788" customWidth="1"/>
    <col min="16137" max="16137" width="8.3984375" style="788" customWidth="1"/>
    <col min="16138" max="16138" width="6.3984375" style="788" customWidth="1"/>
    <col min="16139" max="16139" width="5.3984375" style="788" customWidth="1"/>
    <col min="16140" max="16143" width="12.19921875" style="788" customWidth="1"/>
    <col min="16144" max="16155" width="13.796875" style="788" customWidth="1"/>
    <col min="16156" max="16384" width="11" style="788"/>
  </cols>
  <sheetData>
    <row r="1" spans="1:28">
      <c r="A1" s="964" t="s">
        <v>559</v>
      </c>
      <c r="B1" s="784"/>
      <c r="C1" s="784"/>
      <c r="D1" s="784"/>
      <c r="E1" s="784"/>
      <c r="F1" s="784"/>
      <c r="G1" s="784"/>
      <c r="H1" s="785"/>
    </row>
    <row r="2" spans="1:28" ht="6" customHeight="1" thickBot="1">
      <c r="A2" s="963"/>
      <c r="B2" s="789"/>
      <c r="C2" s="790"/>
      <c r="D2" s="791"/>
      <c r="E2" s="792"/>
      <c r="F2" s="792"/>
    </row>
    <row r="3" spans="1:28" s="786" customFormat="1" ht="26" customHeight="1">
      <c r="A3" s="779" t="s">
        <v>107</v>
      </c>
      <c r="B3" s="805" t="s">
        <v>450</v>
      </c>
      <c r="C3" s="806" t="s">
        <v>218</v>
      </c>
      <c r="D3" s="807" t="s">
        <v>451</v>
      </c>
      <c r="E3" s="808" t="s">
        <v>452</v>
      </c>
      <c r="F3" s="808" t="s">
        <v>453</v>
      </c>
      <c r="G3" s="808" t="s">
        <v>454</v>
      </c>
      <c r="P3" s="787"/>
      <c r="Q3" s="787"/>
      <c r="R3" s="788"/>
      <c r="S3" s="788"/>
      <c r="T3" s="788"/>
      <c r="U3" s="788"/>
      <c r="V3" s="788"/>
      <c r="W3" s="788"/>
      <c r="X3" s="788"/>
      <c r="Y3" s="788"/>
      <c r="Z3" s="788"/>
      <c r="AA3" s="788"/>
      <c r="AB3" s="788"/>
    </row>
    <row r="4" spans="1:28" s="786" customFormat="1" ht="16" hidden="1" customHeight="1">
      <c r="A4" s="783">
        <v>2019</v>
      </c>
      <c r="B4" s="781">
        <f>SUM(B5:B16)</f>
        <v>311304.17200000002</v>
      </c>
      <c r="C4" s="781">
        <f>SUM(C5:C16)</f>
        <v>862757.15189999994</v>
      </c>
      <c r="D4" s="929">
        <f>C4/B4</f>
        <v>2.7714281705803798</v>
      </c>
      <c r="E4" s="782">
        <f>AVERAGE(E5:E16)</f>
        <v>3.8641666666666672</v>
      </c>
      <c r="F4" s="782">
        <f t="shared" ref="F4" si="0">AVERAGE(F5:F16)</f>
        <v>4.0341666666666676</v>
      </c>
      <c r="G4" s="782">
        <f t="shared" ref="G4" si="1">AVERAGE(G5:G16)</f>
        <v>7.6124999999999998</v>
      </c>
      <c r="P4" s="787"/>
      <c r="Q4" s="787"/>
      <c r="R4" s="788"/>
      <c r="S4" s="788"/>
      <c r="T4" s="788"/>
      <c r="U4" s="788"/>
      <c r="V4" s="788"/>
      <c r="W4" s="788"/>
      <c r="X4" s="788"/>
      <c r="Y4" s="788"/>
      <c r="Z4" s="788"/>
      <c r="AA4" s="788"/>
      <c r="AB4" s="788"/>
    </row>
    <row r="5" spans="1:28" s="786" customFormat="1" ht="13" hidden="1" customHeight="1">
      <c r="A5" s="803" t="s">
        <v>53</v>
      </c>
      <c r="B5" s="793">
        <v>23222.113000000001</v>
      </c>
      <c r="C5" s="793">
        <v>64126.277999999998</v>
      </c>
      <c r="D5" s="780">
        <f t="shared" ref="D5:D16" si="2">C5/B5</f>
        <v>2.761431657834065</v>
      </c>
      <c r="E5" s="794">
        <v>3.82</v>
      </c>
      <c r="F5" s="794">
        <v>4.08</v>
      </c>
      <c r="G5" s="794">
        <v>7.78</v>
      </c>
      <c r="P5" s="787"/>
      <c r="Q5" s="787"/>
      <c r="R5" s="788"/>
      <c r="S5" s="788"/>
      <c r="T5" s="788"/>
      <c r="U5" s="788"/>
      <c r="V5" s="788"/>
      <c r="W5" s="788"/>
      <c r="X5" s="788"/>
      <c r="Y5" s="788"/>
      <c r="Z5" s="788"/>
      <c r="AA5" s="788"/>
      <c r="AB5" s="788"/>
    </row>
    <row r="6" spans="1:28" s="786" customFormat="1" ht="13" hidden="1" customHeight="1">
      <c r="A6" s="803" t="s">
        <v>54</v>
      </c>
      <c r="B6" s="793">
        <v>22864.448</v>
      </c>
      <c r="C6" s="793">
        <v>62611.328999999998</v>
      </c>
      <c r="D6" s="780">
        <f t="shared" si="2"/>
        <v>2.7383704605508079</v>
      </c>
      <c r="E6" s="794">
        <v>3.46</v>
      </c>
      <c r="F6" s="794">
        <v>3.71</v>
      </c>
      <c r="G6" s="794">
        <v>7.69</v>
      </c>
      <c r="P6" s="787"/>
      <c r="Q6" s="787"/>
      <c r="R6" s="788"/>
      <c r="S6" s="788"/>
      <c r="T6" s="788"/>
      <c r="U6" s="788"/>
      <c r="V6" s="788"/>
      <c r="W6" s="788"/>
      <c r="X6" s="788"/>
      <c r="Y6" s="788"/>
      <c r="Z6" s="788"/>
      <c r="AA6" s="788"/>
      <c r="AB6" s="788"/>
    </row>
    <row r="7" spans="1:28" s="786" customFormat="1" ht="13" hidden="1" customHeight="1">
      <c r="A7" s="803" t="s">
        <v>55</v>
      </c>
      <c r="B7" s="793">
        <v>25837.883000000002</v>
      </c>
      <c r="C7" s="793">
        <v>70153.111000000004</v>
      </c>
      <c r="D7" s="780">
        <f t="shared" si="2"/>
        <v>2.7151261192722331</v>
      </c>
      <c r="E7" s="794">
        <v>4.0599999999999996</v>
      </c>
      <c r="F7" s="794">
        <v>4.28</v>
      </c>
      <c r="G7" s="794">
        <v>7.71</v>
      </c>
      <c r="P7" s="787"/>
      <c r="Q7" s="787"/>
      <c r="R7" s="788"/>
      <c r="S7" s="788"/>
      <c r="T7" s="788"/>
      <c r="U7" s="788"/>
      <c r="V7" s="788"/>
      <c r="W7" s="788"/>
      <c r="X7" s="788"/>
      <c r="Y7" s="788"/>
      <c r="Z7" s="788"/>
      <c r="AA7" s="788"/>
      <c r="AB7" s="788"/>
    </row>
    <row r="8" spans="1:28" s="786" customFormat="1" ht="13" hidden="1" customHeight="1">
      <c r="A8" s="803" t="s">
        <v>56</v>
      </c>
      <c r="B8" s="793">
        <v>24163.014999999999</v>
      </c>
      <c r="C8" s="793">
        <v>65194.432000000001</v>
      </c>
      <c r="D8" s="780">
        <f t="shared" si="2"/>
        <v>2.6981083279549347</v>
      </c>
      <c r="E8" s="794">
        <v>4.01</v>
      </c>
      <c r="F8" s="794">
        <v>4.17</v>
      </c>
      <c r="G8" s="794">
        <v>7.66</v>
      </c>
      <c r="P8" s="787"/>
      <c r="Q8" s="787"/>
      <c r="R8" s="788"/>
      <c r="S8" s="788"/>
      <c r="T8" s="788"/>
      <c r="U8" s="788"/>
      <c r="V8" s="788"/>
      <c r="W8" s="788"/>
      <c r="X8" s="788"/>
      <c r="Y8" s="788"/>
      <c r="Z8" s="788"/>
      <c r="AA8" s="788"/>
      <c r="AB8" s="788"/>
    </row>
    <row r="9" spans="1:28" s="786" customFormat="1" ht="13" hidden="1" customHeight="1">
      <c r="A9" s="803" t="s">
        <v>57</v>
      </c>
      <c r="B9" s="793">
        <v>26423.501</v>
      </c>
      <c r="C9" s="793">
        <v>70847.764999999999</v>
      </c>
      <c r="D9" s="780">
        <f t="shared" si="2"/>
        <v>2.6812406501318655</v>
      </c>
      <c r="E9" s="794">
        <v>4.99</v>
      </c>
      <c r="F9" s="794">
        <v>5.23</v>
      </c>
      <c r="G9" s="794">
        <v>8.02</v>
      </c>
      <c r="P9" s="787"/>
      <c r="Q9" s="787"/>
      <c r="R9" s="788"/>
      <c r="S9" s="788"/>
      <c r="T9" s="788"/>
      <c r="U9" s="788"/>
      <c r="V9" s="788"/>
      <c r="W9" s="788"/>
      <c r="X9" s="788"/>
      <c r="Y9" s="788"/>
      <c r="Z9" s="788"/>
      <c r="AA9" s="788"/>
      <c r="AB9" s="788"/>
    </row>
    <row r="10" spans="1:28" s="786" customFormat="1" ht="13" hidden="1" customHeight="1">
      <c r="A10" s="803" t="s">
        <v>58</v>
      </c>
      <c r="B10" s="793">
        <v>25652.933000000001</v>
      </c>
      <c r="C10" s="793">
        <v>71522.891000000003</v>
      </c>
      <c r="D10" s="780">
        <f t="shared" si="2"/>
        <v>2.7880979925375393</v>
      </c>
      <c r="E10" s="794">
        <v>4.1500000000000004</v>
      </c>
      <c r="F10" s="794">
        <v>4.32</v>
      </c>
      <c r="G10" s="794">
        <v>7.87</v>
      </c>
      <c r="P10" s="787"/>
      <c r="Q10" s="787"/>
      <c r="R10" s="788"/>
      <c r="S10" s="788"/>
      <c r="T10" s="788"/>
      <c r="U10" s="788"/>
      <c r="V10" s="788"/>
      <c r="W10" s="788"/>
      <c r="X10" s="788"/>
      <c r="Y10" s="788"/>
      <c r="Z10" s="788"/>
      <c r="AA10" s="788"/>
      <c r="AB10" s="788"/>
    </row>
    <row r="11" spans="1:28" s="786" customFormat="1" ht="13" hidden="1" customHeight="1">
      <c r="A11" s="803" t="s">
        <v>59</v>
      </c>
      <c r="B11" s="793">
        <v>26246.51</v>
      </c>
      <c r="C11" s="793">
        <v>72563.100000000006</v>
      </c>
      <c r="D11" s="780">
        <f t="shared" si="2"/>
        <v>2.7646761417041734</v>
      </c>
      <c r="E11" s="794">
        <v>3.81</v>
      </c>
      <c r="F11" s="794">
        <v>3.9</v>
      </c>
      <c r="G11" s="794">
        <v>7.57</v>
      </c>
      <c r="P11" s="787"/>
      <c r="Q11" s="787"/>
      <c r="R11" s="788"/>
      <c r="S11" s="788"/>
      <c r="T11" s="788"/>
      <c r="U11" s="788"/>
      <c r="V11" s="788"/>
      <c r="W11" s="788"/>
      <c r="X11" s="788"/>
      <c r="Y11" s="788"/>
      <c r="Z11" s="788"/>
      <c r="AA11" s="788"/>
      <c r="AB11" s="788"/>
    </row>
    <row r="12" spans="1:28" s="786" customFormat="1" ht="13" hidden="1" customHeight="1">
      <c r="A12" s="803" t="s">
        <v>60</v>
      </c>
      <c r="B12" s="793">
        <v>27235.21</v>
      </c>
      <c r="C12" s="793">
        <v>78865.806900000011</v>
      </c>
      <c r="D12" s="780">
        <f t="shared" si="2"/>
        <v>2.8957297153207193</v>
      </c>
      <c r="E12" s="794">
        <v>3.37</v>
      </c>
      <c r="F12" s="794">
        <v>3.54</v>
      </c>
      <c r="G12" s="794">
        <v>7.54</v>
      </c>
      <c r="P12" s="787"/>
      <c r="Q12" s="787"/>
      <c r="R12" s="788"/>
      <c r="S12" s="788"/>
      <c r="T12" s="788"/>
      <c r="U12" s="788"/>
      <c r="V12" s="788"/>
      <c r="W12" s="788"/>
      <c r="X12" s="788"/>
      <c r="Y12" s="788"/>
      <c r="Z12" s="788"/>
      <c r="AA12" s="788"/>
      <c r="AB12" s="788"/>
    </row>
    <row r="13" spans="1:28" s="786" customFormat="1" ht="13" hidden="1" customHeight="1">
      <c r="A13" s="803" t="s">
        <v>61</v>
      </c>
      <c r="B13" s="793">
        <v>27576.460999999999</v>
      </c>
      <c r="C13" s="793">
        <v>77260.384999999995</v>
      </c>
      <c r="D13" s="780">
        <f t="shared" si="2"/>
        <v>2.8016787578362572</v>
      </c>
      <c r="E13" s="794">
        <v>3.22</v>
      </c>
      <c r="F13" s="794">
        <v>3.35</v>
      </c>
      <c r="G13" s="794">
        <v>7.26</v>
      </c>
      <c r="P13" s="787"/>
      <c r="Q13" s="787"/>
      <c r="R13" s="788"/>
      <c r="S13" s="788"/>
      <c r="T13" s="788"/>
      <c r="U13" s="788"/>
      <c r="V13" s="788"/>
      <c r="W13" s="788"/>
      <c r="X13" s="788"/>
      <c r="Y13" s="788"/>
      <c r="Z13" s="788"/>
      <c r="AA13" s="788"/>
      <c r="AB13" s="788"/>
    </row>
    <row r="14" spans="1:28" s="786" customFormat="1" ht="13" hidden="1" customHeight="1">
      <c r="A14" s="803" t="s">
        <v>62</v>
      </c>
      <c r="B14" s="793">
        <v>27687.716</v>
      </c>
      <c r="C14" s="793">
        <v>78020.907999999996</v>
      </c>
      <c r="D14" s="780">
        <f t="shared" si="2"/>
        <v>2.8178889150697728</v>
      </c>
      <c r="E14" s="794">
        <v>3.57</v>
      </c>
      <c r="F14" s="794">
        <v>3.77</v>
      </c>
      <c r="G14" s="794">
        <v>7.27</v>
      </c>
      <c r="P14" s="787"/>
      <c r="Q14" s="787"/>
      <c r="R14" s="788"/>
      <c r="S14" s="788"/>
      <c r="T14" s="788"/>
      <c r="U14" s="788"/>
      <c r="V14" s="788"/>
      <c r="W14" s="788"/>
      <c r="X14" s="788"/>
      <c r="Y14" s="788"/>
      <c r="Z14" s="788"/>
      <c r="AA14" s="788"/>
      <c r="AB14" s="788"/>
    </row>
    <row r="15" spans="1:28" s="786" customFormat="1" ht="13" hidden="1" customHeight="1">
      <c r="A15" s="803" t="s">
        <v>63</v>
      </c>
      <c r="B15" s="793">
        <v>26635.705999999998</v>
      </c>
      <c r="C15" s="793">
        <v>73953.645999999993</v>
      </c>
      <c r="D15" s="780">
        <f t="shared" si="2"/>
        <v>2.7764852938382787</v>
      </c>
      <c r="E15" s="795">
        <v>3.88</v>
      </c>
      <c r="F15" s="795">
        <v>3.99</v>
      </c>
      <c r="G15" s="795">
        <v>7.41</v>
      </c>
      <c r="P15" s="787"/>
      <c r="Q15" s="787"/>
      <c r="R15" s="788"/>
      <c r="S15" s="788"/>
      <c r="T15" s="788"/>
      <c r="U15" s="788"/>
      <c r="V15" s="788"/>
      <c r="W15" s="788"/>
      <c r="X15" s="788"/>
      <c r="Y15" s="788"/>
      <c r="Z15" s="788"/>
      <c r="AA15" s="788"/>
      <c r="AB15" s="788"/>
    </row>
    <row r="16" spans="1:28" s="786" customFormat="1" ht="13" hidden="1" customHeight="1">
      <c r="A16" s="803" t="s">
        <v>64</v>
      </c>
      <c r="B16" s="793">
        <v>27758.675999999999</v>
      </c>
      <c r="C16" s="793">
        <v>77637.5</v>
      </c>
      <c r="D16" s="780">
        <f t="shared" si="2"/>
        <v>2.7968733090872204</v>
      </c>
      <c r="E16" s="795">
        <v>4.03</v>
      </c>
      <c r="F16" s="795">
        <v>4.07</v>
      </c>
      <c r="G16" s="795">
        <v>7.57</v>
      </c>
      <c r="P16" s="787"/>
      <c r="Q16" s="787"/>
      <c r="R16" s="788"/>
      <c r="S16" s="788"/>
      <c r="T16" s="788"/>
      <c r="U16" s="788"/>
      <c r="V16" s="788"/>
      <c r="W16" s="788"/>
      <c r="X16" s="788"/>
      <c r="Y16" s="788"/>
      <c r="Z16" s="788"/>
      <c r="AA16" s="788"/>
      <c r="AB16" s="788"/>
    </row>
    <row r="17" spans="1:28" s="786" customFormat="1" ht="16" customHeight="1">
      <c r="A17" s="783">
        <v>2020</v>
      </c>
      <c r="B17" s="781">
        <f>SUM(B18:B29)</f>
        <v>267264.43500000006</v>
      </c>
      <c r="C17" s="781">
        <f>SUM(C18:C29)</f>
        <v>733525.24527000007</v>
      </c>
      <c r="D17" s="929">
        <f>C17/B17</f>
        <v>2.7445673617965665</v>
      </c>
      <c r="E17" s="782">
        <f>AVERAGE(E18:E29)</f>
        <v>4.5235203086893749</v>
      </c>
      <c r="F17" s="782">
        <f t="shared" ref="F17:G17" si="3">AVERAGE(F18:F29)</f>
        <v>4.8454014732873967</v>
      </c>
      <c r="G17" s="782">
        <f t="shared" si="3"/>
        <v>7.6858333333333322</v>
      </c>
      <c r="P17" s="787"/>
      <c r="Q17" s="787"/>
      <c r="R17" s="788"/>
      <c r="S17" s="788"/>
      <c r="T17" s="788"/>
      <c r="U17" s="788"/>
      <c r="V17" s="788"/>
      <c r="W17" s="788"/>
      <c r="X17" s="788"/>
      <c r="Y17" s="788"/>
      <c r="Z17" s="788"/>
      <c r="AA17" s="788"/>
      <c r="AB17" s="788"/>
    </row>
    <row r="18" spans="1:28" s="786" customFormat="1" ht="13" customHeight="1">
      <c r="A18" s="803" t="s">
        <v>53</v>
      </c>
      <c r="B18" s="793">
        <v>26178.219000000001</v>
      </c>
      <c r="C18" s="980">
        <v>71972.361500000014</v>
      </c>
      <c r="D18" s="780">
        <f>C18/B18</f>
        <v>2.7493223087483534</v>
      </c>
      <c r="E18" s="794">
        <v>4.18</v>
      </c>
      <c r="F18" s="794">
        <v>4.25</v>
      </c>
      <c r="G18" s="794">
        <v>7.71</v>
      </c>
      <c r="P18" s="787"/>
      <c r="Q18" s="787"/>
      <c r="R18" s="788"/>
      <c r="S18" s="788"/>
      <c r="T18" s="788"/>
      <c r="U18" s="788"/>
      <c r="V18" s="788"/>
      <c r="W18" s="788"/>
      <c r="X18" s="788"/>
      <c r="Y18" s="788"/>
      <c r="Z18" s="788"/>
      <c r="AA18" s="788"/>
      <c r="AB18" s="788"/>
    </row>
    <row r="19" spans="1:28" s="786" customFormat="1" ht="13" customHeight="1">
      <c r="A19" s="803" t="s">
        <v>54</v>
      </c>
      <c r="B19" s="793">
        <v>26077.046999999999</v>
      </c>
      <c r="C19" s="980">
        <v>71651.092900000003</v>
      </c>
      <c r="D19" s="780">
        <f t="shared" ref="D19:D29" si="4">C19/B19</f>
        <v>2.7476689711070432</v>
      </c>
      <c r="E19" s="794">
        <v>4.6100000000000003</v>
      </c>
      <c r="F19" s="794">
        <v>4.76</v>
      </c>
      <c r="G19" s="794">
        <v>7.86</v>
      </c>
      <c r="P19" s="787"/>
      <c r="Q19" s="787"/>
      <c r="R19" s="788"/>
      <c r="S19" s="788"/>
      <c r="T19" s="788"/>
      <c r="U19" s="788"/>
      <c r="V19" s="788"/>
      <c r="W19" s="788"/>
      <c r="X19" s="788"/>
      <c r="Y19" s="788"/>
      <c r="Z19" s="788"/>
      <c r="AA19" s="788"/>
      <c r="AB19" s="788"/>
    </row>
    <row r="20" spans="1:28" s="786" customFormat="1" ht="13" customHeight="1">
      <c r="A20" s="803" t="s">
        <v>55</v>
      </c>
      <c r="B20" s="793">
        <v>23173.347000000002</v>
      </c>
      <c r="C20" s="980">
        <v>63172.052949999998</v>
      </c>
      <c r="D20" s="780">
        <f t="shared" si="4"/>
        <v>2.7260651191215493</v>
      </c>
      <c r="E20" s="794">
        <v>4.3939123594492555</v>
      </c>
      <c r="F20" s="794">
        <v>4.6782779340080678</v>
      </c>
      <c r="G20" s="794">
        <v>7.83</v>
      </c>
      <c r="P20" s="787"/>
      <c r="Q20" s="787"/>
      <c r="R20" s="788"/>
      <c r="S20" s="788"/>
      <c r="T20" s="788"/>
      <c r="U20" s="788"/>
      <c r="V20" s="788"/>
      <c r="W20" s="788"/>
      <c r="X20" s="788"/>
      <c r="Y20" s="788"/>
      <c r="Z20" s="788"/>
      <c r="AA20" s="788"/>
      <c r="AB20" s="788"/>
    </row>
    <row r="21" spans="1:28" s="786" customFormat="1" ht="13" customHeight="1">
      <c r="A21" s="803" t="s">
        <v>56</v>
      </c>
      <c r="B21" s="793">
        <v>20583.201000000001</v>
      </c>
      <c r="C21" s="980">
        <v>59400.4565</v>
      </c>
      <c r="D21" s="780">
        <f t="shared" si="4"/>
        <v>2.8858706913467929</v>
      </c>
      <c r="E21" s="794">
        <v>2.3898516377553922</v>
      </c>
      <c r="F21" s="794">
        <v>2.8201638685568109</v>
      </c>
      <c r="G21" s="794">
        <v>6.33</v>
      </c>
      <c r="P21" s="787"/>
      <c r="Q21" s="787"/>
      <c r="R21" s="788"/>
      <c r="S21" s="788"/>
      <c r="T21" s="788"/>
      <c r="U21" s="788"/>
      <c r="V21" s="788"/>
      <c r="W21" s="788"/>
      <c r="X21" s="788"/>
      <c r="Y21" s="788"/>
      <c r="Z21" s="788"/>
      <c r="AA21" s="788"/>
      <c r="AB21" s="788"/>
    </row>
    <row r="22" spans="1:28" s="786" customFormat="1" ht="13" customHeight="1">
      <c r="A22" s="803" t="s">
        <v>57</v>
      </c>
      <c r="B22" s="793">
        <v>20381.067999999999</v>
      </c>
      <c r="C22" s="980">
        <v>59045.233930000002</v>
      </c>
      <c r="D22" s="780">
        <f t="shared" si="4"/>
        <v>2.8970628001437415</v>
      </c>
      <c r="E22" s="794">
        <v>3.1534176354613015</v>
      </c>
      <c r="F22" s="794">
        <v>3.6566562296876657</v>
      </c>
      <c r="G22" s="794">
        <v>6.5</v>
      </c>
      <c r="P22" s="787"/>
      <c r="Q22" s="787"/>
      <c r="R22" s="788"/>
      <c r="S22" s="788"/>
      <c r="T22" s="788"/>
      <c r="U22" s="788"/>
      <c r="V22" s="788"/>
      <c r="W22" s="788"/>
      <c r="X22" s="788"/>
      <c r="Y22" s="788"/>
      <c r="Z22" s="788"/>
      <c r="AA22" s="788"/>
      <c r="AB22" s="788"/>
    </row>
    <row r="23" spans="1:28" s="786" customFormat="1" ht="13" customHeight="1">
      <c r="A23" s="803" t="s">
        <v>58</v>
      </c>
      <c r="B23" s="793">
        <v>22227.683000000001</v>
      </c>
      <c r="C23" s="980">
        <v>62317.209060000001</v>
      </c>
      <c r="D23" s="780">
        <f t="shared" si="4"/>
        <v>2.8035854686248673</v>
      </c>
      <c r="E23" s="794">
        <v>3.309560510081996</v>
      </c>
      <c r="F23" s="794">
        <v>3.688781075633107</v>
      </c>
      <c r="G23" s="794">
        <v>6.36</v>
      </c>
      <c r="P23" s="787"/>
      <c r="Q23" s="787"/>
      <c r="R23" s="788"/>
      <c r="S23" s="788"/>
      <c r="T23" s="788"/>
      <c r="U23" s="788"/>
      <c r="V23" s="788"/>
      <c r="W23" s="788"/>
      <c r="X23" s="788"/>
      <c r="Y23" s="788"/>
      <c r="Z23" s="788"/>
      <c r="AA23" s="788"/>
      <c r="AB23" s="788"/>
    </row>
    <row r="24" spans="1:28" s="786" customFormat="1" ht="13" customHeight="1">
      <c r="A24" s="803" t="s">
        <v>59</v>
      </c>
      <c r="B24" s="793">
        <v>20456.717000000001</v>
      </c>
      <c r="C24" s="980">
        <v>54772.117889999994</v>
      </c>
      <c r="D24" s="780">
        <f t="shared" si="4"/>
        <v>2.6774637342834624</v>
      </c>
      <c r="E24" s="794">
        <v>5.4891350427749552</v>
      </c>
      <c r="F24" s="794">
        <v>5.9101813462375139</v>
      </c>
      <c r="G24" s="794">
        <v>8.39</v>
      </c>
      <c r="P24" s="787"/>
      <c r="Q24" s="787"/>
      <c r="R24" s="788"/>
      <c r="S24" s="788"/>
      <c r="T24" s="788"/>
      <c r="U24" s="788"/>
      <c r="V24" s="788"/>
      <c r="W24" s="788"/>
      <c r="X24" s="788"/>
      <c r="Y24" s="788"/>
      <c r="Z24" s="788"/>
      <c r="AA24" s="788"/>
      <c r="AB24" s="788"/>
    </row>
    <row r="25" spans="1:28" s="786" customFormat="1" ht="13" customHeight="1">
      <c r="A25" s="803" t="s">
        <v>60</v>
      </c>
      <c r="B25" s="793">
        <v>21025.252</v>
      </c>
      <c r="C25" s="980">
        <v>57041.371000000014</v>
      </c>
      <c r="D25" s="780">
        <f t="shared" si="4"/>
        <v>2.7129934518739662</v>
      </c>
      <c r="E25" s="794">
        <v>5.3036330052445599</v>
      </c>
      <c r="F25" s="794">
        <v>5.6266054705627608</v>
      </c>
      <c r="G25" s="794">
        <v>8.11</v>
      </c>
      <c r="P25" s="787"/>
      <c r="Q25" s="787"/>
      <c r="R25" s="788"/>
      <c r="S25" s="788"/>
      <c r="T25" s="788"/>
      <c r="U25" s="788"/>
      <c r="V25" s="788"/>
      <c r="W25" s="788"/>
      <c r="X25" s="788"/>
      <c r="Y25" s="788"/>
      <c r="Z25" s="788"/>
      <c r="AA25" s="788"/>
      <c r="AB25" s="788"/>
    </row>
    <row r="26" spans="1:28" s="786" customFormat="1" ht="13" customHeight="1">
      <c r="A26" s="803" t="s">
        <v>61</v>
      </c>
      <c r="B26" s="793">
        <v>21126.153999999999</v>
      </c>
      <c r="C26" s="980">
        <v>57135.498740000003</v>
      </c>
      <c r="D26" s="780">
        <f t="shared" si="4"/>
        <v>2.7044912547735858</v>
      </c>
      <c r="E26" s="794">
        <v>5.4609803577331046</v>
      </c>
      <c r="F26" s="794">
        <v>5.8193234400298932</v>
      </c>
      <c r="G26" s="794">
        <v>8.18</v>
      </c>
      <c r="P26" s="787"/>
      <c r="Q26" s="787"/>
      <c r="R26" s="788"/>
      <c r="S26" s="788"/>
      <c r="T26" s="788"/>
      <c r="U26" s="788"/>
      <c r="V26" s="788"/>
      <c r="W26" s="788"/>
      <c r="X26" s="788"/>
      <c r="Y26" s="788"/>
      <c r="Z26" s="788"/>
      <c r="AA26" s="788"/>
      <c r="AB26" s="788"/>
    </row>
    <row r="27" spans="1:28" s="786" customFormat="1" ht="13" customHeight="1">
      <c r="A27" s="803" t="s">
        <v>62</v>
      </c>
      <c r="B27" s="793">
        <v>22039.871999999999</v>
      </c>
      <c r="C27" s="980">
        <v>58655.181500000006</v>
      </c>
      <c r="D27" s="780">
        <f t="shared" si="4"/>
        <v>2.6613213316302384</v>
      </c>
      <c r="E27" s="794">
        <v>5.3217531557719235</v>
      </c>
      <c r="F27" s="794">
        <v>5.6648283147329446</v>
      </c>
      <c r="G27" s="794">
        <v>8.18</v>
      </c>
      <c r="P27" s="787"/>
      <c r="Q27" s="787"/>
      <c r="R27" s="788"/>
      <c r="S27" s="788"/>
      <c r="T27" s="788"/>
      <c r="U27" s="788"/>
      <c r="V27" s="788"/>
      <c r="W27" s="788"/>
      <c r="X27" s="788"/>
      <c r="Y27" s="788"/>
      <c r="Z27" s="788"/>
      <c r="AA27" s="788"/>
      <c r="AB27" s="788"/>
    </row>
    <row r="28" spans="1:28" s="786" customFormat="1" ht="13" customHeight="1">
      <c r="A28" s="803" t="s">
        <v>63</v>
      </c>
      <c r="B28" s="793">
        <v>19761.085999999999</v>
      </c>
      <c r="C28" s="980">
        <v>53332.617400000003</v>
      </c>
      <c r="D28" s="780">
        <f t="shared" si="4"/>
        <v>2.6988707705639259</v>
      </c>
      <c r="E28" s="795">
        <v>5.54</v>
      </c>
      <c r="F28" s="795">
        <v>5.86</v>
      </c>
      <c r="G28" s="795">
        <v>8.68</v>
      </c>
      <c r="P28" s="787"/>
      <c r="Q28" s="787"/>
      <c r="R28" s="788"/>
      <c r="S28" s="788"/>
      <c r="T28" s="788"/>
      <c r="U28" s="788"/>
      <c r="V28" s="788"/>
      <c r="W28" s="788"/>
      <c r="X28" s="788"/>
      <c r="Y28" s="788"/>
      <c r="Z28" s="788"/>
      <c r="AA28" s="788"/>
      <c r="AB28" s="788"/>
    </row>
    <row r="29" spans="1:28" s="786" customFormat="1" ht="13" customHeight="1">
      <c r="A29" s="803" t="s">
        <v>64</v>
      </c>
      <c r="B29" s="793">
        <v>24234.789000000001</v>
      </c>
      <c r="C29" s="980">
        <v>65030.051899999999</v>
      </c>
      <c r="D29" s="780">
        <f t="shared" si="4"/>
        <v>2.6833347672224419</v>
      </c>
      <c r="E29" s="795">
        <v>5.13</v>
      </c>
      <c r="F29" s="795">
        <v>5.41</v>
      </c>
      <c r="G29" s="795">
        <v>8.1</v>
      </c>
      <c r="P29" s="787"/>
      <c r="Q29" s="787"/>
      <c r="R29" s="788"/>
      <c r="S29" s="788"/>
      <c r="T29" s="788"/>
      <c r="U29" s="788"/>
      <c r="V29" s="788"/>
      <c r="W29" s="788"/>
      <c r="X29" s="788"/>
      <c r="Y29" s="788"/>
      <c r="Z29" s="788"/>
      <c r="AA29" s="788"/>
      <c r="AB29" s="788"/>
    </row>
    <row r="30" spans="1:28" s="786" customFormat="1" ht="16" customHeight="1">
      <c r="A30" s="783">
        <v>2021</v>
      </c>
      <c r="B30" s="781">
        <f>SUM(B31:B41)</f>
        <v>251774.81700000001</v>
      </c>
      <c r="C30" s="781">
        <f>SUM(C31:C41)</f>
        <v>675165.13820000004</v>
      </c>
      <c r="D30" s="929">
        <f>C30/B30</f>
        <v>2.6816229925012713</v>
      </c>
      <c r="E30" s="782">
        <f>AVERAGE(E31:E41)</f>
        <v>5.7963758020586429</v>
      </c>
      <c r="F30" s="782">
        <f>AVERAGE(F31:F41)</f>
        <v>6.1263222147696972</v>
      </c>
      <c r="G30" s="782">
        <f>AVERAGE(G31:G41)</f>
        <v>8.9081818181818182</v>
      </c>
      <c r="N30" s="959"/>
      <c r="P30" s="787"/>
      <c r="Q30" s="787"/>
      <c r="R30" s="788"/>
      <c r="S30" s="788"/>
      <c r="T30" s="788"/>
      <c r="U30" s="788"/>
      <c r="V30" s="788"/>
      <c r="W30" s="788"/>
      <c r="X30" s="788"/>
      <c r="Y30" s="788"/>
      <c r="Z30" s="788"/>
      <c r="AA30" s="788"/>
      <c r="AB30" s="788"/>
    </row>
    <row r="31" spans="1:28" s="786" customFormat="1" ht="13" customHeight="1">
      <c r="A31" s="803" t="s">
        <v>53</v>
      </c>
      <c r="B31" s="793">
        <v>21654.93</v>
      </c>
      <c r="C31" s="980">
        <v>57460.803</v>
      </c>
      <c r="D31" s="780">
        <f>C31/B31</f>
        <v>2.653474428224889</v>
      </c>
      <c r="E31" s="794">
        <v>5.8636696939200093</v>
      </c>
      <c r="F31" s="794">
        <v>6.201552701896758</v>
      </c>
      <c r="G31" s="794">
        <v>8.9700000000000006</v>
      </c>
      <c r="P31" s="787"/>
      <c r="Q31" s="787"/>
      <c r="R31" s="788"/>
      <c r="S31" s="788"/>
      <c r="T31" s="788"/>
      <c r="U31" s="788"/>
      <c r="V31" s="788"/>
      <c r="W31" s="788"/>
      <c r="X31" s="788"/>
      <c r="Y31" s="788"/>
      <c r="Z31" s="788"/>
      <c r="AA31" s="788"/>
      <c r="AB31" s="788"/>
    </row>
    <row r="32" spans="1:28" s="786" customFormat="1" ht="13" customHeight="1">
      <c r="A32" s="803" t="s">
        <v>54</v>
      </c>
      <c r="B32" s="793">
        <v>20716.379000000001</v>
      </c>
      <c r="C32" s="980">
        <v>55035.031699999992</v>
      </c>
      <c r="D32" s="780">
        <v>2.6565951366307785</v>
      </c>
      <c r="E32" s="794">
        <v>4.5561655612892107</v>
      </c>
      <c r="F32" s="794">
        <v>4.8979297387231275</v>
      </c>
      <c r="G32" s="794">
        <v>7.85</v>
      </c>
      <c r="P32" s="787"/>
      <c r="Q32" s="787"/>
      <c r="R32" s="788"/>
      <c r="S32" s="788"/>
      <c r="T32" s="788"/>
      <c r="U32" s="788"/>
      <c r="V32" s="788"/>
      <c r="W32" s="788"/>
      <c r="X32" s="788"/>
      <c r="Y32" s="788"/>
      <c r="Z32" s="788"/>
      <c r="AA32" s="788"/>
      <c r="AB32" s="788"/>
    </row>
    <row r="33" spans="1:28" s="786" customFormat="1" ht="13" customHeight="1">
      <c r="A33" s="803" t="s">
        <v>55</v>
      </c>
      <c r="B33" s="793">
        <v>22985.296999999999</v>
      </c>
      <c r="C33" s="980">
        <v>61586.3537</v>
      </c>
      <c r="D33" s="780">
        <v>2.6793803752024612</v>
      </c>
      <c r="E33" s="794">
        <v>5.6351479860221039</v>
      </c>
      <c r="F33" s="794">
        <v>6.0120253268866612</v>
      </c>
      <c r="G33" s="794">
        <v>8.57</v>
      </c>
      <c r="P33" s="787"/>
      <c r="Q33" s="787"/>
      <c r="R33" s="788"/>
      <c r="S33" s="788"/>
      <c r="T33" s="788"/>
      <c r="U33" s="788"/>
      <c r="V33" s="788"/>
      <c r="W33" s="788"/>
      <c r="X33" s="788"/>
      <c r="Y33" s="788"/>
      <c r="Z33" s="788"/>
      <c r="AA33" s="788"/>
      <c r="AB33" s="788"/>
    </row>
    <row r="34" spans="1:28" s="786" customFormat="1" ht="13" customHeight="1">
      <c r="A34" s="803" t="s">
        <v>56</v>
      </c>
      <c r="B34" s="793">
        <v>23184.924999999999</v>
      </c>
      <c r="C34" s="980">
        <v>63301.481599999999</v>
      </c>
      <c r="D34" s="780">
        <v>2.7302862355603912</v>
      </c>
      <c r="E34" s="794">
        <v>4.4723531501828218</v>
      </c>
      <c r="F34" s="794">
        <v>4.7938616062029098</v>
      </c>
      <c r="G34" s="794">
        <v>7.83</v>
      </c>
      <c r="P34" s="787"/>
      <c r="Q34" s="787"/>
      <c r="R34" s="788"/>
      <c r="S34" s="788"/>
      <c r="T34" s="788"/>
      <c r="U34" s="788"/>
      <c r="V34" s="788"/>
      <c r="W34" s="788"/>
      <c r="X34" s="788"/>
      <c r="Y34" s="788"/>
      <c r="Z34" s="788"/>
      <c r="AA34" s="788"/>
      <c r="AB34" s="788"/>
    </row>
    <row r="35" spans="1:28" s="786" customFormat="1" ht="13" customHeight="1">
      <c r="A35" s="803" t="s">
        <v>57</v>
      </c>
      <c r="B35" s="793">
        <v>23302.545999999998</v>
      </c>
      <c r="C35" s="980">
        <v>62173.6302</v>
      </c>
      <c r="D35" s="780">
        <v>2.6681046011023857</v>
      </c>
      <c r="E35" s="794">
        <v>5.5757328840997937</v>
      </c>
      <c r="F35" s="794">
        <v>5.8682653342960158</v>
      </c>
      <c r="G35" s="794">
        <v>8.59</v>
      </c>
      <c r="P35" s="787"/>
      <c r="Q35" s="787"/>
      <c r="R35" s="788"/>
      <c r="S35" s="788"/>
      <c r="T35" s="788"/>
      <c r="U35" s="788"/>
      <c r="V35" s="788"/>
      <c r="W35" s="788"/>
      <c r="X35" s="788"/>
      <c r="Y35" s="788"/>
      <c r="Z35" s="788"/>
      <c r="AA35" s="788"/>
      <c r="AB35" s="788"/>
    </row>
    <row r="36" spans="1:28" s="786" customFormat="1" ht="13" customHeight="1">
      <c r="A36" s="803" t="s">
        <v>58</v>
      </c>
      <c r="B36" s="793">
        <v>22906.569</v>
      </c>
      <c r="C36" s="980">
        <v>61578.905299999999</v>
      </c>
      <c r="D36" s="780">
        <v>2.6882640215564364</v>
      </c>
      <c r="E36" s="794">
        <v>5.766866932108325</v>
      </c>
      <c r="F36" s="794">
        <v>6.0662526085048807</v>
      </c>
      <c r="G36" s="794">
        <v>8.77</v>
      </c>
      <c r="P36" s="787"/>
      <c r="Q36" s="787"/>
      <c r="R36" s="788"/>
      <c r="S36" s="788"/>
      <c r="T36" s="788"/>
      <c r="U36" s="788"/>
      <c r="V36" s="788"/>
      <c r="W36" s="788"/>
      <c r="X36" s="788"/>
      <c r="Y36" s="788"/>
      <c r="Z36" s="788"/>
      <c r="AA36" s="788"/>
      <c r="AB36" s="788"/>
    </row>
    <row r="37" spans="1:28" s="786" customFormat="1" ht="13" customHeight="1">
      <c r="A37" s="803" t="s">
        <v>59</v>
      </c>
      <c r="B37" s="793">
        <v>24033.037</v>
      </c>
      <c r="C37" s="980">
        <v>65297.702300000004</v>
      </c>
      <c r="D37" s="780">
        <v>2.7169975355174629</v>
      </c>
      <c r="E37" s="794">
        <v>6.1141255515050474</v>
      </c>
      <c r="F37" s="794">
        <v>6.4321282947348051</v>
      </c>
      <c r="G37" s="794">
        <v>9.1300000000000008</v>
      </c>
      <c r="P37" s="787"/>
      <c r="Q37" s="787"/>
      <c r="R37" s="788"/>
      <c r="S37" s="788"/>
      <c r="T37" s="788"/>
      <c r="U37" s="788"/>
      <c r="V37" s="788"/>
      <c r="W37" s="788"/>
      <c r="X37" s="788"/>
      <c r="Y37" s="788"/>
      <c r="Z37" s="788"/>
      <c r="AA37" s="788"/>
      <c r="AB37" s="788"/>
    </row>
    <row r="38" spans="1:28" s="786" customFormat="1" ht="13" customHeight="1">
      <c r="A38" s="803" t="s">
        <v>60</v>
      </c>
      <c r="B38" s="793">
        <v>23533.754000000001</v>
      </c>
      <c r="C38" s="980">
        <v>62619.877900000021</v>
      </c>
      <c r="D38" s="780">
        <v>2.6608537634922174</v>
      </c>
      <c r="E38" s="794">
        <v>6.3532643497217665</v>
      </c>
      <c r="F38" s="794">
        <v>6.7241333836104422</v>
      </c>
      <c r="G38" s="794">
        <v>9.4700000000000006</v>
      </c>
      <c r="P38" s="787"/>
      <c r="Q38" s="787"/>
      <c r="R38" s="788"/>
      <c r="S38" s="788"/>
      <c r="T38" s="788"/>
      <c r="U38" s="788"/>
      <c r="V38" s="788"/>
      <c r="W38" s="788"/>
      <c r="X38" s="788"/>
      <c r="Y38" s="788"/>
      <c r="Z38" s="788"/>
      <c r="AA38" s="788"/>
      <c r="AB38" s="788"/>
    </row>
    <row r="39" spans="1:28" s="786" customFormat="1" ht="13" customHeight="1">
      <c r="A39" s="803" t="s">
        <v>61</v>
      </c>
      <c r="B39" s="793">
        <v>23136.370999999999</v>
      </c>
      <c r="C39" s="980">
        <v>62521.412100000001</v>
      </c>
      <c r="D39" s="780">
        <v>2.7022998593858993</v>
      </c>
      <c r="E39" s="794">
        <v>6.3210720257708317</v>
      </c>
      <c r="F39" s="794">
        <v>6.6620126087971068</v>
      </c>
      <c r="G39" s="794">
        <v>9.48</v>
      </c>
      <c r="P39" s="787"/>
      <c r="Q39" s="787"/>
      <c r="R39" s="788"/>
      <c r="S39" s="788"/>
      <c r="T39" s="788"/>
      <c r="U39" s="788"/>
      <c r="V39" s="788"/>
      <c r="W39" s="788"/>
      <c r="X39" s="788"/>
      <c r="Y39" s="788"/>
      <c r="Z39" s="788"/>
      <c r="AA39" s="788"/>
      <c r="AB39" s="788"/>
    </row>
    <row r="40" spans="1:28" s="786" customFormat="1" ht="13" customHeight="1">
      <c r="A40" s="803" t="s">
        <v>62</v>
      </c>
      <c r="B40" s="793">
        <v>23250.552</v>
      </c>
      <c r="C40" s="980">
        <v>62120.111400000009</v>
      </c>
      <c r="D40" s="780">
        <v>2.6717693154123827</v>
      </c>
      <c r="E40" s="794">
        <v>6.5036388327532828</v>
      </c>
      <c r="F40" s="794">
        <v>6.7931108963690603</v>
      </c>
      <c r="G40" s="794">
        <v>9.6300000000000008</v>
      </c>
      <c r="P40" s="787"/>
      <c r="Q40" s="787"/>
      <c r="R40" s="788"/>
      <c r="S40" s="788"/>
      <c r="T40" s="788"/>
      <c r="U40" s="788"/>
      <c r="V40" s="788"/>
      <c r="W40" s="788"/>
      <c r="X40" s="788"/>
      <c r="Y40" s="788"/>
      <c r="Z40" s="788"/>
      <c r="AA40" s="788"/>
      <c r="AB40" s="788"/>
    </row>
    <row r="41" spans="1:28" s="786" customFormat="1" ht="13" customHeight="1">
      <c r="A41" s="803" t="s">
        <v>63</v>
      </c>
      <c r="B41" s="793">
        <v>23070.456999999999</v>
      </c>
      <c r="C41" s="980">
        <v>61469.828999999991</v>
      </c>
      <c r="D41" s="780">
        <v>2.6644391569703187</v>
      </c>
      <c r="E41" s="795">
        <v>6.5980968552718773</v>
      </c>
      <c r="F41" s="795">
        <v>6.9382718624449087</v>
      </c>
      <c r="G41" s="795">
        <v>9.6999999999999993</v>
      </c>
      <c r="P41" s="787"/>
      <c r="Q41" s="787"/>
      <c r="R41" s="788"/>
      <c r="S41" s="788"/>
      <c r="T41" s="788"/>
      <c r="U41" s="788"/>
      <c r="V41" s="788"/>
      <c r="W41" s="788"/>
      <c r="X41" s="788"/>
      <c r="Y41" s="788"/>
      <c r="Z41" s="788"/>
      <c r="AA41" s="788"/>
      <c r="AB41" s="788"/>
    </row>
    <row r="42" spans="1:28" s="786" customFormat="1" ht="13" customHeight="1">
      <c r="A42" s="803" t="s">
        <v>64</v>
      </c>
      <c r="B42" s="793">
        <v>24203.981</v>
      </c>
      <c r="C42" s="980">
        <v>63889.959700000007</v>
      </c>
      <c r="D42" s="780">
        <v>2.6396467465414064</v>
      </c>
      <c r="E42" s="795">
        <v>6.8923359262034412</v>
      </c>
      <c r="F42" s="795">
        <v>7.274539783376949</v>
      </c>
      <c r="G42" s="795">
        <v>10.07</v>
      </c>
      <c r="P42" s="787"/>
      <c r="Q42" s="787"/>
      <c r="R42" s="788"/>
      <c r="S42" s="788"/>
      <c r="T42" s="788"/>
      <c r="U42" s="788"/>
      <c r="V42" s="788"/>
      <c r="W42" s="788"/>
      <c r="X42" s="788"/>
      <c r="Y42" s="788"/>
      <c r="Z42" s="788"/>
      <c r="AA42" s="788"/>
      <c r="AB42" s="788"/>
    </row>
    <row r="43" spans="1:28" s="786" customFormat="1" ht="16" customHeight="1">
      <c r="A43" s="783">
        <v>2022</v>
      </c>
      <c r="B43" s="781">
        <f>SUM(B44:B55)</f>
        <v>273732.33400000003</v>
      </c>
      <c r="C43" s="781">
        <f>SUM(C44:C55)</f>
        <v>742698.02385399991</v>
      </c>
      <c r="D43" s="929">
        <f>C43/B43</f>
        <v>2.7132272355300189</v>
      </c>
      <c r="E43" s="782">
        <f>AVERAGE(E44:E55)</f>
        <v>5.9829980202391839</v>
      </c>
      <c r="F43" s="782">
        <f t="shared" ref="F43" si="5">AVERAGE(F44:F55)</f>
        <v>6.3031254596511621</v>
      </c>
      <c r="G43" s="782">
        <f t="shared" ref="G43" si="6">AVERAGE(G44:G55)</f>
        <v>9.67</v>
      </c>
      <c r="P43" s="787"/>
      <c r="Q43" s="787"/>
      <c r="R43" s="788"/>
      <c r="S43" s="788"/>
      <c r="T43" s="788"/>
      <c r="U43" s="788"/>
      <c r="V43" s="788"/>
      <c r="W43" s="788"/>
      <c r="X43" s="788"/>
      <c r="Y43" s="788"/>
      <c r="Z43" s="788"/>
      <c r="AA43" s="788"/>
      <c r="AB43" s="788"/>
    </row>
    <row r="44" spans="1:28" s="786" customFormat="1" ht="13" customHeight="1">
      <c r="A44" s="803" t="s">
        <v>53</v>
      </c>
      <c r="B44" s="793">
        <v>22716.588</v>
      </c>
      <c r="C44" s="980">
        <v>61592.302699999986</v>
      </c>
      <c r="D44" s="780">
        <v>2.7113359937680772</v>
      </c>
      <c r="E44" s="794">
        <v>5.2347218154907553</v>
      </c>
      <c r="F44" s="794">
        <v>5.6221717433694876</v>
      </c>
      <c r="G44" s="794">
        <v>9.23</v>
      </c>
      <c r="I44" s="796"/>
      <c r="P44" s="787"/>
      <c r="Q44" s="787"/>
      <c r="R44" s="788"/>
      <c r="S44" s="788"/>
      <c r="T44" s="788"/>
      <c r="U44" s="788"/>
      <c r="V44" s="788"/>
      <c r="W44" s="788"/>
      <c r="X44" s="788"/>
      <c r="Y44" s="788"/>
      <c r="Z44" s="788"/>
      <c r="AA44" s="788"/>
      <c r="AB44" s="788"/>
    </row>
    <row r="45" spans="1:28" s="786" customFormat="1" ht="13" customHeight="1">
      <c r="A45" s="803" t="s">
        <v>54</v>
      </c>
      <c r="B45" s="793">
        <v>21886.037</v>
      </c>
      <c r="C45" s="980">
        <v>58463.845400000006</v>
      </c>
      <c r="D45" s="780">
        <v>2.6712851394704309</v>
      </c>
      <c r="E45" s="794">
        <v>5.0973362521070156</v>
      </c>
      <c r="F45" s="794">
        <v>5.4097468700887044</v>
      </c>
      <c r="G45" s="794">
        <v>8.6999999999999993</v>
      </c>
      <c r="H45" s="796"/>
      <c r="I45" s="796"/>
      <c r="P45" s="787"/>
      <c r="Q45" s="787"/>
      <c r="R45" s="788"/>
      <c r="S45" s="788"/>
      <c r="T45" s="788"/>
      <c r="U45" s="788"/>
      <c r="V45" s="788"/>
      <c r="W45" s="788"/>
      <c r="X45" s="788"/>
      <c r="Y45" s="788"/>
      <c r="Z45" s="788"/>
      <c r="AA45" s="788"/>
      <c r="AB45" s="788"/>
    </row>
    <row r="46" spans="1:28" s="786" customFormat="1" ht="13" customHeight="1">
      <c r="A46" s="803" t="s">
        <v>55</v>
      </c>
      <c r="B46" s="793">
        <v>22878.09</v>
      </c>
      <c r="C46" s="980">
        <v>61360.097000000002</v>
      </c>
      <c r="D46" s="780">
        <v>2.6820463159293455</v>
      </c>
      <c r="E46" s="794">
        <v>6.0357758258921921</v>
      </c>
      <c r="F46" s="794">
        <v>6.3707087378789486</v>
      </c>
      <c r="G46" s="794">
        <v>9.4</v>
      </c>
      <c r="H46" s="796"/>
      <c r="I46" s="796"/>
      <c r="P46" s="787"/>
      <c r="Q46" s="787"/>
      <c r="R46" s="788"/>
      <c r="S46" s="788"/>
      <c r="T46" s="788"/>
      <c r="U46" s="788"/>
      <c r="V46" s="788"/>
      <c r="W46" s="788"/>
      <c r="X46" s="788"/>
      <c r="Y46" s="788"/>
      <c r="Z46" s="788"/>
      <c r="AA46" s="788"/>
      <c r="AB46" s="788"/>
    </row>
    <row r="47" spans="1:28" s="786" customFormat="1" ht="13" customHeight="1">
      <c r="A47" s="803" t="s">
        <v>56</v>
      </c>
      <c r="B47" s="793">
        <v>22069.419000000002</v>
      </c>
      <c r="C47" s="980">
        <v>60352.983400000005</v>
      </c>
      <c r="D47" s="780">
        <v>2.7346883667395145</v>
      </c>
      <c r="E47" s="794">
        <v>5.4934282450733001</v>
      </c>
      <c r="F47" s="794">
        <v>5.8550649719662413</v>
      </c>
      <c r="G47" s="794">
        <v>9.4</v>
      </c>
      <c r="H47" s="796"/>
      <c r="I47" s="796"/>
      <c r="P47" s="787"/>
      <c r="Q47" s="787"/>
      <c r="R47" s="788"/>
      <c r="S47" s="788"/>
      <c r="T47" s="788"/>
      <c r="U47" s="788"/>
      <c r="V47" s="788"/>
      <c r="W47" s="788"/>
      <c r="X47" s="788"/>
      <c r="Y47" s="788"/>
      <c r="Z47" s="788"/>
      <c r="AA47" s="788"/>
      <c r="AB47" s="788"/>
    </row>
    <row r="48" spans="1:28" s="786" customFormat="1" ht="13" customHeight="1">
      <c r="A48" s="803" t="s">
        <v>57</v>
      </c>
      <c r="B48" s="793">
        <v>24142.956999999999</v>
      </c>
      <c r="C48" s="980">
        <v>65234.956299999998</v>
      </c>
      <c r="D48" s="780">
        <v>2.7020284342137542</v>
      </c>
      <c r="E48" s="794">
        <v>5.6970712699013495</v>
      </c>
      <c r="F48" s="794">
        <v>6.073655107024269</v>
      </c>
      <c r="G48" s="794">
        <v>9.2200000000000006</v>
      </c>
      <c r="H48" s="796"/>
      <c r="I48" s="796"/>
      <c r="P48" s="787"/>
      <c r="Q48" s="787"/>
      <c r="R48" s="788"/>
      <c r="S48" s="788"/>
      <c r="T48" s="788"/>
      <c r="U48" s="788"/>
      <c r="V48" s="788"/>
      <c r="W48" s="788"/>
      <c r="X48" s="788"/>
      <c r="Y48" s="788"/>
      <c r="Z48" s="788"/>
      <c r="AA48" s="788"/>
      <c r="AB48" s="788"/>
    </row>
    <row r="49" spans="1:28" s="786" customFormat="1" ht="13" customHeight="1">
      <c r="A49" s="803" t="s">
        <v>58</v>
      </c>
      <c r="B49" s="793">
        <v>22827.151000000002</v>
      </c>
      <c r="C49" s="980">
        <v>61030.23139999999</v>
      </c>
      <c r="D49" s="780">
        <v>2.6735807460160048</v>
      </c>
      <c r="E49" s="794">
        <v>6.1654749599556657</v>
      </c>
      <c r="F49" s="794">
        <v>6.6429756837363065</v>
      </c>
      <c r="G49" s="794">
        <v>9.6199999999999992</v>
      </c>
      <c r="H49" s="796"/>
      <c r="I49" s="796"/>
      <c r="P49" s="787"/>
      <c r="Q49" s="787"/>
      <c r="R49" s="788"/>
      <c r="S49" s="788"/>
      <c r="T49" s="788"/>
      <c r="U49" s="788"/>
      <c r="V49" s="788"/>
      <c r="W49" s="788"/>
      <c r="X49" s="788"/>
      <c r="Y49" s="788"/>
      <c r="Z49" s="788"/>
      <c r="AA49" s="788"/>
      <c r="AB49" s="788"/>
    </row>
    <row r="50" spans="1:28" s="786" customFormat="1" ht="13" customHeight="1">
      <c r="A50" s="803" t="s">
        <v>59</v>
      </c>
      <c r="B50" s="793">
        <v>22524.896000000001</v>
      </c>
      <c r="C50" s="980">
        <v>61314.780999999988</v>
      </c>
      <c r="D50" s="780">
        <v>2.7220894160843181</v>
      </c>
      <c r="E50" s="794">
        <v>6.233388384931196</v>
      </c>
      <c r="F50" s="794">
        <v>6.5934059462595176</v>
      </c>
      <c r="G50" s="794">
        <v>9.94</v>
      </c>
      <c r="H50" s="796"/>
      <c r="I50" s="796"/>
      <c r="P50" s="787"/>
      <c r="Q50" s="787"/>
      <c r="R50" s="788"/>
      <c r="S50" s="788"/>
      <c r="T50" s="788"/>
      <c r="U50" s="788"/>
      <c r="V50" s="788"/>
      <c r="W50" s="788"/>
      <c r="X50" s="788"/>
      <c r="Y50" s="788"/>
      <c r="Z50" s="788"/>
      <c r="AA50" s="788"/>
      <c r="AB50" s="788"/>
    </row>
    <row r="51" spans="1:28" s="786" customFormat="1" ht="13" customHeight="1">
      <c r="A51" s="803" t="s">
        <v>60</v>
      </c>
      <c r="B51" s="793">
        <v>22813.883000000002</v>
      </c>
      <c r="C51" s="980">
        <v>60011.15535399998</v>
      </c>
      <c r="D51" s="780">
        <v>2.6304665169887991</v>
      </c>
      <c r="E51" s="794">
        <v>6.9715826537484542</v>
      </c>
      <c r="F51" s="794">
        <v>7.268232300570884</v>
      </c>
      <c r="G51" s="794">
        <v>10.5</v>
      </c>
      <c r="H51" s="796"/>
      <c r="I51" s="796"/>
      <c r="P51" s="787"/>
      <c r="Q51" s="787"/>
      <c r="R51" s="788"/>
      <c r="S51" s="788"/>
      <c r="T51" s="788"/>
      <c r="U51" s="788"/>
      <c r="V51" s="788"/>
      <c r="W51" s="788"/>
      <c r="X51" s="788"/>
      <c r="Y51" s="788"/>
      <c r="Z51" s="788"/>
      <c r="AA51" s="788"/>
      <c r="AB51" s="788"/>
    </row>
    <row r="52" spans="1:28" s="786" customFormat="1" ht="13" customHeight="1">
      <c r="A52" s="803" t="s">
        <v>61</v>
      </c>
      <c r="B52" s="793">
        <v>21937.612000000001</v>
      </c>
      <c r="C52" s="980">
        <v>60593.062999999995</v>
      </c>
      <c r="D52" s="780">
        <v>2.7620628443971018</v>
      </c>
      <c r="E52" s="794">
        <v>6.5826292107398494</v>
      </c>
      <c r="F52" s="794">
        <v>6.8529579174269504</v>
      </c>
      <c r="G52" s="794">
        <v>10.6</v>
      </c>
      <c r="H52" s="796"/>
      <c r="I52" s="796"/>
      <c r="P52" s="787"/>
      <c r="Q52" s="787"/>
      <c r="R52" s="788"/>
      <c r="S52" s="788"/>
      <c r="T52" s="788"/>
      <c r="U52" s="788"/>
      <c r="V52" s="788"/>
      <c r="W52" s="788"/>
      <c r="X52" s="788"/>
      <c r="Y52" s="788"/>
      <c r="Z52" s="788"/>
      <c r="AA52" s="788"/>
      <c r="AB52" s="788"/>
    </row>
    <row r="53" spans="1:28" s="786" customFormat="1" ht="13" customHeight="1">
      <c r="A53" s="803" t="s">
        <v>62</v>
      </c>
      <c r="B53" s="793">
        <v>23473.1</v>
      </c>
      <c r="C53" s="980">
        <v>64635.02399999999</v>
      </c>
      <c r="D53" s="780">
        <v>2.7535785217972912</v>
      </c>
      <c r="E53" s="795">
        <v>6.2293167206374083</v>
      </c>
      <c r="F53" s="795">
        <v>6.3627416301261084</v>
      </c>
      <c r="G53" s="794">
        <v>9.6199999999999992</v>
      </c>
      <c r="H53" s="796"/>
      <c r="I53" s="796"/>
      <c r="P53" s="787"/>
      <c r="Q53" s="787"/>
      <c r="R53" s="788"/>
      <c r="S53" s="788"/>
      <c r="T53" s="788"/>
      <c r="U53" s="788"/>
      <c r="V53" s="788"/>
      <c r="W53" s="788"/>
      <c r="X53" s="788"/>
      <c r="Y53" s="788"/>
      <c r="Z53" s="788"/>
      <c r="AA53" s="788"/>
      <c r="AB53" s="788"/>
    </row>
    <row r="54" spans="1:28" s="786" customFormat="1" ht="13" customHeight="1">
      <c r="A54" s="803" t="s">
        <v>63</v>
      </c>
      <c r="B54" s="793">
        <v>22981.510999999999</v>
      </c>
      <c r="C54" s="980">
        <v>63168.865700000002</v>
      </c>
      <c r="D54" s="780">
        <v>2.748682003546242</v>
      </c>
      <c r="E54" s="795">
        <v>6.2680039903898415</v>
      </c>
      <c r="F54" s="795">
        <v>6.5298785126673557</v>
      </c>
      <c r="G54" s="795">
        <v>9.9600000000000009</v>
      </c>
      <c r="H54" s="796"/>
      <c r="I54" s="796"/>
      <c r="P54" s="787"/>
      <c r="Q54" s="787"/>
      <c r="R54" s="788"/>
      <c r="S54" s="788"/>
      <c r="T54" s="788"/>
      <c r="U54" s="788"/>
      <c r="V54" s="788"/>
      <c r="W54" s="788"/>
      <c r="X54" s="788"/>
      <c r="Y54" s="788"/>
      <c r="Z54" s="788"/>
      <c r="AA54" s="788"/>
      <c r="AB54" s="788"/>
    </row>
    <row r="55" spans="1:28" s="786" customFormat="1" ht="13" customHeight="1">
      <c r="A55" s="803" t="s">
        <v>64</v>
      </c>
      <c r="B55" s="793">
        <v>23481.09</v>
      </c>
      <c r="C55" s="980">
        <v>64940.7186</v>
      </c>
      <c r="D55" s="780">
        <v>2.7656603079328943</v>
      </c>
      <c r="E55" s="795">
        <v>5.7872469140031972</v>
      </c>
      <c r="F55" s="795">
        <v>6.0559660946991745</v>
      </c>
      <c r="G55" s="795">
        <v>9.85</v>
      </c>
      <c r="H55" s="796"/>
      <c r="I55" s="796"/>
      <c r="P55" s="787"/>
      <c r="Q55" s="787"/>
      <c r="R55" s="788"/>
      <c r="S55" s="788"/>
      <c r="T55" s="788"/>
      <c r="U55" s="788"/>
      <c r="V55" s="788"/>
      <c r="W55" s="788"/>
      <c r="X55" s="788"/>
      <c r="Y55" s="788"/>
      <c r="Z55" s="788"/>
      <c r="AA55" s="788"/>
      <c r="AB55" s="788"/>
    </row>
    <row r="56" spans="1:28" s="786" customFormat="1" ht="13" customHeight="1">
      <c r="A56" s="783">
        <v>2023</v>
      </c>
      <c r="B56" s="781">
        <f>SUM(B57:B68)</f>
        <v>255716.90899999999</v>
      </c>
      <c r="C56" s="781">
        <f>SUM(C57:C68)</f>
        <v>690038.83260000008</v>
      </c>
      <c r="D56" s="929">
        <f>C56/B56</f>
        <v>2.6984481992154854</v>
      </c>
      <c r="E56" s="782">
        <f>AVERAGE(E57:E68)</f>
        <v>6.5328192495299815</v>
      </c>
      <c r="F56" s="782">
        <f t="shared" ref="F56:G56" si="7">AVERAGE(F57:F68)</f>
        <v>6.7790731555910524</v>
      </c>
      <c r="G56" s="782">
        <f t="shared" si="7"/>
        <v>10.557499999999999</v>
      </c>
      <c r="H56" s="796"/>
      <c r="I56" s="796"/>
      <c r="P56" s="787"/>
      <c r="Q56" s="787"/>
      <c r="R56" s="788"/>
      <c r="S56" s="788"/>
      <c r="T56" s="788"/>
      <c r="U56" s="788"/>
      <c r="V56" s="788"/>
      <c r="W56" s="788"/>
      <c r="X56" s="788"/>
      <c r="Y56" s="788"/>
      <c r="Z56" s="788"/>
      <c r="AA56" s="788"/>
      <c r="AB56" s="788"/>
    </row>
    <row r="57" spans="1:28" s="786" customFormat="1" ht="13" customHeight="1">
      <c r="A57" s="803" t="s">
        <v>53</v>
      </c>
      <c r="B57" s="793">
        <v>23101.342000000001</v>
      </c>
      <c r="C57" s="980">
        <v>63686.600299999991</v>
      </c>
      <c r="D57" s="780">
        <f t="shared" ref="D57:D68" si="8">C57/B57</f>
        <v>2.7568355249664713</v>
      </c>
      <c r="E57" s="794">
        <v>5.4912104348110411</v>
      </c>
      <c r="F57" s="794">
        <v>5.7855366100457406</v>
      </c>
      <c r="G57" s="794">
        <v>9.85</v>
      </c>
      <c r="H57" s="796"/>
      <c r="I57" s="796"/>
      <c r="P57" s="787"/>
      <c r="Q57" s="787"/>
      <c r="R57" s="788"/>
      <c r="S57" s="788"/>
      <c r="T57" s="788"/>
      <c r="U57" s="788"/>
      <c r="V57" s="788"/>
      <c r="W57" s="788"/>
      <c r="X57" s="788"/>
      <c r="Y57" s="788"/>
      <c r="Z57" s="788"/>
      <c r="AA57" s="788"/>
      <c r="AB57" s="788"/>
    </row>
    <row r="58" spans="1:28" s="786" customFormat="1" ht="13" customHeight="1">
      <c r="A58" s="803" t="s">
        <v>54</v>
      </c>
      <c r="B58" s="793">
        <v>20375.572</v>
      </c>
      <c r="C58" s="980">
        <v>54225.811900000001</v>
      </c>
      <c r="D58" s="780">
        <f t="shared" si="8"/>
        <v>2.6613148283640822</v>
      </c>
      <c r="E58" s="794">
        <v>7.3515982240369171</v>
      </c>
      <c r="F58" s="794">
        <v>7.6307476688606304</v>
      </c>
      <c r="G58" s="794">
        <v>10.69</v>
      </c>
      <c r="H58" s="796"/>
      <c r="I58" s="796"/>
      <c r="P58" s="787"/>
      <c r="Q58" s="787"/>
      <c r="R58" s="788"/>
      <c r="S58" s="788"/>
      <c r="T58" s="788"/>
      <c r="U58" s="788"/>
      <c r="V58" s="788"/>
      <c r="W58" s="788"/>
      <c r="X58" s="788"/>
      <c r="Y58" s="788"/>
      <c r="Z58" s="788"/>
      <c r="AA58" s="788"/>
      <c r="AB58" s="788"/>
    </row>
    <row r="59" spans="1:28" s="786" customFormat="1" ht="13" customHeight="1">
      <c r="A59" s="803" t="s">
        <v>55</v>
      </c>
      <c r="B59" s="793">
        <v>19789.850999999999</v>
      </c>
      <c r="C59" s="980">
        <v>51860.115199999993</v>
      </c>
      <c r="D59" s="780">
        <f t="shared" si="8"/>
        <v>2.6205409631431786</v>
      </c>
      <c r="E59" s="794">
        <v>8.2700821391542139</v>
      </c>
      <c r="F59" s="794">
        <v>8.6160431153072352</v>
      </c>
      <c r="G59" s="794">
        <v>12.4</v>
      </c>
      <c r="H59" s="796"/>
      <c r="I59" s="796"/>
      <c r="P59" s="787"/>
      <c r="Q59" s="787"/>
      <c r="R59" s="788"/>
      <c r="S59" s="788"/>
      <c r="T59" s="788"/>
      <c r="U59" s="788"/>
      <c r="V59" s="788"/>
      <c r="W59" s="788"/>
      <c r="X59" s="788"/>
      <c r="Y59" s="788"/>
      <c r="Z59" s="788"/>
      <c r="AA59" s="788"/>
      <c r="AB59" s="788"/>
    </row>
    <row r="60" spans="1:28" s="786" customFormat="1" ht="13" customHeight="1">
      <c r="A60" s="803" t="s">
        <v>56</v>
      </c>
      <c r="B60" s="793">
        <v>18481.8</v>
      </c>
      <c r="C60" s="980">
        <v>48514.087799999994</v>
      </c>
      <c r="D60" s="780">
        <f t="shared" si="8"/>
        <v>2.6249655228386843</v>
      </c>
      <c r="E60" s="794">
        <v>8.3765035318256551</v>
      </c>
      <c r="F60" s="794">
        <v>8.693472646186704</v>
      </c>
      <c r="G60" s="794">
        <v>12.58</v>
      </c>
      <c r="H60" s="796"/>
      <c r="I60" s="796"/>
      <c r="P60" s="787"/>
      <c r="Q60" s="787"/>
      <c r="R60" s="788"/>
      <c r="S60" s="788"/>
      <c r="T60" s="788"/>
      <c r="U60" s="788"/>
      <c r="V60" s="788"/>
      <c r="W60" s="788"/>
      <c r="X60" s="788"/>
      <c r="Y60" s="788"/>
      <c r="Z60" s="788"/>
      <c r="AA60" s="788"/>
      <c r="AB60" s="788"/>
    </row>
    <row r="61" spans="1:28" s="786" customFormat="1" ht="13" customHeight="1">
      <c r="A61" s="803" t="s">
        <v>57</v>
      </c>
      <c r="B61" s="793">
        <v>20344.741000000002</v>
      </c>
      <c r="C61" s="980">
        <v>54266.006199999996</v>
      </c>
      <c r="D61" s="780">
        <f t="shared" si="8"/>
        <v>2.6673235211006121</v>
      </c>
      <c r="E61" s="794">
        <v>7.5488395272950823</v>
      </c>
      <c r="F61" s="794">
        <v>7.8553727832471312</v>
      </c>
      <c r="G61" s="794">
        <v>12.08</v>
      </c>
      <c r="H61" s="796"/>
      <c r="I61" s="796"/>
      <c r="P61" s="787"/>
      <c r="Q61" s="787"/>
      <c r="R61" s="788"/>
      <c r="S61" s="788"/>
      <c r="T61" s="788"/>
      <c r="U61" s="788"/>
      <c r="V61" s="788"/>
      <c r="W61" s="788"/>
      <c r="X61" s="788"/>
      <c r="Y61" s="788"/>
      <c r="Z61" s="788"/>
      <c r="AA61" s="788"/>
      <c r="AB61" s="788"/>
    </row>
    <row r="62" spans="1:28" s="786" customFormat="1" ht="13" customHeight="1">
      <c r="A62" s="803" t="s">
        <v>58</v>
      </c>
      <c r="B62" s="793">
        <v>21678.757000000001</v>
      </c>
      <c r="C62" s="980">
        <v>59439.2863</v>
      </c>
      <c r="D62" s="780">
        <f t="shared" si="8"/>
        <v>2.7418216966959865</v>
      </c>
      <c r="E62" s="794">
        <v>5.7605219919169866</v>
      </c>
      <c r="F62" s="794">
        <v>5.9755299361829648</v>
      </c>
      <c r="G62" s="794">
        <v>10.09</v>
      </c>
      <c r="H62" s="796"/>
      <c r="I62" s="796"/>
      <c r="P62" s="787"/>
      <c r="Q62" s="787"/>
      <c r="R62" s="788"/>
      <c r="S62" s="788"/>
      <c r="T62" s="788"/>
      <c r="U62" s="788"/>
      <c r="V62" s="788"/>
      <c r="W62" s="788"/>
      <c r="X62" s="788"/>
      <c r="Y62" s="788"/>
      <c r="Z62" s="788"/>
      <c r="AA62" s="788"/>
      <c r="AB62" s="788"/>
    </row>
    <row r="63" spans="1:28" s="786" customFormat="1" ht="13" customHeight="1">
      <c r="A63" s="803" t="s">
        <v>59</v>
      </c>
      <c r="B63" s="793">
        <v>21355.865000000002</v>
      </c>
      <c r="C63" s="980">
        <v>57778.340100000001</v>
      </c>
      <c r="D63" s="780">
        <f t="shared" si="8"/>
        <v>2.7055022168383251</v>
      </c>
      <c r="E63" s="794">
        <v>6.9327453239176737</v>
      </c>
      <c r="F63" s="794">
        <v>7.120000000000001</v>
      </c>
      <c r="G63" s="794">
        <v>10.47</v>
      </c>
      <c r="H63" s="796"/>
      <c r="I63" s="796"/>
      <c r="P63" s="787"/>
      <c r="Q63" s="787"/>
      <c r="R63" s="788"/>
      <c r="S63" s="788"/>
      <c r="T63" s="788"/>
      <c r="U63" s="788"/>
      <c r="V63" s="788"/>
      <c r="W63" s="788"/>
      <c r="X63" s="788"/>
      <c r="Y63" s="788"/>
      <c r="Z63" s="788"/>
      <c r="AA63" s="788"/>
      <c r="AB63" s="788"/>
    </row>
    <row r="64" spans="1:28" s="786" customFormat="1" ht="13" customHeight="1">
      <c r="A64" s="803" t="s">
        <v>60</v>
      </c>
      <c r="B64" s="793">
        <v>21322.773000000001</v>
      </c>
      <c r="C64" s="980">
        <v>59322.989400000006</v>
      </c>
      <c r="D64" s="780">
        <f t="shared" si="8"/>
        <v>2.7821423320503391</v>
      </c>
      <c r="E64" s="794">
        <v>6.1864493040871595</v>
      </c>
      <c r="F64" s="794">
        <v>6.4121219463191776</v>
      </c>
      <c r="G64" s="794">
        <v>10.050000000000001</v>
      </c>
      <c r="H64" s="796"/>
      <c r="I64" s="796"/>
      <c r="P64" s="787"/>
      <c r="Q64" s="787"/>
      <c r="R64" s="788"/>
      <c r="S64" s="788"/>
      <c r="T64" s="788"/>
      <c r="U64" s="788"/>
      <c r="V64" s="788"/>
      <c r="W64" s="788"/>
      <c r="X64" s="788"/>
      <c r="Y64" s="788"/>
      <c r="Z64" s="788"/>
      <c r="AA64" s="788"/>
      <c r="AB64" s="788"/>
    </row>
    <row r="65" spans="1:28" s="786" customFormat="1" ht="13" customHeight="1">
      <c r="A65" s="803" t="s">
        <v>61</v>
      </c>
      <c r="B65" s="793">
        <v>21275.082999999999</v>
      </c>
      <c r="C65" s="980">
        <v>58976.691599999998</v>
      </c>
      <c r="D65" s="780">
        <f t="shared" si="8"/>
        <v>2.7721015988515769</v>
      </c>
      <c r="E65" s="794">
        <v>4.6306124845090499</v>
      </c>
      <c r="F65" s="794">
        <v>4.9136646187694932</v>
      </c>
      <c r="G65" s="794">
        <v>9.16</v>
      </c>
      <c r="H65" s="796"/>
      <c r="I65" s="796"/>
      <c r="P65" s="787"/>
      <c r="Q65" s="787"/>
      <c r="R65" s="788"/>
      <c r="S65" s="788"/>
      <c r="T65" s="788"/>
      <c r="U65" s="788"/>
      <c r="V65" s="788"/>
      <c r="W65" s="788"/>
      <c r="X65" s="788"/>
      <c r="Y65" s="788"/>
      <c r="Z65" s="788"/>
      <c r="AA65" s="788"/>
      <c r="AB65" s="788"/>
    </row>
    <row r="66" spans="1:28" s="786" customFormat="1" ht="13" customHeight="1">
      <c r="A66" s="803" t="s">
        <v>62</v>
      </c>
      <c r="B66" s="793">
        <v>22819.786</v>
      </c>
      <c r="C66" s="980">
        <v>62015.115900000019</v>
      </c>
      <c r="D66" s="780">
        <f t="shared" si="8"/>
        <v>2.7176028688437315</v>
      </c>
      <c r="E66" s="794">
        <v>5.198733091975078</v>
      </c>
      <c r="F66" s="794">
        <v>5.3731280487859232</v>
      </c>
      <c r="G66" s="794">
        <v>9.2899999999999991</v>
      </c>
      <c r="H66" s="796"/>
      <c r="I66" s="796"/>
      <c r="P66" s="787"/>
      <c r="Q66" s="787"/>
      <c r="R66" s="788"/>
      <c r="S66" s="788"/>
      <c r="T66" s="788"/>
      <c r="U66" s="788"/>
      <c r="V66" s="788"/>
      <c r="W66" s="788"/>
      <c r="X66" s="788"/>
      <c r="Y66" s="788"/>
      <c r="Z66" s="788"/>
      <c r="AA66" s="788"/>
      <c r="AB66" s="788"/>
    </row>
    <row r="67" spans="1:28" s="786" customFormat="1" ht="13" customHeight="1">
      <c r="A67" s="803" t="s">
        <v>63</v>
      </c>
      <c r="B67" s="793">
        <v>21471.305</v>
      </c>
      <c r="C67" s="980">
        <v>57229.944700000007</v>
      </c>
      <c r="D67" s="780">
        <f t="shared" si="8"/>
        <v>2.6654152926429022</v>
      </c>
      <c r="E67" s="795">
        <v>5.71</v>
      </c>
      <c r="F67" s="795">
        <v>5.88</v>
      </c>
      <c r="G67" s="795">
        <v>9.31</v>
      </c>
      <c r="H67" s="796"/>
      <c r="I67" s="796"/>
      <c r="P67" s="787"/>
      <c r="Q67" s="787"/>
      <c r="R67" s="788"/>
      <c r="S67" s="788"/>
      <c r="T67" s="788"/>
      <c r="U67" s="788"/>
      <c r="V67" s="788"/>
      <c r="W67" s="788"/>
      <c r="X67" s="788"/>
      <c r="Y67" s="788"/>
      <c r="Z67" s="788"/>
      <c r="AA67" s="788"/>
      <c r="AB67" s="788"/>
    </row>
    <row r="68" spans="1:28" s="786" customFormat="1" ht="13" customHeight="1">
      <c r="A68" s="803" t="s">
        <v>64</v>
      </c>
      <c r="B68" s="793">
        <v>23700.034</v>
      </c>
      <c r="C68" s="980">
        <v>62723.843199999996</v>
      </c>
      <c r="D68" s="780">
        <f t="shared" si="8"/>
        <v>2.6465718656774921</v>
      </c>
      <c r="E68" s="795">
        <v>6.9365349408309216</v>
      </c>
      <c r="F68" s="795">
        <v>7.0932604933876249</v>
      </c>
      <c r="G68" s="795">
        <v>10.72</v>
      </c>
      <c r="H68" s="796"/>
      <c r="I68" s="796"/>
      <c r="P68" s="787"/>
      <c r="Q68" s="787"/>
      <c r="R68" s="788"/>
      <c r="S68" s="788"/>
      <c r="T68" s="788"/>
      <c r="U68" s="788"/>
      <c r="V68" s="788"/>
      <c r="W68" s="788"/>
      <c r="X68" s="788"/>
      <c r="Y68" s="788"/>
      <c r="Z68" s="788"/>
      <c r="AA68" s="788"/>
      <c r="AB68" s="788"/>
    </row>
    <row r="69" spans="1:28" s="786" customFormat="1" ht="16" customHeight="1">
      <c r="A69" s="783">
        <v>2024</v>
      </c>
      <c r="B69" s="781">
        <f>SUM(B70:B81)</f>
        <v>273745.89499999996</v>
      </c>
      <c r="C69" s="781">
        <f>SUM(C70:C81)</f>
        <v>735253.54369999992</v>
      </c>
      <c r="D69" s="929">
        <f>C69/B69</f>
        <v>2.6858979700864558</v>
      </c>
      <c r="E69" s="782">
        <f>AVERAGE(E70:E81)</f>
        <v>6.5224390617984502</v>
      </c>
      <c r="F69" s="782">
        <f t="shared" ref="F69" si="9">AVERAGE(F70:F81)</f>
        <v>6.7739882772767368</v>
      </c>
      <c r="G69" s="782">
        <f t="shared" ref="G69" si="10">AVERAGE(G70:G81)</f>
        <v>10.696666666666667</v>
      </c>
      <c r="P69" s="787"/>
      <c r="Q69" s="787"/>
      <c r="R69" s="788"/>
      <c r="S69" s="788"/>
      <c r="T69" s="788"/>
      <c r="U69" s="788"/>
      <c r="V69" s="788"/>
      <c r="W69" s="788"/>
      <c r="X69" s="788"/>
      <c r="Y69" s="788"/>
      <c r="Z69" s="788"/>
      <c r="AA69" s="788"/>
      <c r="AB69" s="788"/>
    </row>
    <row r="70" spans="1:28" s="786" customFormat="1" ht="13" customHeight="1">
      <c r="A70" s="803" t="s">
        <v>53</v>
      </c>
      <c r="B70" s="793">
        <v>21625.901999999998</v>
      </c>
      <c r="C70" s="980">
        <v>57895.49099999998</v>
      </c>
      <c r="D70" s="780">
        <f t="shared" ref="D70:D81" si="11">C70/B70</f>
        <v>2.6771364727353331</v>
      </c>
      <c r="E70" s="794">
        <v>6.4453599185815733</v>
      </c>
      <c r="F70" s="794">
        <v>6.7047638987982694</v>
      </c>
      <c r="G70" s="794">
        <v>10.61</v>
      </c>
      <c r="P70" s="787"/>
      <c r="Q70" s="787"/>
      <c r="R70" s="788"/>
      <c r="S70" s="788"/>
      <c r="T70" s="788"/>
      <c r="U70" s="788"/>
      <c r="V70" s="788"/>
      <c r="W70" s="788"/>
      <c r="X70" s="788"/>
      <c r="Y70" s="788"/>
      <c r="Z70" s="788"/>
      <c r="AA70" s="788"/>
      <c r="AB70" s="788"/>
    </row>
    <row r="71" spans="1:28" s="786" customFormat="1" ht="13" customHeight="1">
      <c r="A71" s="803" t="s">
        <v>54</v>
      </c>
      <c r="B71" s="793">
        <v>21016.26</v>
      </c>
      <c r="C71" s="980">
        <v>53393.596600000012</v>
      </c>
      <c r="D71" s="780">
        <f t="shared" si="11"/>
        <v>2.5405850803140053</v>
      </c>
      <c r="E71" s="794">
        <v>6.9691634848025945</v>
      </c>
      <c r="F71" s="794">
        <v>7.2351910749911914</v>
      </c>
      <c r="G71" s="794">
        <v>11.36</v>
      </c>
      <c r="H71" s="796"/>
      <c r="P71" s="787"/>
      <c r="Q71" s="787"/>
      <c r="R71" s="788"/>
      <c r="S71" s="788"/>
      <c r="T71" s="788"/>
      <c r="U71" s="788"/>
      <c r="V71" s="788"/>
      <c r="W71" s="788"/>
      <c r="X71" s="788"/>
      <c r="Y71" s="788"/>
      <c r="Z71" s="788"/>
      <c r="AA71" s="788"/>
      <c r="AB71" s="788"/>
    </row>
    <row r="72" spans="1:28" s="786" customFormat="1" ht="13" customHeight="1">
      <c r="A72" s="803" t="s">
        <v>55</v>
      </c>
      <c r="B72" s="793">
        <v>21527.225999999999</v>
      </c>
      <c r="C72" s="980">
        <v>55642.475799999993</v>
      </c>
      <c r="D72" s="780">
        <f t="shared" si="11"/>
        <v>2.5847489964568586</v>
      </c>
      <c r="E72" s="794">
        <v>7.2801278812615324</v>
      </c>
      <c r="F72" s="794">
        <v>7.6456904801313668</v>
      </c>
      <c r="G72" s="794">
        <v>12.05</v>
      </c>
      <c r="H72" s="796"/>
      <c r="P72" s="787"/>
      <c r="Q72" s="787"/>
      <c r="R72" s="788"/>
      <c r="S72" s="788"/>
      <c r="T72" s="788"/>
      <c r="U72" s="788"/>
      <c r="V72" s="788"/>
      <c r="W72" s="788"/>
      <c r="X72" s="788"/>
      <c r="Y72" s="788"/>
      <c r="Z72" s="788"/>
      <c r="AA72" s="788"/>
      <c r="AB72" s="788"/>
    </row>
    <row r="73" spans="1:28" s="786" customFormat="1" ht="13" customHeight="1">
      <c r="A73" s="803" t="s">
        <v>56</v>
      </c>
      <c r="B73" s="793">
        <v>21838.638999999999</v>
      </c>
      <c r="C73" s="980">
        <v>58283.624899999995</v>
      </c>
      <c r="D73" s="780">
        <f t="shared" si="11"/>
        <v>2.6688304568796615</v>
      </c>
      <c r="E73" s="794">
        <v>5.8551368827610455</v>
      </c>
      <c r="F73" s="794">
        <v>6.0898334844303763</v>
      </c>
      <c r="G73" s="794">
        <v>10.42</v>
      </c>
      <c r="H73" s="796"/>
      <c r="P73" s="787"/>
      <c r="Q73" s="787"/>
      <c r="R73" s="788"/>
      <c r="S73" s="788"/>
      <c r="T73" s="788"/>
      <c r="U73" s="788"/>
      <c r="V73" s="788"/>
      <c r="W73" s="788"/>
      <c r="X73" s="788"/>
      <c r="Y73" s="788"/>
      <c r="Z73" s="788"/>
      <c r="AA73" s="788"/>
      <c r="AB73" s="788"/>
    </row>
    <row r="74" spans="1:28" s="786" customFormat="1" ht="13" customHeight="1">
      <c r="A74" s="803" t="s">
        <v>57</v>
      </c>
      <c r="B74" s="793">
        <v>23185.285</v>
      </c>
      <c r="C74" s="980">
        <v>62388.925000000003</v>
      </c>
      <c r="D74" s="780">
        <f t="shared" si="11"/>
        <v>2.690884541639234</v>
      </c>
      <c r="E74" s="794">
        <v>6.0331305414222163</v>
      </c>
      <c r="F74" s="794">
        <v>6.2666633368021643</v>
      </c>
      <c r="G74" s="794">
        <v>10.28</v>
      </c>
      <c r="H74" s="796"/>
      <c r="P74" s="787"/>
      <c r="Q74" s="787"/>
      <c r="R74" s="788"/>
      <c r="S74" s="788"/>
      <c r="T74" s="788"/>
      <c r="U74" s="788"/>
      <c r="V74" s="788"/>
      <c r="W74" s="788"/>
      <c r="X74" s="788"/>
      <c r="Y74" s="788"/>
      <c r="Z74" s="788"/>
      <c r="AA74" s="788"/>
      <c r="AB74" s="788"/>
    </row>
    <row r="75" spans="1:28" s="786" customFormat="1" ht="13" customHeight="1">
      <c r="A75" s="803" t="s">
        <v>58</v>
      </c>
      <c r="B75" s="793">
        <v>23114.398000000001</v>
      </c>
      <c r="C75" s="980">
        <v>62733.117400000003</v>
      </c>
      <c r="D75" s="780">
        <f t="shared" si="11"/>
        <v>2.7140277414968801</v>
      </c>
      <c r="E75" s="794">
        <v>5.2602980980983416</v>
      </c>
      <c r="F75" s="794">
        <v>5.4432392219998293</v>
      </c>
      <c r="G75" s="794">
        <v>9.8800000000000008</v>
      </c>
      <c r="H75" s="796"/>
      <c r="P75" s="787"/>
      <c r="Q75" s="787"/>
      <c r="R75" s="788"/>
      <c r="S75" s="788"/>
      <c r="T75" s="788"/>
      <c r="U75" s="788"/>
      <c r="V75" s="788"/>
      <c r="W75" s="788"/>
      <c r="X75" s="788"/>
      <c r="Y75" s="788"/>
      <c r="Z75" s="788"/>
      <c r="AA75" s="788"/>
      <c r="AB75" s="788"/>
    </row>
    <row r="76" spans="1:28" s="786" customFormat="1" ht="13" customHeight="1">
      <c r="A76" s="803" t="s">
        <v>59</v>
      </c>
      <c r="B76" s="793">
        <v>23514.345000000001</v>
      </c>
      <c r="C76" s="980">
        <v>63574.906799999997</v>
      </c>
      <c r="D76" s="780">
        <f t="shared" si="11"/>
        <v>2.7036647969569212</v>
      </c>
      <c r="E76" s="794">
        <v>5.9863827316692175</v>
      </c>
      <c r="F76" s="794">
        <v>6.1888229369767629</v>
      </c>
      <c r="G76" s="794">
        <v>10.18</v>
      </c>
      <c r="H76" s="796"/>
      <c r="P76" s="787"/>
      <c r="Q76" s="787"/>
      <c r="R76" s="788"/>
      <c r="S76" s="788"/>
      <c r="T76" s="788"/>
      <c r="U76" s="788"/>
      <c r="V76" s="788"/>
      <c r="W76" s="788"/>
      <c r="X76" s="788"/>
      <c r="Y76" s="788"/>
      <c r="Z76" s="788"/>
      <c r="AA76" s="788"/>
      <c r="AB76" s="788"/>
    </row>
    <row r="77" spans="1:28" s="786" customFormat="1" ht="13" customHeight="1">
      <c r="A77" s="803" t="s">
        <v>60</v>
      </c>
      <c r="B77" s="793">
        <v>24116.21</v>
      </c>
      <c r="C77" s="980">
        <v>64174.774100000002</v>
      </c>
      <c r="D77" s="780">
        <f t="shared" si="11"/>
        <v>2.6610638280227286</v>
      </c>
      <c r="E77" s="794">
        <v>6.64</v>
      </c>
      <c r="F77" s="794">
        <v>6.89</v>
      </c>
      <c r="G77" s="794">
        <v>10.68</v>
      </c>
      <c r="H77" s="796"/>
      <c r="P77" s="787"/>
      <c r="Q77" s="787"/>
      <c r="R77" s="788"/>
      <c r="S77" s="788"/>
      <c r="T77" s="788"/>
      <c r="U77" s="788"/>
      <c r="V77" s="788"/>
      <c r="W77" s="788"/>
      <c r="X77" s="788"/>
      <c r="Y77" s="788"/>
      <c r="Z77" s="788"/>
      <c r="AA77" s="788"/>
      <c r="AB77" s="788"/>
    </row>
    <row r="78" spans="1:28" s="786" customFormat="1" ht="13" customHeight="1">
      <c r="A78" s="803" t="s">
        <v>61</v>
      </c>
      <c r="B78" s="793">
        <v>23335.308000000001</v>
      </c>
      <c r="C78" s="980">
        <v>62712.743000000002</v>
      </c>
      <c r="D78" s="780">
        <f t="shared" si="11"/>
        <v>2.6874615496825669</v>
      </c>
      <c r="E78" s="794">
        <v>6.99</v>
      </c>
      <c r="F78" s="794">
        <v>7.2</v>
      </c>
      <c r="G78" s="794">
        <v>10.97</v>
      </c>
      <c r="H78" s="796"/>
      <c r="P78" s="787"/>
      <c r="Q78" s="787"/>
      <c r="R78" s="788"/>
      <c r="S78" s="788"/>
      <c r="T78" s="788"/>
      <c r="U78" s="788"/>
      <c r="V78" s="788"/>
      <c r="W78" s="788"/>
      <c r="X78" s="788"/>
      <c r="Y78" s="788"/>
      <c r="Z78" s="788"/>
      <c r="AA78" s="788"/>
      <c r="AB78" s="788"/>
    </row>
    <row r="79" spans="1:28" s="786" customFormat="1" ht="13" customHeight="1">
      <c r="A79" s="803" t="s">
        <v>62</v>
      </c>
      <c r="B79" s="793">
        <v>23450.548999999999</v>
      </c>
      <c r="C79" s="980">
        <v>64349.873100000012</v>
      </c>
      <c r="D79" s="780">
        <f t="shared" si="11"/>
        <v>2.7440668062824463</v>
      </c>
      <c r="E79" s="794">
        <v>7.0030064725178116</v>
      </c>
      <c r="F79" s="794">
        <v>7.2175497205448238</v>
      </c>
      <c r="G79" s="794">
        <v>10.91</v>
      </c>
      <c r="P79" s="787"/>
      <c r="Q79" s="787"/>
      <c r="R79" s="788"/>
      <c r="S79" s="788"/>
      <c r="T79" s="788"/>
      <c r="U79" s="788"/>
      <c r="V79" s="788"/>
      <c r="W79" s="788"/>
      <c r="X79" s="788"/>
      <c r="Y79" s="788"/>
      <c r="Z79" s="788"/>
      <c r="AA79" s="788"/>
      <c r="AB79" s="788"/>
    </row>
    <row r="80" spans="1:28" s="786" customFormat="1" ht="13" customHeight="1">
      <c r="A80" s="803" t="s">
        <v>63</v>
      </c>
      <c r="B80" s="793">
        <v>23423.947</v>
      </c>
      <c r="C80" s="980">
        <v>63121.577500000007</v>
      </c>
      <c r="D80" s="780">
        <f t="shared" si="11"/>
        <v>2.6947455738351871</v>
      </c>
      <c r="E80" s="795">
        <v>7.1750969500722617</v>
      </c>
      <c r="F80" s="795">
        <v>7.4270722129845375</v>
      </c>
      <c r="G80" s="795">
        <v>11.01</v>
      </c>
      <c r="P80" s="787"/>
      <c r="Q80" s="787"/>
      <c r="R80" s="788"/>
      <c r="S80" s="788"/>
      <c r="T80" s="788"/>
      <c r="U80" s="788"/>
      <c r="V80" s="788"/>
      <c r="W80" s="788"/>
      <c r="X80" s="788"/>
      <c r="Y80" s="788"/>
      <c r="Z80" s="788"/>
      <c r="AA80" s="788"/>
      <c r="AB80" s="788"/>
    </row>
    <row r="81" spans="1:28" s="786" customFormat="1" ht="13" customHeight="1" thickBot="1">
      <c r="A81" s="804" t="s">
        <v>64</v>
      </c>
      <c r="B81" s="797">
        <v>23597.826000000001</v>
      </c>
      <c r="C81" s="981">
        <v>66982.438500000004</v>
      </c>
      <c r="D81" s="798">
        <f t="shared" si="11"/>
        <v>2.8385003982994026</v>
      </c>
      <c r="E81" s="799">
        <v>6.631565780394812</v>
      </c>
      <c r="F81" s="799">
        <v>6.9790329596615077</v>
      </c>
      <c r="G81" s="799">
        <v>10.01</v>
      </c>
      <c r="P81" s="787"/>
      <c r="Q81" s="787"/>
      <c r="R81" s="788"/>
      <c r="S81" s="788"/>
      <c r="T81" s="788"/>
      <c r="U81" s="788"/>
      <c r="V81" s="788"/>
      <c r="W81" s="788"/>
      <c r="X81" s="788"/>
      <c r="Y81" s="788"/>
      <c r="Z81" s="788"/>
      <c r="AA81" s="788"/>
      <c r="AB81" s="788"/>
    </row>
    <row r="82" spans="1:28" s="786" customFormat="1" ht="9" customHeight="1">
      <c r="A82" s="525" t="s">
        <v>403</v>
      </c>
      <c r="B82" s="793"/>
      <c r="C82" s="793"/>
      <c r="D82" s="780"/>
      <c r="E82" s="795"/>
      <c r="F82" s="795"/>
      <c r="G82" s="795"/>
      <c r="P82" s="787"/>
      <c r="Q82" s="787"/>
      <c r="R82" s="788"/>
      <c r="S82" s="788"/>
      <c r="T82" s="788"/>
      <c r="U82" s="788"/>
      <c r="V82" s="788"/>
      <c r="W82" s="788"/>
      <c r="X82" s="788"/>
      <c r="Y82" s="788"/>
      <c r="Z82" s="788"/>
      <c r="AA82" s="788"/>
      <c r="AB82" s="788"/>
    </row>
    <row r="83" spans="1:28" s="786" customFormat="1" ht="9" customHeight="1">
      <c r="A83" s="525" t="s">
        <v>404</v>
      </c>
      <c r="B83" s="793"/>
      <c r="C83" s="793"/>
      <c r="D83" s="780"/>
      <c r="E83" s="795"/>
      <c r="F83" s="795"/>
      <c r="G83" s="795"/>
      <c r="P83" s="787"/>
      <c r="Q83" s="787"/>
      <c r="R83" s="788"/>
      <c r="S83" s="788"/>
      <c r="T83" s="788"/>
      <c r="U83" s="788"/>
      <c r="V83" s="788"/>
      <c r="W83" s="788"/>
      <c r="X83" s="788"/>
      <c r="Y83" s="788"/>
      <c r="Z83" s="788"/>
      <c r="AA83" s="788"/>
      <c r="AB83" s="788"/>
    </row>
    <row r="84" spans="1:28" s="786" customFormat="1" ht="9" customHeight="1">
      <c r="A84" s="525" t="s">
        <v>405</v>
      </c>
      <c r="B84" s="793"/>
      <c r="C84" s="793"/>
      <c r="D84" s="780"/>
      <c r="E84" s="795"/>
      <c r="F84" s="795"/>
      <c r="G84" s="795"/>
      <c r="P84" s="787"/>
      <c r="Q84" s="787"/>
      <c r="R84" s="788"/>
      <c r="S84" s="788"/>
      <c r="T84" s="788"/>
      <c r="U84" s="788"/>
      <c r="V84" s="788"/>
      <c r="W84" s="788"/>
      <c r="X84" s="788"/>
      <c r="Y84" s="788"/>
      <c r="Z84" s="788"/>
      <c r="AA84" s="788"/>
      <c r="AB84" s="788"/>
    </row>
    <row r="85" spans="1:28" ht="9" customHeight="1">
      <c r="A85" s="525" t="s">
        <v>402</v>
      </c>
    </row>
    <row r="86" spans="1:28" ht="9" customHeight="1">
      <c r="A86" s="451" t="s">
        <v>303</v>
      </c>
    </row>
  </sheetData>
  <printOptions horizontalCentered="1" verticalCentered="1"/>
  <pageMargins left="0" right="0" top="0" bottom="0" header="0" footer="0"/>
  <pageSetup paperSize="8" orientation="portrait" r:id="rId1"/>
  <headerFooter scaleWithDoc="0" alignWithMargins="0"/>
  <colBreaks count="1" manualBreakCount="1">
    <brk id="15" max="155" man="1"/>
  </colBreaks>
  <ignoredErrors>
    <ignoredError sqref="B69:H69 B30:H55 B82:H82 D70:D8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126</vt:i4>
      </vt:variant>
      <vt:variant>
        <vt:lpstr>Rangos con nombre</vt:lpstr>
      </vt:variant>
      <vt:variant>
        <vt:i4>130</vt:i4>
      </vt:variant>
    </vt:vector>
  </HeadingPairs>
  <TitlesOfParts>
    <vt:vector size="256" baseType="lpstr">
      <vt:lpstr>1. INDICADORES ECONÓMICOS</vt:lpstr>
      <vt:lpstr>C 1 - C 2 - C 3</vt:lpstr>
      <vt:lpstr>2. POBLACION Y ...</vt:lpstr>
      <vt:lpstr>C-4</vt:lpstr>
      <vt:lpstr>C 5</vt:lpstr>
      <vt:lpstr>C -6</vt:lpstr>
      <vt:lpstr>C 7</vt:lpstr>
      <vt:lpstr>C 8</vt:lpstr>
      <vt:lpstr>C 9</vt:lpstr>
      <vt:lpstr>C 10</vt:lpstr>
      <vt:lpstr>C 11</vt:lpstr>
      <vt:lpstr>C 12</vt:lpstr>
      <vt:lpstr>C 13</vt:lpstr>
      <vt:lpstr>C 14</vt:lpstr>
      <vt:lpstr>C 15</vt:lpstr>
      <vt:lpstr>C 16</vt:lpstr>
      <vt:lpstr>C 17</vt:lpstr>
      <vt:lpstr>C 18</vt:lpstr>
      <vt:lpstr>C 19</vt:lpstr>
      <vt:lpstr>C 20</vt:lpstr>
      <vt:lpstr>C 21</vt:lpstr>
      <vt:lpstr>C 22</vt:lpstr>
      <vt:lpstr>C 23</vt:lpstr>
      <vt:lpstr>C 24</vt:lpstr>
      <vt:lpstr>C 25</vt:lpstr>
      <vt:lpstr>C 26</vt:lpstr>
      <vt:lpstr>C 27</vt:lpstr>
      <vt:lpstr>C 28</vt:lpstr>
      <vt:lpstr>C 29</vt:lpstr>
      <vt:lpstr>C 30</vt:lpstr>
      <vt:lpstr>C 31</vt:lpstr>
      <vt:lpstr>C 32</vt:lpstr>
      <vt:lpstr>C 33</vt:lpstr>
      <vt:lpstr>C 34</vt:lpstr>
      <vt:lpstr>C 35</vt:lpstr>
      <vt:lpstr>C 36</vt:lpstr>
      <vt:lpstr>C 37</vt:lpstr>
      <vt:lpstr>C 38</vt:lpstr>
      <vt:lpstr>C 39</vt:lpstr>
      <vt:lpstr>C 40</vt:lpstr>
      <vt:lpstr>C 41</vt:lpstr>
      <vt:lpstr>C 42</vt:lpstr>
      <vt:lpstr>C 43</vt:lpstr>
      <vt:lpstr>C 44</vt:lpstr>
      <vt:lpstr>C 45</vt:lpstr>
      <vt:lpstr>C 46</vt:lpstr>
      <vt:lpstr>C 47</vt:lpstr>
      <vt:lpstr>C 48</vt:lpstr>
      <vt:lpstr>C 49</vt:lpstr>
      <vt:lpstr>C-50</vt:lpstr>
      <vt:lpstr>C-51</vt:lpstr>
      <vt:lpstr>C-52</vt:lpstr>
      <vt:lpstr>C-53</vt:lpstr>
      <vt:lpstr>C-54</vt:lpstr>
      <vt:lpstr>C-55</vt:lpstr>
      <vt:lpstr>C-56</vt:lpstr>
      <vt:lpstr>C-57</vt:lpstr>
      <vt:lpstr>C-58</vt:lpstr>
      <vt:lpstr>C-59</vt:lpstr>
      <vt:lpstr>C-60</vt:lpstr>
      <vt:lpstr>C-61</vt:lpstr>
      <vt:lpstr>C-62</vt:lpstr>
      <vt:lpstr>C-63</vt:lpstr>
      <vt:lpstr>C-64</vt:lpstr>
      <vt:lpstr>C-65</vt:lpstr>
      <vt:lpstr>C-66</vt:lpstr>
      <vt:lpstr>C-67</vt:lpstr>
      <vt:lpstr>C-68</vt:lpstr>
      <vt:lpstr>C-69</vt:lpstr>
      <vt:lpstr>C-70</vt:lpstr>
      <vt:lpstr>C-71</vt:lpstr>
      <vt:lpstr>C-72</vt:lpstr>
      <vt:lpstr>C-73</vt:lpstr>
      <vt:lpstr>C-74</vt:lpstr>
      <vt:lpstr>C-75</vt:lpstr>
      <vt:lpstr>C-76</vt:lpstr>
      <vt:lpstr>C-77</vt:lpstr>
      <vt:lpstr>C-78</vt:lpstr>
      <vt:lpstr>C-79</vt:lpstr>
      <vt:lpstr>C-80</vt:lpstr>
      <vt:lpstr>C-81</vt:lpstr>
      <vt:lpstr>C-82</vt:lpstr>
      <vt:lpstr>C-83</vt:lpstr>
      <vt:lpstr>C-84</vt:lpstr>
      <vt:lpstr>C-85</vt:lpstr>
      <vt:lpstr>3. BENEFICIO DE ...</vt:lpstr>
      <vt:lpstr>C 86-C87</vt:lpstr>
      <vt:lpstr>C-88</vt:lpstr>
      <vt:lpstr>C-89</vt:lpstr>
      <vt:lpstr>C 90</vt:lpstr>
      <vt:lpstr>C 91 - 99</vt:lpstr>
      <vt:lpstr>4. ABASTECIMIENTO Y ...</vt:lpstr>
      <vt:lpstr>C 100 - 101</vt:lpstr>
      <vt:lpstr>C 102 - 103</vt:lpstr>
      <vt:lpstr>C 104-105</vt:lpstr>
      <vt:lpstr>C 106 - 107</vt:lpstr>
      <vt:lpstr>C 108 - 109 </vt:lpstr>
      <vt:lpstr>5. PRECIOS AL...</vt:lpstr>
      <vt:lpstr>C 110 _ 111</vt:lpstr>
      <vt:lpstr>C-112</vt:lpstr>
      <vt:lpstr>C-113</vt:lpstr>
      <vt:lpstr>C-114</vt:lpstr>
      <vt:lpstr>C-115</vt:lpstr>
      <vt:lpstr>C-116</vt:lpstr>
      <vt:lpstr>C-117</vt:lpstr>
      <vt:lpstr>C-118</vt:lpstr>
      <vt:lpstr>C-119</vt:lpstr>
      <vt:lpstr>C-120</vt:lpstr>
      <vt:lpstr>C-121</vt:lpstr>
      <vt:lpstr>C_122</vt:lpstr>
      <vt:lpstr>C-123</vt:lpstr>
      <vt:lpstr>C-124</vt:lpstr>
      <vt:lpstr>6. ESTADÍSTICA AVÍCOLA</vt:lpstr>
      <vt:lpstr>C-125</vt:lpstr>
      <vt:lpstr>C 126</vt:lpstr>
      <vt:lpstr>C 127</vt:lpstr>
      <vt:lpstr>C-128</vt:lpstr>
      <vt:lpstr>C-129</vt:lpstr>
      <vt:lpstr>C-130</vt:lpstr>
      <vt:lpstr>C-131</vt:lpstr>
      <vt:lpstr>C-132</vt:lpstr>
      <vt:lpstr>C-133</vt:lpstr>
      <vt:lpstr>C-134</vt:lpstr>
      <vt:lpstr>C-135</vt:lpstr>
      <vt:lpstr>C 136</vt:lpstr>
      <vt:lpstr>C 137</vt:lpstr>
      <vt:lpstr>'C 5'!A</vt:lpstr>
      <vt:lpstr>'C 100 - 101'!A_impresión_IM</vt:lpstr>
      <vt:lpstr>'C 102 - 103'!A_impresión_IM</vt:lpstr>
      <vt:lpstr>'C 104-105'!A_impresión_IM</vt:lpstr>
      <vt:lpstr>'C 106 - 107'!A_impresión_IM</vt:lpstr>
      <vt:lpstr>'C 90'!A_impresión_IM</vt:lpstr>
      <vt:lpstr>'C 91 - 99'!A_IMPRESIÓN_IM</vt:lpstr>
      <vt:lpstr>'C-88'!A_impresión_IM</vt:lpstr>
      <vt:lpstr>'C-89'!A_impresión_IM</vt:lpstr>
      <vt:lpstr>'C -6'!Área_de_impresión</vt:lpstr>
      <vt:lpstr>'C 1 - C 2 - C 3'!Área_de_impresión</vt:lpstr>
      <vt:lpstr>'C 10'!Área_de_impresión</vt:lpstr>
      <vt:lpstr>'C 100 - 101'!Área_de_impresión</vt:lpstr>
      <vt:lpstr>'C 102 - 103'!Área_de_impresión</vt:lpstr>
      <vt:lpstr>'C 104-105'!Área_de_impresión</vt:lpstr>
      <vt:lpstr>'C 106 - 107'!Área_de_impresión</vt:lpstr>
      <vt:lpstr>'C 108 - 109 '!Área_de_impresión</vt:lpstr>
      <vt:lpstr>'C 11'!Área_de_impresión</vt:lpstr>
      <vt:lpstr>'C 110 _ 111'!Área_de_impresión</vt:lpstr>
      <vt:lpstr>'C 12'!Área_de_impresión</vt:lpstr>
      <vt:lpstr>'C 126'!Área_de_impresión</vt:lpstr>
      <vt:lpstr>'C 127'!Área_de_impresión</vt:lpstr>
      <vt:lpstr>'C 13'!Área_de_impresión</vt:lpstr>
      <vt:lpstr>'C 136'!Área_de_impresión</vt:lpstr>
      <vt:lpstr>'C 137'!Área_de_impresión</vt:lpstr>
      <vt:lpstr>'C 14'!Área_de_impresión</vt:lpstr>
      <vt:lpstr>'C 15'!Área_de_impresión</vt:lpstr>
      <vt:lpstr>'C 16'!Área_de_impresión</vt:lpstr>
      <vt:lpstr>'C 17'!Área_de_impresión</vt:lpstr>
      <vt:lpstr>'C 18'!Área_de_impresión</vt:lpstr>
      <vt:lpstr>'C 19'!Área_de_impresión</vt:lpstr>
      <vt:lpstr>'C 20'!Área_de_impresión</vt:lpstr>
      <vt:lpstr>'C 21'!Área_de_impresión</vt:lpstr>
      <vt:lpstr>'C 22'!Área_de_impresión</vt:lpstr>
      <vt:lpstr>'C 23'!Área_de_impresión</vt:lpstr>
      <vt:lpstr>'C 24'!Área_de_impresión</vt:lpstr>
      <vt:lpstr>'C 25'!Área_de_impresión</vt:lpstr>
      <vt:lpstr>'C 26'!Área_de_impresión</vt:lpstr>
      <vt:lpstr>'C 27'!Área_de_impresión</vt:lpstr>
      <vt:lpstr>'C 28'!Área_de_impresión</vt:lpstr>
      <vt:lpstr>'C 29'!Área_de_impresión</vt:lpstr>
      <vt:lpstr>'C 30'!Área_de_impresión</vt:lpstr>
      <vt:lpstr>'C 31'!Área_de_impresión</vt:lpstr>
      <vt:lpstr>'C 32'!Área_de_impresión</vt:lpstr>
      <vt:lpstr>'C 33'!Área_de_impresión</vt:lpstr>
      <vt:lpstr>'C 34'!Área_de_impresión</vt:lpstr>
      <vt:lpstr>'C 35'!Área_de_impresión</vt:lpstr>
      <vt:lpstr>'C 36'!Área_de_impresión</vt:lpstr>
      <vt:lpstr>'C 37'!Área_de_impresión</vt:lpstr>
      <vt:lpstr>'C 38'!Área_de_impresión</vt:lpstr>
      <vt:lpstr>'C 39'!Área_de_impresión</vt:lpstr>
      <vt:lpstr>'C 40'!Área_de_impresión</vt:lpstr>
      <vt:lpstr>'C 41'!Área_de_impresión</vt:lpstr>
      <vt:lpstr>'C 42'!Área_de_impresión</vt:lpstr>
      <vt:lpstr>'C 43'!Área_de_impresión</vt:lpstr>
      <vt:lpstr>'C 44'!Área_de_impresión</vt:lpstr>
      <vt:lpstr>'C 45'!Área_de_impresión</vt:lpstr>
      <vt:lpstr>'C 46'!Área_de_impresión</vt:lpstr>
      <vt:lpstr>'C 47'!Área_de_impresión</vt:lpstr>
      <vt:lpstr>'C 48'!Área_de_impresión</vt:lpstr>
      <vt:lpstr>'C 49'!Área_de_impresión</vt:lpstr>
      <vt:lpstr>'C 5'!Área_de_impresión</vt:lpstr>
      <vt:lpstr>'C 7'!Área_de_impresión</vt:lpstr>
      <vt:lpstr>'C 8'!Área_de_impresión</vt:lpstr>
      <vt:lpstr>'C 86-C87'!Área_de_impresión</vt:lpstr>
      <vt:lpstr>'C 9'!Área_de_impresión</vt:lpstr>
      <vt:lpstr>'C 90'!Área_de_impresión</vt:lpstr>
      <vt:lpstr>'C 91 - 99'!Área_de_impresión</vt:lpstr>
      <vt:lpstr>C_122!Área_de_impresión</vt:lpstr>
      <vt:lpstr>'C-112'!Área_de_impresión</vt:lpstr>
      <vt:lpstr>'C-113'!Área_de_impresión</vt:lpstr>
      <vt:lpstr>'C-114'!Área_de_impresión</vt:lpstr>
      <vt:lpstr>'C-115'!Área_de_impresión</vt:lpstr>
      <vt:lpstr>'C-116'!Área_de_impresión</vt:lpstr>
      <vt:lpstr>'C-117'!Área_de_impresión</vt:lpstr>
      <vt:lpstr>'C-118'!Área_de_impresión</vt:lpstr>
      <vt:lpstr>'C-119'!Área_de_impresión</vt:lpstr>
      <vt:lpstr>'C-120'!Área_de_impresión</vt:lpstr>
      <vt:lpstr>'C-121'!Área_de_impresión</vt:lpstr>
      <vt:lpstr>'C-123'!Área_de_impresión</vt:lpstr>
      <vt:lpstr>'C-124'!Área_de_impresión</vt:lpstr>
      <vt:lpstr>'C-125'!Área_de_impresión</vt:lpstr>
      <vt:lpstr>'C-128'!Área_de_impresión</vt:lpstr>
      <vt:lpstr>'C-129'!Área_de_impresión</vt:lpstr>
      <vt:lpstr>'C-130'!Área_de_impresión</vt:lpstr>
      <vt:lpstr>'C-131'!Área_de_impresión</vt:lpstr>
      <vt:lpstr>'C-132'!Área_de_impresión</vt:lpstr>
      <vt:lpstr>'C-133'!Área_de_impresión</vt:lpstr>
      <vt:lpstr>'C-134'!Área_de_impresión</vt:lpstr>
      <vt:lpstr>'C-135'!Área_de_impresión</vt:lpstr>
      <vt:lpstr>'C-4'!Área_de_impresión</vt:lpstr>
      <vt:lpstr>'C-50'!Área_de_impresión</vt:lpstr>
      <vt:lpstr>'C-51'!Área_de_impresión</vt:lpstr>
      <vt:lpstr>'C-52'!Área_de_impresión</vt:lpstr>
      <vt:lpstr>'C-53'!Área_de_impresión</vt:lpstr>
      <vt:lpstr>'C-54'!Área_de_impresión</vt:lpstr>
      <vt:lpstr>'C-55'!Área_de_impresión</vt:lpstr>
      <vt:lpstr>'C-56'!Área_de_impresión</vt:lpstr>
      <vt:lpstr>'C-57'!Área_de_impresión</vt:lpstr>
      <vt:lpstr>'C-58'!Área_de_impresión</vt:lpstr>
      <vt:lpstr>'C-59'!Área_de_impresión</vt:lpstr>
      <vt:lpstr>'C-60'!Área_de_impresión</vt:lpstr>
      <vt:lpstr>'C-61'!Área_de_impresión</vt:lpstr>
      <vt:lpstr>'C-62'!Área_de_impresión</vt:lpstr>
      <vt:lpstr>'C-63'!Área_de_impresión</vt:lpstr>
      <vt:lpstr>'C-64'!Área_de_impresión</vt:lpstr>
      <vt:lpstr>'C-65'!Área_de_impresión</vt:lpstr>
      <vt:lpstr>'C-66'!Área_de_impresión</vt:lpstr>
      <vt:lpstr>'C-67'!Área_de_impresión</vt:lpstr>
      <vt:lpstr>'C-68'!Área_de_impresión</vt:lpstr>
      <vt:lpstr>'C-69'!Área_de_impresión</vt:lpstr>
      <vt:lpstr>'C-70'!Área_de_impresión</vt:lpstr>
      <vt:lpstr>'C-71'!Área_de_impresión</vt:lpstr>
      <vt:lpstr>'C-72'!Área_de_impresión</vt:lpstr>
      <vt:lpstr>'C-73'!Área_de_impresión</vt:lpstr>
      <vt:lpstr>'C-74'!Área_de_impresión</vt:lpstr>
      <vt:lpstr>'C-75'!Área_de_impresión</vt:lpstr>
      <vt:lpstr>'C-76'!Área_de_impresión</vt:lpstr>
      <vt:lpstr>'C-77'!Área_de_impresión</vt:lpstr>
      <vt:lpstr>'C-78'!Área_de_impresión</vt:lpstr>
      <vt:lpstr>'C-79'!Área_de_impresión</vt:lpstr>
      <vt:lpstr>'C-80'!Área_de_impresión</vt:lpstr>
      <vt:lpstr>'C-81'!Área_de_impresión</vt:lpstr>
      <vt:lpstr>'C-82'!Área_de_impresión</vt:lpstr>
      <vt:lpstr>'C-83'!Área_de_impresión</vt:lpstr>
      <vt:lpstr>'C-84'!Área_de_impresión</vt:lpstr>
      <vt:lpstr>'C-85'!Área_de_impresión</vt:lpstr>
      <vt:lpstr>'C-88'!Área_de_impresión</vt:lpstr>
      <vt:lpstr>'C-89'!Área_de_impresión</vt:lpstr>
      <vt:lpstr>'C 137'!Títulos_a_imprimir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elba castro - diseño hojas</dc:creator>
  <cp:keywords/>
  <dc:description/>
  <cp:lastModifiedBy>Microsoft Office User</cp:lastModifiedBy>
  <cp:lastPrinted>2025-07-04T20:58:30Z</cp:lastPrinted>
  <dcterms:created xsi:type="dcterms:W3CDTF">1999-02-26T21:15:02Z</dcterms:created>
  <dcterms:modified xsi:type="dcterms:W3CDTF">2025-08-07T20:55:09Z</dcterms:modified>
  <cp:category/>
</cp:coreProperties>
</file>